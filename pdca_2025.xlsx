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kirin.sharepoint.com/sites/com_000184/doc01/KBC企画部/10_新規事業開発室/チーム内共有/naturals/01事業戦略・各種進捗/02各種進捗（ＫＰＩ管理）/2025/月次PDCA/25年予算/"/>
    </mc:Choice>
  </mc:AlternateContent>
  <xr:revisionPtr revIDLastSave="0" documentId="8_{7DD90C97-3001-4979-A683-5A72C0696AC0}" xr6:coauthVersionLast="47" xr6:coauthVersionMax="47" xr10:uidLastSave="{00000000-0000-0000-0000-000000000000}"/>
  <bookViews>
    <workbookView xWindow="-120" yWindow="-120" windowWidth="29040" windowHeight="15720" tabRatio="893" firstSheet="10" activeTab="10" xr2:uid="{BAE161F5-16FB-4263-9EB3-9F9CCF24D12D}"/>
  </bookViews>
  <sheets>
    <sheet name="Output＞＞" sheetId="10" r:id="rId1"/>
    <sheet name="PL" sheetId="7" r:id="rId2"/>
    <sheet name="売上高" sheetId="1" r:id="rId3"/>
    <sheet name="Input＞＞" sheetId="9" r:id="rId4"/>
    <sheet name="契約数" sheetId="2" r:id="rId5"/>
    <sheet name="客単価" sheetId="3" r:id="rId6"/>
    <sheet name="原価・変動費" sheetId="4" r:id="rId7"/>
    <sheet name="固定費" sheetId="5" r:id="rId8"/>
    <sheet name="営業・一般管理費" sheetId="6" r:id="rId9"/>
    <sheet name="月次PDCA＞＞" sheetId="20" r:id="rId10"/>
    <sheet name="サマリ" sheetId="18" r:id="rId11"/>
    <sheet name="グラフ" sheetId="21" r:id="rId12"/>
    <sheet name="代理店" sheetId="22" r:id="rId13"/>
    <sheet name="25年PDCA" sheetId="13" r:id="rId14"/>
    <sheet name="＞＞使わない" sheetId="14" r:id="rId15"/>
    <sheet name="25年PDCA (添付)" sheetId="17" r:id="rId16"/>
    <sheet name="25年PDCA (対予算)" sheetId="15" r:id="rId17"/>
    <sheet name="25年PDCA (対予算) 添付用" sheetId="16" r:id="rId18"/>
    <sheet name="月次落とし込み" sheetId="1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05" i="13" l="1"/>
  <c r="BH105" i="13"/>
  <c r="BG105" i="13"/>
  <c r="AH159" i="22"/>
  <c r="AH179" i="22" s="1"/>
  <c r="AH160" i="22"/>
  <c r="AH161" i="22"/>
  <c r="AH162" i="22"/>
  <c r="AH163" i="22"/>
  <c r="AH164" i="22"/>
  <c r="AH165" i="22"/>
  <c r="AH180" i="22" s="1"/>
  <c r="AE159" i="22"/>
  <c r="AE160" i="22"/>
  <c r="AE161" i="22"/>
  <c r="AE162" i="22"/>
  <c r="AE163" i="22"/>
  <c r="AE164" i="22"/>
  <c r="AE165" i="22"/>
  <c r="AB159" i="22"/>
  <c r="AB160" i="22"/>
  <c r="AB161" i="22"/>
  <c r="AB162" i="22"/>
  <c r="AB163" i="22"/>
  <c r="AB164" i="22"/>
  <c r="AB165" i="22"/>
  <c r="Y159" i="22"/>
  <c r="Y160" i="22"/>
  <c r="Y161" i="22"/>
  <c r="Y162" i="22"/>
  <c r="Y163" i="22"/>
  <c r="Y164" i="22"/>
  <c r="Y165" i="22"/>
  <c r="V159" i="22"/>
  <c r="V160" i="22"/>
  <c r="V161" i="22"/>
  <c r="V162" i="22"/>
  <c r="V163" i="22"/>
  <c r="V164" i="22"/>
  <c r="V165" i="22"/>
  <c r="Y183" i="22" s="1"/>
  <c r="AJ166" i="22"/>
  <c r="AJ179" i="22" s="1"/>
  <c r="AJ167" i="22"/>
  <c r="AJ168" i="22"/>
  <c r="AJ169" i="22"/>
  <c r="AJ170" i="22"/>
  <c r="AJ171" i="22"/>
  <c r="AJ172" i="22"/>
  <c r="AJ181" i="22" s="1"/>
  <c r="AH166" i="22"/>
  <c r="AH182" i="22" s="1"/>
  <c r="AH167" i="22"/>
  <c r="AH168" i="22"/>
  <c r="AH169" i="22"/>
  <c r="AH170" i="22"/>
  <c r="AH171" i="22"/>
  <c r="AH183" i="22" s="1"/>
  <c r="AH172" i="22"/>
  <c r="AK181" i="22" s="1"/>
  <c r="AE166" i="22"/>
  <c r="AE167" i="22"/>
  <c r="AE168" i="22"/>
  <c r="AE169" i="22"/>
  <c r="AE170" i="22"/>
  <c r="AE171" i="22"/>
  <c r="AE180" i="22" s="1"/>
  <c r="AE172" i="22"/>
  <c r="AB166" i="22"/>
  <c r="AB167" i="22"/>
  <c r="AB168" i="22"/>
  <c r="AB169" i="22"/>
  <c r="AB170" i="22"/>
  <c r="AB171" i="22"/>
  <c r="AB183" i="22" s="1"/>
  <c r="AB172" i="22"/>
  <c r="AE184" i="22" s="1"/>
  <c r="Y166" i="22"/>
  <c r="Y167" i="22"/>
  <c r="Y168" i="22"/>
  <c r="Y169" i="22"/>
  <c r="Y170" i="22"/>
  <c r="Y171" i="22"/>
  <c r="Y172" i="22"/>
  <c r="V166" i="22"/>
  <c r="V182" i="22" s="1"/>
  <c r="V167" i="22"/>
  <c r="V168" i="22"/>
  <c r="V169" i="22"/>
  <c r="V170" i="22"/>
  <c r="V171" i="22"/>
  <c r="V172" i="22"/>
  <c r="V181" i="22" s="1"/>
  <c r="AH152" i="22"/>
  <c r="AH153" i="22"/>
  <c r="AH154" i="22"/>
  <c r="AH155" i="22"/>
  <c r="AH156" i="22"/>
  <c r="AH157" i="22"/>
  <c r="AH158" i="22"/>
  <c r="AE152" i="22"/>
  <c r="AE153" i="22"/>
  <c r="AE154" i="22"/>
  <c r="AE155" i="22"/>
  <c r="AE156" i="22"/>
  <c r="AE157" i="22"/>
  <c r="AE158" i="22"/>
  <c r="AH181" i="22" s="1"/>
  <c r="AB152" i="22"/>
  <c r="AB153" i="22"/>
  <c r="AB154" i="22"/>
  <c r="AB155" i="22"/>
  <c r="AB156" i="22"/>
  <c r="AB157" i="22"/>
  <c r="AB158" i="22"/>
  <c r="Y152" i="22"/>
  <c r="Y153" i="22"/>
  <c r="Y154" i="22"/>
  <c r="Y155" i="22"/>
  <c r="Y156" i="22"/>
  <c r="AB180" i="22" s="1"/>
  <c r="Y157" i="22"/>
  <c r="Y158" i="22"/>
  <c r="V152" i="22"/>
  <c r="V153" i="22"/>
  <c r="V154" i="22"/>
  <c r="V155" i="22"/>
  <c r="V156" i="22"/>
  <c r="V157" i="22"/>
  <c r="V158" i="22"/>
  <c r="AE139" i="22"/>
  <c r="AE140" i="22"/>
  <c r="AE141" i="22"/>
  <c r="AE142" i="22"/>
  <c r="AE143" i="22"/>
  <c r="AE144" i="22"/>
  <c r="AE145" i="22"/>
  <c r="AB139" i="22"/>
  <c r="AB140" i="22"/>
  <c r="AB141" i="22"/>
  <c r="AB142" i="22"/>
  <c r="AB143" i="22"/>
  <c r="AB144" i="22"/>
  <c r="AB145" i="22"/>
  <c r="Y145" i="22"/>
  <c r="V145" i="22"/>
  <c r="Y144" i="22"/>
  <c r="Y143" i="22"/>
  <c r="Y142" i="22"/>
  <c r="Y141" i="22"/>
  <c r="Y140" i="22"/>
  <c r="Y139" i="22"/>
  <c r="V140" i="22"/>
  <c r="V141" i="22"/>
  <c r="V142" i="22"/>
  <c r="V143" i="22"/>
  <c r="V144" i="22"/>
  <c r="V139" i="22"/>
  <c r="F179" i="22"/>
  <c r="G179" i="22"/>
  <c r="I179" i="22"/>
  <c r="J179" i="22"/>
  <c r="L179" i="22"/>
  <c r="M179" i="22"/>
  <c r="O179" i="22"/>
  <c r="P179" i="22"/>
  <c r="R179" i="22"/>
  <c r="S179" i="22"/>
  <c r="U179" i="22"/>
  <c r="X179" i="22"/>
  <c r="AA179" i="22"/>
  <c r="AB179" i="22"/>
  <c r="AD179" i="22"/>
  <c r="AE179" i="22"/>
  <c r="AG179" i="22"/>
  <c r="AK179" i="22"/>
  <c r="F180" i="22"/>
  <c r="G180" i="22"/>
  <c r="I180" i="22"/>
  <c r="J180" i="22"/>
  <c r="L180" i="22"/>
  <c r="M180" i="22"/>
  <c r="O180" i="22"/>
  <c r="P180" i="22"/>
  <c r="R180" i="22"/>
  <c r="S180" i="22"/>
  <c r="U180" i="22"/>
  <c r="V180" i="22"/>
  <c r="X180" i="22"/>
  <c r="AA180" i="22"/>
  <c r="AD180" i="22"/>
  <c r="AG180" i="22"/>
  <c r="AJ180" i="22"/>
  <c r="F181" i="22"/>
  <c r="G181" i="22"/>
  <c r="I181" i="22"/>
  <c r="J181" i="22"/>
  <c r="L181" i="22"/>
  <c r="M181" i="22"/>
  <c r="O181" i="22"/>
  <c r="P181" i="22"/>
  <c r="R181" i="22"/>
  <c r="S181" i="22"/>
  <c r="U181" i="22"/>
  <c r="X181" i="22"/>
  <c r="Y181" i="22"/>
  <c r="AA181" i="22"/>
  <c r="AB181" i="22"/>
  <c r="AD181" i="22"/>
  <c r="AE181" i="22"/>
  <c r="AG181" i="22"/>
  <c r="F182" i="22"/>
  <c r="G182" i="22"/>
  <c r="I182" i="22"/>
  <c r="J182" i="22"/>
  <c r="L182" i="22"/>
  <c r="M182" i="22"/>
  <c r="O182" i="22"/>
  <c r="P182" i="22"/>
  <c r="R182" i="22"/>
  <c r="S182" i="22"/>
  <c r="U182" i="22"/>
  <c r="X182" i="22"/>
  <c r="AA182" i="22"/>
  <c r="AB182" i="22"/>
  <c r="AD182" i="22"/>
  <c r="AE182" i="22"/>
  <c r="AG182" i="22"/>
  <c r="F183" i="22"/>
  <c r="G183" i="22"/>
  <c r="I183" i="22"/>
  <c r="J183" i="22"/>
  <c r="L183" i="22"/>
  <c r="M183" i="22"/>
  <c r="O183" i="22"/>
  <c r="P183" i="22"/>
  <c r="R183" i="22"/>
  <c r="S183" i="22"/>
  <c r="U183" i="22"/>
  <c r="V183" i="22"/>
  <c r="X183" i="22"/>
  <c r="AA183" i="22"/>
  <c r="AD183" i="22"/>
  <c r="AE183" i="22"/>
  <c r="AG183" i="22"/>
  <c r="AJ183" i="22"/>
  <c r="F184" i="22"/>
  <c r="G184" i="22"/>
  <c r="I184" i="22"/>
  <c r="J184" i="22"/>
  <c r="L184" i="22"/>
  <c r="M184" i="22"/>
  <c r="O184" i="22"/>
  <c r="P184" i="22"/>
  <c r="R184" i="22"/>
  <c r="S184" i="22"/>
  <c r="U184" i="22"/>
  <c r="V184" i="22"/>
  <c r="X184" i="22"/>
  <c r="Y184" i="22"/>
  <c r="AA184" i="22"/>
  <c r="AB184" i="22"/>
  <c r="AD184" i="22"/>
  <c r="AG184" i="22"/>
  <c r="AH184" i="22"/>
  <c r="AJ184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Y13" i="22"/>
  <c r="Y14" i="22"/>
  <c r="Y15" i="22"/>
  <c r="Y16" i="22"/>
  <c r="Y17" i="22"/>
  <c r="Y18" i="22"/>
  <c r="Y19" i="22"/>
  <c r="Y20" i="22"/>
  <c r="Y21" i="22"/>
  <c r="Y22" i="22"/>
  <c r="Y23" i="22"/>
  <c r="V19" i="22"/>
  <c r="V20" i="22"/>
  <c r="V21" i="22"/>
  <c r="V22" i="22"/>
  <c r="V23" i="22"/>
  <c r="V15" i="22"/>
  <c r="V16" i="22"/>
  <c r="V17" i="22"/>
  <c r="V18" i="22"/>
  <c r="V13" i="22"/>
  <c r="V14" i="22"/>
  <c r="V3" i="22"/>
  <c r="AS28" i="13"/>
  <c r="AS34" i="13" s="1"/>
  <c r="D27" i="21" a="1"/>
  <c r="D27" i="21" s="1"/>
  <c r="D26" i="21" a="1"/>
  <c r="D26" i="21" s="1"/>
  <c r="D25" i="21" a="1"/>
  <c r="D25" i="21" s="1"/>
  <c r="D24" i="21" a="1"/>
  <c r="D24" i="21" s="1"/>
  <c r="D23" i="21" a="1"/>
  <c r="D23" i="21" s="1"/>
  <c r="D22" i="21" a="1"/>
  <c r="D22" i="21" s="1"/>
  <c r="D21" i="21" a="1"/>
  <c r="D21" i="21" s="1"/>
  <c r="D20" i="21" a="1"/>
  <c r="D20" i="21" s="1"/>
  <c r="D18" i="21" a="1"/>
  <c r="D18" i="21" s="1"/>
  <c r="D17" i="21" a="1"/>
  <c r="D17" i="21" s="1"/>
  <c r="D13" i="21" a="1"/>
  <c r="D13" i="21" s="1"/>
  <c r="D12" i="21" a="1"/>
  <c r="D12" i="21" s="1"/>
  <c r="D11" i="21" a="1"/>
  <c r="D11" i="21" s="1"/>
  <c r="D16" i="21" a="1"/>
  <c r="D16" i="21" s="1"/>
  <c r="D15" i="21" a="1"/>
  <c r="D15" i="21" s="1"/>
  <c r="D14" i="21" a="1"/>
  <c r="D14" i="21" s="1"/>
  <c r="D30" i="21"/>
  <c r="AN124" i="13"/>
  <c r="AO124" i="13"/>
  <c r="AP124" i="13"/>
  <c r="AQ124" i="13"/>
  <c r="AR124" i="13"/>
  <c r="AS124" i="13"/>
  <c r="AN125" i="13"/>
  <c r="AO125" i="13"/>
  <c r="AP125" i="13"/>
  <c r="AQ125" i="13"/>
  <c r="AR125" i="13"/>
  <c r="AS125" i="13"/>
  <c r="AN126" i="13"/>
  <c r="AO126" i="13"/>
  <c r="AP126" i="13"/>
  <c r="AQ126" i="13"/>
  <c r="AR126" i="13"/>
  <c r="AS126" i="13"/>
  <c r="AN127" i="13"/>
  <c r="AO127" i="13"/>
  <c r="AP127" i="13"/>
  <c r="AQ127" i="13"/>
  <c r="AR127" i="13"/>
  <c r="AS127" i="13"/>
  <c r="AN128" i="13"/>
  <c r="AO128" i="13"/>
  <c r="AP128" i="13"/>
  <c r="AQ128" i="13"/>
  <c r="AR128" i="13"/>
  <c r="AS128" i="13"/>
  <c r="AN129" i="13"/>
  <c r="AO129" i="13"/>
  <c r="AP129" i="13"/>
  <c r="AQ129" i="13"/>
  <c r="AR129" i="13"/>
  <c r="AS129" i="13"/>
  <c r="AM129" i="13"/>
  <c r="AM128" i="13"/>
  <c r="AM127" i="13"/>
  <c r="AM126" i="13"/>
  <c r="AM125" i="13"/>
  <c r="AM124" i="13"/>
  <c r="D7" i="21" s="1" a="1"/>
  <c r="D7" i="21" s="1"/>
  <c r="BN129" i="13"/>
  <c r="BI128" i="13"/>
  <c r="U3" i="22"/>
  <c r="AN35" i="13"/>
  <c r="AO35" i="13"/>
  <c r="AP35" i="13"/>
  <c r="AT35" i="13"/>
  <c r="AU35" i="13"/>
  <c r="AV35" i="13"/>
  <c r="AW35" i="13"/>
  <c r="AX35" i="13"/>
  <c r="AM35" i="13"/>
  <c r="AR32" i="13"/>
  <c r="I27" i="22"/>
  <c r="CL35" i="13"/>
  <c r="BG114" i="13"/>
  <c r="BF114" i="13"/>
  <c r="AY5" i="13"/>
  <c r="CL30" i="13"/>
  <c r="CL29" i="13"/>
  <c r="BZ28" i="13"/>
  <c r="CL28" i="13" s="1"/>
  <c r="CK28" i="13"/>
  <c r="CL25" i="13"/>
  <c r="CL12" i="13"/>
  <c r="CL7" i="13"/>
  <c r="BZ86" i="13"/>
  <c r="CA86" i="13"/>
  <c r="CB86" i="13"/>
  <c r="CL86" i="13" s="1"/>
  <c r="CC86" i="13"/>
  <c r="CD86" i="13"/>
  <c r="CE86" i="13"/>
  <c r="CF86" i="13"/>
  <c r="CG86" i="13"/>
  <c r="CH86" i="13"/>
  <c r="CI86" i="13"/>
  <c r="CJ86" i="13"/>
  <c r="CK86" i="13"/>
  <c r="BZ87" i="13"/>
  <c r="CL87" i="13" s="1"/>
  <c r="BZ88" i="13"/>
  <c r="CL88" i="13" s="1"/>
  <c r="CA88" i="13"/>
  <c r="CB88" i="13"/>
  <c r="CC88" i="13"/>
  <c r="CD88" i="13"/>
  <c r="CE88" i="13"/>
  <c r="CF88" i="13"/>
  <c r="CG88" i="13"/>
  <c r="CH88" i="13"/>
  <c r="CI88" i="13"/>
  <c r="CJ88" i="13"/>
  <c r="CK88" i="13"/>
  <c r="CA85" i="13"/>
  <c r="CB85" i="13"/>
  <c r="CC85" i="13"/>
  <c r="CD85" i="13"/>
  <c r="CE85" i="13"/>
  <c r="CF85" i="13"/>
  <c r="CG85" i="13"/>
  <c r="CH85" i="13"/>
  <c r="CI85" i="13"/>
  <c r="CJ85" i="13"/>
  <c r="CK85" i="13"/>
  <c r="BZ85" i="13"/>
  <c r="BZ77" i="13"/>
  <c r="CL77" i="13" s="1"/>
  <c r="CA77" i="13"/>
  <c r="CB77" i="13"/>
  <c r="CC77" i="13"/>
  <c r="CD77" i="13"/>
  <c r="CE77" i="13"/>
  <c r="CF77" i="13"/>
  <c r="CG77" i="13"/>
  <c r="CH77" i="13"/>
  <c r="CI77" i="13"/>
  <c r="CJ77" i="13"/>
  <c r="CK77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BZ79" i="13"/>
  <c r="CA79" i="13"/>
  <c r="CB79" i="13"/>
  <c r="CC79" i="13"/>
  <c r="CD79" i="13"/>
  <c r="CE79" i="13"/>
  <c r="CF79" i="13"/>
  <c r="CG79" i="13"/>
  <c r="CH79" i="13"/>
  <c r="CI79" i="13"/>
  <c r="CJ79" i="13"/>
  <c r="CK79" i="13"/>
  <c r="CA76" i="13"/>
  <c r="CB76" i="13"/>
  <c r="CC76" i="13"/>
  <c r="CD76" i="13"/>
  <c r="CE76" i="13"/>
  <c r="CF76" i="13"/>
  <c r="CG76" i="13"/>
  <c r="CH76" i="13"/>
  <c r="CI76" i="13"/>
  <c r="CJ76" i="13"/>
  <c r="CK76" i="13"/>
  <c r="BZ76" i="13"/>
  <c r="CL76" i="13" s="1"/>
  <c r="CK73" i="13"/>
  <c r="BZ72" i="13"/>
  <c r="CL72" i="13" s="1"/>
  <c r="CA72" i="13"/>
  <c r="CB72" i="13"/>
  <c r="CC72" i="13"/>
  <c r="CD72" i="13"/>
  <c r="CE72" i="13"/>
  <c r="CF72" i="13"/>
  <c r="CG72" i="13"/>
  <c r="CH72" i="13"/>
  <c r="CI72" i="13"/>
  <c r="CJ72" i="13"/>
  <c r="CK72" i="13"/>
  <c r="BZ73" i="13"/>
  <c r="CA73" i="13"/>
  <c r="CB73" i="13"/>
  <c r="CC73" i="13"/>
  <c r="CD73" i="13"/>
  <c r="CE73" i="13"/>
  <c r="CF73" i="13"/>
  <c r="CG73" i="13"/>
  <c r="CH73" i="13"/>
  <c r="CI73" i="13"/>
  <c r="CJ73" i="13"/>
  <c r="BZ74" i="13"/>
  <c r="CA74" i="13"/>
  <c r="CB74" i="13"/>
  <c r="CL74" i="13" s="1"/>
  <c r="CC74" i="13"/>
  <c r="CD74" i="13"/>
  <c r="CE74" i="13"/>
  <c r="CF74" i="13"/>
  <c r="CG74" i="13"/>
  <c r="CH74" i="13"/>
  <c r="CI74" i="13"/>
  <c r="CJ74" i="13"/>
  <c r="CK74" i="13"/>
  <c r="CA71" i="13"/>
  <c r="CB71" i="13"/>
  <c r="CC71" i="13"/>
  <c r="CD71" i="13"/>
  <c r="CE71" i="13"/>
  <c r="CF71" i="13"/>
  <c r="CG71" i="13"/>
  <c r="CH71" i="13"/>
  <c r="CI71" i="13"/>
  <c r="CJ71" i="13"/>
  <c r="CK71" i="13"/>
  <c r="BZ71" i="13"/>
  <c r="CL71" i="13" s="1"/>
  <c r="CG68" i="13"/>
  <c r="CF68" i="13"/>
  <c r="BZ67" i="13"/>
  <c r="CA67" i="13"/>
  <c r="CB67" i="13"/>
  <c r="CC67" i="13"/>
  <c r="CD67" i="13"/>
  <c r="CE67" i="13"/>
  <c r="CF67" i="13"/>
  <c r="CG67" i="13"/>
  <c r="CH67" i="13"/>
  <c r="CI67" i="13"/>
  <c r="CJ67" i="13"/>
  <c r="CK67" i="13"/>
  <c r="BZ68" i="13"/>
  <c r="CL68" i="13" s="1"/>
  <c r="CA68" i="13"/>
  <c r="CB68" i="13"/>
  <c r="CC68" i="13"/>
  <c r="CD68" i="13"/>
  <c r="CE68" i="13"/>
  <c r="CH68" i="13"/>
  <c r="CI68" i="13"/>
  <c r="CJ68" i="13"/>
  <c r="CK68" i="13"/>
  <c r="BZ69" i="13"/>
  <c r="CL69" i="13" s="1"/>
  <c r="CA69" i="13"/>
  <c r="CB69" i="13"/>
  <c r="CC69" i="13"/>
  <c r="CD69" i="13"/>
  <c r="CE69" i="13"/>
  <c r="CF69" i="13"/>
  <c r="CG69" i="13"/>
  <c r="CH69" i="13"/>
  <c r="CI69" i="13"/>
  <c r="CJ69" i="13"/>
  <c r="CK69" i="13"/>
  <c r="CA66" i="13"/>
  <c r="CB66" i="13"/>
  <c r="CC66" i="13"/>
  <c r="CD66" i="13"/>
  <c r="CE66" i="13"/>
  <c r="CF66" i="13"/>
  <c r="CG66" i="13"/>
  <c r="CH66" i="13"/>
  <c r="CI66" i="13"/>
  <c r="CJ66" i="13"/>
  <c r="CK66" i="13"/>
  <c r="BZ66" i="13"/>
  <c r="AQ68" i="13"/>
  <c r="AM68" i="13"/>
  <c r="AM66" i="13"/>
  <c r="AM67" i="13"/>
  <c r="AM91" i="13"/>
  <c r="BZ42" i="13"/>
  <c r="CM160" i="13"/>
  <c r="CN160" i="13"/>
  <c r="CM142" i="13"/>
  <c r="CN142" i="13"/>
  <c r="CM101" i="13"/>
  <c r="CN101" i="13"/>
  <c r="CM93" i="13"/>
  <c r="CN93" i="13"/>
  <c r="CA94" i="13"/>
  <c r="CA95" i="13"/>
  <c r="CA96" i="13"/>
  <c r="CA97" i="13"/>
  <c r="CA91" i="13"/>
  <c r="CM65" i="13"/>
  <c r="CN65" i="13"/>
  <c r="CL66" i="13"/>
  <c r="CL67" i="13"/>
  <c r="CL73" i="13"/>
  <c r="CL78" i="13"/>
  <c r="CL79" i="13"/>
  <c r="BZ81" i="13"/>
  <c r="CA81" i="13"/>
  <c r="CL81" i="13" s="1"/>
  <c r="CB81" i="13"/>
  <c r="CC81" i="13"/>
  <c r="CD81" i="13"/>
  <c r="CE81" i="13"/>
  <c r="CF81" i="13"/>
  <c r="CG81" i="13"/>
  <c r="CH81" i="13"/>
  <c r="CI81" i="13"/>
  <c r="CJ81" i="13"/>
  <c r="CK81" i="13"/>
  <c r="CA82" i="13"/>
  <c r="CA83" i="13"/>
  <c r="CL85" i="13"/>
  <c r="CM37" i="13"/>
  <c r="CN37" i="13"/>
  <c r="CL38" i="13"/>
  <c r="CL39" i="13"/>
  <c r="CL40" i="13"/>
  <c r="CL41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L43" i="13"/>
  <c r="CL44" i="13"/>
  <c r="CL45" i="13"/>
  <c r="CL46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 s="1"/>
  <c r="CL48" i="13"/>
  <c r="CL49" i="13"/>
  <c r="CL50" i="13"/>
  <c r="CL51" i="13"/>
  <c r="BZ52" i="13"/>
  <c r="CA52" i="13"/>
  <c r="CB52" i="13"/>
  <c r="CC52" i="13"/>
  <c r="CD52" i="13"/>
  <c r="CE52" i="13"/>
  <c r="CF52" i="13"/>
  <c r="CG52" i="13"/>
  <c r="CH52" i="13"/>
  <c r="CI52" i="13"/>
  <c r="CJ52" i="13"/>
  <c r="CK52" i="13"/>
  <c r="CL52" i="13"/>
  <c r="CL53" i="13"/>
  <c r="CL54" i="13"/>
  <c r="CL55" i="13"/>
  <c r="BZ56" i="13"/>
  <c r="CA56" i="13"/>
  <c r="CB56" i="13"/>
  <c r="CC56" i="13"/>
  <c r="CD56" i="13"/>
  <c r="CE56" i="13"/>
  <c r="CF56" i="13"/>
  <c r="CG56" i="13"/>
  <c r="CH56" i="13"/>
  <c r="CI56" i="13"/>
  <c r="CJ56" i="13"/>
  <c r="CK56" i="13"/>
  <c r="CL56" i="13"/>
  <c r="CL57" i="13"/>
  <c r="CL58" i="13"/>
  <c r="BZ59" i="13"/>
  <c r="CA59" i="13"/>
  <c r="CA87" i="13" s="1"/>
  <c r="CL60" i="13"/>
  <c r="BZ61" i="13"/>
  <c r="CL32" i="13"/>
  <c r="CM4" i="13"/>
  <c r="CN4" i="13"/>
  <c r="CL5" i="13"/>
  <c r="CL6" i="13"/>
  <c r="CL8" i="13"/>
  <c r="BZ9" i="13"/>
  <c r="CA9" i="13"/>
  <c r="CB9" i="13"/>
  <c r="CB34" i="13" s="1"/>
  <c r="CC9" i="13"/>
  <c r="CC34" i="13" s="1"/>
  <c r="CD9" i="13"/>
  <c r="CE9" i="13"/>
  <c r="CL9" i="13" s="1"/>
  <c r="CF9" i="13"/>
  <c r="CG9" i="13"/>
  <c r="CH9" i="13"/>
  <c r="CI9" i="13"/>
  <c r="CJ9" i="13"/>
  <c r="CK9" i="13"/>
  <c r="CL10" i="13"/>
  <c r="CL11" i="13"/>
  <c r="CL13" i="13"/>
  <c r="BZ14" i="13"/>
  <c r="CL14" i="13" s="1"/>
  <c r="CA14" i="13"/>
  <c r="CA34" i="13" s="1"/>
  <c r="CB14" i="13"/>
  <c r="CC14" i="13"/>
  <c r="CD14" i="13"/>
  <c r="CD34" i="13" s="1"/>
  <c r="CE14" i="13"/>
  <c r="CF14" i="13"/>
  <c r="CG14" i="13"/>
  <c r="CH14" i="13"/>
  <c r="CI14" i="13"/>
  <c r="CJ14" i="13"/>
  <c r="CK14" i="13"/>
  <c r="CK34" i="13" s="1"/>
  <c r="CL15" i="13"/>
  <c r="CL16" i="13"/>
  <c r="CL17" i="13"/>
  <c r="CL18" i="13"/>
  <c r="BZ19" i="13"/>
  <c r="CA19" i="13"/>
  <c r="CL19" i="13" s="1"/>
  <c r="CB19" i="13"/>
  <c r="CC19" i="13"/>
  <c r="CD19" i="13"/>
  <c r="CE19" i="13"/>
  <c r="CF19" i="13"/>
  <c r="CG19" i="13"/>
  <c r="CH19" i="13"/>
  <c r="CI19" i="13"/>
  <c r="CJ19" i="13"/>
  <c r="CJ34" i="13" s="1"/>
  <c r="CK19" i="13"/>
  <c r="CL20" i="13"/>
  <c r="CL21" i="13"/>
  <c r="CL22" i="13"/>
  <c r="BZ23" i="13"/>
  <c r="CA23" i="13"/>
  <c r="CL23" i="13" s="1"/>
  <c r="CB23" i="13"/>
  <c r="CC23" i="13"/>
  <c r="CD23" i="13"/>
  <c r="CE23" i="13"/>
  <c r="CF23" i="13"/>
  <c r="CF34" i="13" s="1"/>
  <c r="CG23" i="13"/>
  <c r="CG34" i="13" s="1"/>
  <c r="CH23" i="13"/>
  <c r="CI23" i="13"/>
  <c r="CJ23" i="13"/>
  <c r="CK23" i="13"/>
  <c r="CL24" i="13"/>
  <c r="CL26" i="13"/>
  <c r="CL27" i="13"/>
  <c r="CA28" i="13"/>
  <c r="CB28" i="13"/>
  <c r="CC28" i="13"/>
  <c r="CD28" i="13"/>
  <c r="CE28" i="13"/>
  <c r="CF28" i="13"/>
  <c r="CG28" i="13"/>
  <c r="CH28" i="13"/>
  <c r="CI28" i="13"/>
  <c r="CI34" i="13" s="1"/>
  <c r="CJ28" i="13"/>
  <c r="CL31" i="13"/>
  <c r="CL33" i="13"/>
  <c r="CE34" i="13"/>
  <c r="CH34" i="13"/>
  <c r="BJ34" i="13"/>
  <c r="BE34" i="13"/>
  <c r="AK23" i="22"/>
  <c r="AJ23" i="22"/>
  <c r="AG23" i="22"/>
  <c r="AD23" i="22"/>
  <c r="AA23" i="22"/>
  <c r="X23" i="22"/>
  <c r="U23" i="22"/>
  <c r="S23" i="22"/>
  <c r="P23" i="22"/>
  <c r="M23" i="22"/>
  <c r="J23" i="22"/>
  <c r="G23" i="22"/>
  <c r="D23" i="22"/>
  <c r="AK22" i="22"/>
  <c r="AJ22" i="22"/>
  <c r="AG22" i="22"/>
  <c r="AD22" i="22"/>
  <c r="AA22" i="22"/>
  <c r="X22" i="22"/>
  <c r="U22" i="22"/>
  <c r="S22" i="22"/>
  <c r="P22" i="22"/>
  <c r="M22" i="22"/>
  <c r="J22" i="22"/>
  <c r="G22" i="22"/>
  <c r="D22" i="22"/>
  <c r="AK21" i="22"/>
  <c r="AJ21" i="22"/>
  <c r="AG21" i="22"/>
  <c r="AD21" i="22"/>
  <c r="AA21" i="22"/>
  <c r="X21" i="22"/>
  <c r="U21" i="22"/>
  <c r="S21" i="22"/>
  <c r="P21" i="22"/>
  <c r="M21" i="22"/>
  <c r="J21" i="22"/>
  <c r="G21" i="22"/>
  <c r="D21" i="22"/>
  <c r="AK4" i="22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3" i="22"/>
  <c r="G4" i="22"/>
  <c r="J4" i="22"/>
  <c r="M4" i="22"/>
  <c r="P4" i="22"/>
  <c r="S4" i="22"/>
  <c r="U4" i="22"/>
  <c r="V4" i="22"/>
  <c r="X4" i="22"/>
  <c r="Y4" i="22"/>
  <c r="AA4" i="22"/>
  <c r="AB4" i="22"/>
  <c r="AD4" i="22"/>
  <c r="AE4" i="22"/>
  <c r="AG4" i="22"/>
  <c r="AH4" i="22"/>
  <c r="G5" i="22"/>
  <c r="J5" i="22"/>
  <c r="M5" i="22"/>
  <c r="P5" i="22"/>
  <c r="S5" i="22"/>
  <c r="U5" i="22"/>
  <c r="V5" i="22"/>
  <c r="X5" i="22"/>
  <c r="Y5" i="22"/>
  <c r="AA5" i="22"/>
  <c r="AB5" i="22"/>
  <c r="AD5" i="22"/>
  <c r="AE5" i="22"/>
  <c r="AG5" i="22"/>
  <c r="AH5" i="22"/>
  <c r="G6" i="22"/>
  <c r="J6" i="22"/>
  <c r="M6" i="22"/>
  <c r="P6" i="22"/>
  <c r="S6" i="22"/>
  <c r="U6" i="22"/>
  <c r="V6" i="22"/>
  <c r="X6" i="22"/>
  <c r="Y6" i="22"/>
  <c r="AA6" i="22"/>
  <c r="AB6" i="22"/>
  <c r="AD6" i="22"/>
  <c r="AE6" i="22"/>
  <c r="AG6" i="22"/>
  <c r="AH6" i="22"/>
  <c r="G7" i="22"/>
  <c r="J7" i="22"/>
  <c r="M7" i="22"/>
  <c r="P7" i="22"/>
  <c r="S7" i="22"/>
  <c r="U7" i="22"/>
  <c r="V7" i="22"/>
  <c r="X7" i="22"/>
  <c r="Y7" i="22"/>
  <c r="AA7" i="22"/>
  <c r="AB7" i="22"/>
  <c r="AD7" i="22"/>
  <c r="AE7" i="22"/>
  <c r="AG7" i="22"/>
  <c r="AH7" i="22"/>
  <c r="G8" i="22"/>
  <c r="J8" i="22"/>
  <c r="M8" i="22"/>
  <c r="P8" i="22"/>
  <c r="S8" i="22"/>
  <c r="U8" i="22"/>
  <c r="V8" i="22"/>
  <c r="X8" i="22"/>
  <c r="Y8" i="22"/>
  <c r="AA8" i="22"/>
  <c r="AB8" i="22"/>
  <c r="AD8" i="22"/>
  <c r="AE8" i="22"/>
  <c r="AG8" i="22"/>
  <c r="AH8" i="22"/>
  <c r="G9" i="22"/>
  <c r="J9" i="22"/>
  <c r="M9" i="22"/>
  <c r="P9" i="22"/>
  <c r="S9" i="22"/>
  <c r="U9" i="22"/>
  <c r="V9" i="22"/>
  <c r="X9" i="22"/>
  <c r="Y9" i="22"/>
  <c r="AA9" i="22"/>
  <c r="AB9" i="22"/>
  <c r="AD9" i="22"/>
  <c r="AE9" i="22"/>
  <c r="AG9" i="22"/>
  <c r="AH9" i="22"/>
  <c r="G10" i="22"/>
  <c r="J10" i="22"/>
  <c r="M10" i="22"/>
  <c r="P10" i="22"/>
  <c r="S10" i="22"/>
  <c r="U10" i="22"/>
  <c r="V10" i="22"/>
  <c r="X10" i="22"/>
  <c r="Y10" i="22"/>
  <c r="AA10" i="22"/>
  <c r="AD10" i="22"/>
  <c r="AE10" i="22"/>
  <c r="AG10" i="22"/>
  <c r="AH10" i="22"/>
  <c r="G11" i="22"/>
  <c r="J11" i="22"/>
  <c r="M11" i="22"/>
  <c r="P11" i="22"/>
  <c r="S11" i="22"/>
  <c r="U11" i="22"/>
  <c r="V11" i="22"/>
  <c r="X11" i="22"/>
  <c r="Y11" i="22"/>
  <c r="AA11" i="22"/>
  <c r="AD11" i="22"/>
  <c r="AG11" i="22"/>
  <c r="G12" i="22"/>
  <c r="J12" i="22"/>
  <c r="M12" i="22"/>
  <c r="P12" i="22"/>
  <c r="S12" i="22"/>
  <c r="U12" i="22"/>
  <c r="V12" i="22"/>
  <c r="X12" i="22"/>
  <c r="Y12" i="22"/>
  <c r="AA12" i="22"/>
  <c r="AD12" i="22"/>
  <c r="AG12" i="22"/>
  <c r="G13" i="22"/>
  <c r="J13" i="22"/>
  <c r="M13" i="22"/>
  <c r="P13" i="22"/>
  <c r="S13" i="22"/>
  <c r="U13" i="22"/>
  <c r="X13" i="22"/>
  <c r="AA13" i="22"/>
  <c r="AD13" i="22"/>
  <c r="AG13" i="22"/>
  <c r="G14" i="22"/>
  <c r="J14" i="22"/>
  <c r="M14" i="22"/>
  <c r="P14" i="22"/>
  <c r="S14" i="22"/>
  <c r="U14" i="22"/>
  <c r="X14" i="22"/>
  <c r="AA14" i="22"/>
  <c r="AD14" i="22"/>
  <c r="AG14" i="22"/>
  <c r="G15" i="22"/>
  <c r="J15" i="22"/>
  <c r="M15" i="22"/>
  <c r="P15" i="22"/>
  <c r="S15" i="22"/>
  <c r="U15" i="22"/>
  <c r="X15" i="22"/>
  <c r="AA15" i="22"/>
  <c r="AD15" i="22"/>
  <c r="AG15" i="22"/>
  <c r="G16" i="22"/>
  <c r="J16" i="22"/>
  <c r="M16" i="22"/>
  <c r="P16" i="22"/>
  <c r="S16" i="22"/>
  <c r="U16" i="22"/>
  <c r="X16" i="22"/>
  <c r="AA16" i="22"/>
  <c r="AD16" i="22"/>
  <c r="AG16" i="22"/>
  <c r="G17" i="22"/>
  <c r="J17" i="22"/>
  <c r="M17" i="22"/>
  <c r="P17" i="22"/>
  <c r="S17" i="22"/>
  <c r="U17" i="22"/>
  <c r="X17" i="22"/>
  <c r="AA17" i="22"/>
  <c r="AD17" i="22"/>
  <c r="AG17" i="22"/>
  <c r="G18" i="22"/>
  <c r="J18" i="22"/>
  <c r="M18" i="22"/>
  <c r="P18" i="22"/>
  <c r="S18" i="22"/>
  <c r="U18" i="22"/>
  <c r="U30" i="22" s="1"/>
  <c r="X18" i="22"/>
  <c r="AA18" i="22"/>
  <c r="AD18" i="22"/>
  <c r="AG18" i="22"/>
  <c r="G19" i="22"/>
  <c r="J19" i="22"/>
  <c r="M19" i="22"/>
  <c r="P19" i="22"/>
  <c r="S19" i="22"/>
  <c r="U19" i="22"/>
  <c r="X19" i="22"/>
  <c r="AA19" i="22"/>
  <c r="AD19" i="22"/>
  <c r="AG19" i="22"/>
  <c r="G20" i="22"/>
  <c r="J20" i="22"/>
  <c r="M20" i="22"/>
  <c r="P20" i="22"/>
  <c r="R32" i="22"/>
  <c r="S20" i="22"/>
  <c r="U20" i="22"/>
  <c r="X20" i="22"/>
  <c r="Y32" i="22"/>
  <c r="AA20" i="22"/>
  <c r="AD20" i="22"/>
  <c r="AG20" i="22"/>
  <c r="AH3" i="22"/>
  <c r="AE3" i="22"/>
  <c r="AB3" i="22"/>
  <c r="Y3" i="22"/>
  <c r="S3" i="22"/>
  <c r="P3" i="22"/>
  <c r="M3" i="22"/>
  <c r="J3" i="22"/>
  <c r="G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3" i="22"/>
  <c r="AJ6" i="22"/>
  <c r="AJ7" i="22"/>
  <c r="AJ8" i="22"/>
  <c r="AJ9" i="22"/>
  <c r="AJ10" i="22"/>
  <c r="AJ11" i="22"/>
  <c r="AJ12" i="22"/>
  <c r="AJ13" i="22"/>
  <c r="AJ14" i="22"/>
  <c r="AJ15" i="22"/>
  <c r="F28" i="22"/>
  <c r="AJ16" i="22"/>
  <c r="AJ17" i="22"/>
  <c r="AJ18" i="22"/>
  <c r="AJ19" i="22"/>
  <c r="AJ20" i="22"/>
  <c r="X3" i="22"/>
  <c r="AA3" i="22"/>
  <c r="AD3" i="22"/>
  <c r="AG3" i="22"/>
  <c r="AJ3" i="22"/>
  <c r="AJ4" i="22"/>
  <c r="AJ5" i="22"/>
  <c r="BS160" i="13"/>
  <c r="BR160" i="13"/>
  <c r="BA160" i="13"/>
  <c r="AZ160" i="13"/>
  <c r="AI160" i="13"/>
  <c r="AH160" i="13"/>
  <c r="Q160" i="13"/>
  <c r="P160" i="13"/>
  <c r="BS142" i="13"/>
  <c r="BR142" i="13"/>
  <c r="BA142" i="13"/>
  <c r="AZ142" i="13"/>
  <c r="AI142" i="13"/>
  <c r="AH142" i="13"/>
  <c r="Q142" i="13"/>
  <c r="P142" i="13"/>
  <c r="E30" i="21"/>
  <c r="E41" i="21"/>
  <c r="F41" i="21"/>
  <c r="G41" i="21"/>
  <c r="H41" i="21"/>
  <c r="I41" i="21"/>
  <c r="M41" i="21"/>
  <c r="N41" i="21"/>
  <c r="O41" i="21"/>
  <c r="E42" i="21"/>
  <c r="F42" i="21"/>
  <c r="G42" i="21"/>
  <c r="H42" i="21"/>
  <c r="I42" i="21"/>
  <c r="J42" i="21"/>
  <c r="K42" i="21"/>
  <c r="L42" i="21"/>
  <c r="M42" i="21"/>
  <c r="N42" i="21"/>
  <c r="O42" i="21"/>
  <c r="D42" i="21"/>
  <c r="D41" i="21"/>
  <c r="E39" i="21"/>
  <c r="F39" i="21"/>
  <c r="G39" i="21"/>
  <c r="H39" i="21"/>
  <c r="I39" i="21"/>
  <c r="M39" i="21"/>
  <c r="N39" i="21"/>
  <c r="O39" i="21"/>
  <c r="E40" i="21"/>
  <c r="F40" i="21"/>
  <c r="G40" i="21"/>
  <c r="H40" i="21"/>
  <c r="I40" i="21"/>
  <c r="J40" i="21"/>
  <c r="K40" i="21"/>
  <c r="L40" i="21"/>
  <c r="M40" i="21"/>
  <c r="N40" i="21"/>
  <c r="O40" i="21"/>
  <c r="D40" i="21"/>
  <c r="D39" i="21"/>
  <c r="D37" i="21"/>
  <c r="D36" i="21"/>
  <c r="D35" i="21"/>
  <c r="D34" i="21"/>
  <c r="D33" i="21"/>
  <c r="D32" i="21"/>
  <c r="D31" i="21"/>
  <c r="F30" i="21"/>
  <c r="F31" i="21"/>
  <c r="G31" i="21"/>
  <c r="H31" i="21"/>
  <c r="I31" i="21"/>
  <c r="J31" i="21"/>
  <c r="K31" i="21"/>
  <c r="L31" i="21"/>
  <c r="M31" i="21"/>
  <c r="N31" i="21"/>
  <c r="O31" i="21"/>
  <c r="F33" i="21"/>
  <c r="G33" i="21"/>
  <c r="H33" i="21"/>
  <c r="I33" i="21"/>
  <c r="J33" i="21"/>
  <c r="K33" i="21"/>
  <c r="L33" i="21"/>
  <c r="M33" i="21"/>
  <c r="N33" i="21"/>
  <c r="O33" i="21"/>
  <c r="F35" i="21"/>
  <c r="G35" i="21"/>
  <c r="H35" i="21"/>
  <c r="I35" i="21"/>
  <c r="J35" i="21"/>
  <c r="K35" i="21"/>
  <c r="L35" i="21"/>
  <c r="M35" i="21"/>
  <c r="N35" i="21"/>
  <c r="O35" i="21"/>
  <c r="F37" i="21"/>
  <c r="G37" i="21"/>
  <c r="H37" i="21"/>
  <c r="I37" i="21"/>
  <c r="J37" i="21"/>
  <c r="K37" i="21"/>
  <c r="L37" i="21"/>
  <c r="M37" i="21"/>
  <c r="N37" i="21"/>
  <c r="O37" i="21"/>
  <c r="E37" i="21"/>
  <c r="E35" i="21"/>
  <c r="E31" i="21"/>
  <c r="E33" i="21"/>
  <c r="D9" i="21" a="1"/>
  <c r="D9" i="21" s="1"/>
  <c r="D5" i="21" a="1"/>
  <c r="D5" i="21" s="1"/>
  <c r="D3" i="21" a="1"/>
  <c r="D3" i="21" s="1"/>
  <c r="AQ73" i="13"/>
  <c r="AQ74" i="13"/>
  <c r="AQ14" i="13"/>
  <c r="AP14" i="13"/>
  <c r="AK182" i="22" l="1"/>
  <c r="AJ182" i="22"/>
  <c r="AK183" i="22"/>
  <c r="Y179" i="22"/>
  <c r="AK184" i="22"/>
  <c r="Y180" i="22"/>
  <c r="V179" i="22"/>
  <c r="AJ32" i="22"/>
  <c r="Y182" i="22"/>
  <c r="AK180" i="22"/>
  <c r="G31" i="22"/>
  <c r="X28" i="22"/>
  <c r="CL34" i="13"/>
  <c r="CL36" i="13" s="1"/>
  <c r="CL82" i="13"/>
  <c r="CL97" i="13"/>
  <c r="CL96" i="13"/>
  <c r="CL83" i="13"/>
  <c r="CL95" i="13"/>
  <c r="G30" i="22"/>
  <c r="CA61" i="13"/>
  <c r="Y30" i="22"/>
  <c r="BZ34" i="13"/>
  <c r="CB83" i="13"/>
  <c r="CC83" i="13" s="1"/>
  <c r="CD83" i="13" s="1"/>
  <c r="CE83" i="13" s="1"/>
  <c r="CF83" i="13" s="1"/>
  <c r="CG83" i="13" s="1"/>
  <c r="CH83" i="13" s="1"/>
  <c r="CI83" i="13" s="1"/>
  <c r="CJ83" i="13" s="1"/>
  <c r="CK83" i="13" s="1"/>
  <c r="CB82" i="13"/>
  <c r="CC82" i="13" s="1"/>
  <c r="CD82" i="13" s="1"/>
  <c r="CE82" i="13" s="1"/>
  <c r="CF82" i="13" s="1"/>
  <c r="CG82" i="13" s="1"/>
  <c r="CH82" i="13" s="1"/>
  <c r="CI82" i="13" s="1"/>
  <c r="CJ82" i="13" s="1"/>
  <c r="CK82" i="13" s="1"/>
  <c r="J31" i="22"/>
  <c r="CB59" i="13"/>
  <c r="CB91" i="13"/>
  <c r="CC91" i="13" s="1"/>
  <c r="CD91" i="13" s="1"/>
  <c r="CE91" i="13" s="1"/>
  <c r="CF91" i="13" s="1"/>
  <c r="CG91" i="13" s="1"/>
  <c r="CH91" i="13" s="1"/>
  <c r="CI91" i="13" s="1"/>
  <c r="CJ91" i="13" s="1"/>
  <c r="CK91" i="13" s="1"/>
  <c r="CB97" i="13"/>
  <c r="CC97" i="13" s="1"/>
  <c r="CD97" i="13" s="1"/>
  <c r="CE97" i="13" s="1"/>
  <c r="CF97" i="13" s="1"/>
  <c r="CG97" i="13" s="1"/>
  <c r="CH97" i="13" s="1"/>
  <c r="CI97" i="13" s="1"/>
  <c r="CJ97" i="13" s="1"/>
  <c r="CK97" i="13" s="1"/>
  <c r="CB96" i="13"/>
  <c r="CC96" i="13" s="1"/>
  <c r="CD96" i="13" s="1"/>
  <c r="CE96" i="13" s="1"/>
  <c r="CF96" i="13" s="1"/>
  <c r="CG96" i="13" s="1"/>
  <c r="CH96" i="13" s="1"/>
  <c r="CI96" i="13" s="1"/>
  <c r="CJ96" i="13" s="1"/>
  <c r="CK96" i="13" s="1"/>
  <c r="CB95" i="13"/>
  <c r="CC95" i="13" s="1"/>
  <c r="CD95" i="13" s="1"/>
  <c r="CE95" i="13" s="1"/>
  <c r="CF95" i="13" s="1"/>
  <c r="CG95" i="13" s="1"/>
  <c r="CH95" i="13" s="1"/>
  <c r="CI95" i="13" s="1"/>
  <c r="CJ95" i="13" s="1"/>
  <c r="CK95" i="13" s="1"/>
  <c r="CB94" i="13"/>
  <c r="CC94" i="13" s="1"/>
  <c r="CD94" i="13" s="1"/>
  <c r="CE94" i="13" s="1"/>
  <c r="CF94" i="13" s="1"/>
  <c r="CG94" i="13" s="1"/>
  <c r="CH94" i="13" s="1"/>
  <c r="CI94" i="13" s="1"/>
  <c r="CJ94" i="13" s="1"/>
  <c r="CK94" i="13" s="1"/>
  <c r="AB31" i="22"/>
  <c r="AK29" i="22"/>
  <c r="O31" i="22"/>
  <c r="O32" i="22"/>
  <c r="AE32" i="22"/>
  <c r="P30" i="22"/>
  <c r="X32" i="22"/>
  <c r="P31" i="22"/>
  <c r="AA30" i="22"/>
  <c r="I30" i="22"/>
  <c r="V27" i="22"/>
  <c r="P32" i="22"/>
  <c r="AH30" i="22"/>
  <c r="J30" i="22"/>
  <c r="AJ29" i="22"/>
  <c r="V32" i="22"/>
  <c r="AG31" i="22"/>
  <c r="R29" i="22"/>
  <c r="U27" i="22"/>
  <c r="F30" i="22"/>
  <c r="AH32" i="22"/>
  <c r="AD27" i="22"/>
  <c r="G32" i="22"/>
  <c r="U32" i="22"/>
  <c r="AH31" i="22"/>
  <c r="M31" i="22"/>
  <c r="X30" i="22"/>
  <c r="AH29" i="22"/>
  <c r="P29" i="22"/>
  <c r="S27" i="22"/>
  <c r="I31" i="22"/>
  <c r="AG32" i="22"/>
  <c r="AA29" i="22"/>
  <c r="F32" i="22"/>
  <c r="AJ30" i="22"/>
  <c r="AB30" i="22"/>
  <c r="S32" i="22"/>
  <c r="AD31" i="22"/>
  <c r="V30" i="22"/>
  <c r="R27" i="22"/>
  <c r="L31" i="22"/>
  <c r="AA31" i="22"/>
  <c r="L27" i="22"/>
  <c r="AD32" i="22"/>
  <c r="Y31" i="22"/>
  <c r="R28" i="22"/>
  <c r="AK32" i="22"/>
  <c r="M32" i="22"/>
  <c r="AK30" i="22"/>
  <c r="Y29" i="22"/>
  <c r="AB27" i="22"/>
  <c r="AJ31" i="22"/>
  <c r="U31" i="22"/>
  <c r="R30" i="22"/>
  <c r="S28" i="22"/>
  <c r="O29" i="22"/>
  <c r="AG30" i="22"/>
  <c r="O30" i="22"/>
  <c r="F31" i="22"/>
  <c r="S31" i="22"/>
  <c r="AK31" i="22"/>
  <c r="X31" i="22"/>
  <c r="R31" i="22"/>
  <c r="F29" i="22"/>
  <c r="AA28" i="22"/>
  <c r="I28" i="22"/>
  <c r="AJ28" i="22"/>
  <c r="Y28" i="22"/>
  <c r="G28" i="22"/>
  <c r="V28" i="22"/>
  <c r="V31" i="22"/>
  <c r="AE31" i="22"/>
  <c r="U28" i="22"/>
  <c r="I29" i="22"/>
  <c r="AG29" i="22"/>
  <c r="G29" i="22"/>
  <c r="J27" i="22"/>
  <c r="S29" i="22"/>
  <c r="L32" i="22"/>
  <c r="S30" i="22"/>
  <c r="AB29" i="22"/>
  <c r="J29" i="22"/>
  <c r="AE27" i="22"/>
  <c r="M27" i="22"/>
  <c r="X29" i="22"/>
  <c r="AH28" i="22"/>
  <c r="P28" i="22"/>
  <c r="AA27" i="22"/>
  <c r="AK28" i="22"/>
  <c r="AB32" i="22"/>
  <c r="J32" i="22"/>
  <c r="AD29" i="22"/>
  <c r="L29" i="22"/>
  <c r="AG27" i="22"/>
  <c r="O27" i="22"/>
  <c r="V29" i="22"/>
  <c r="AG28" i="22"/>
  <c r="O28" i="22"/>
  <c r="Y27" i="22"/>
  <c r="G27" i="22"/>
  <c r="AK27" i="22"/>
  <c r="AA32" i="22"/>
  <c r="I32" i="22"/>
  <c r="AJ27" i="22"/>
  <c r="U29" i="22"/>
  <c r="AE28" i="22"/>
  <c r="M28" i="22"/>
  <c r="X27" i="22"/>
  <c r="F27" i="22"/>
  <c r="AD28" i="22"/>
  <c r="L28" i="22"/>
  <c r="AE30" i="22"/>
  <c r="M30" i="22"/>
  <c r="AB28" i="22"/>
  <c r="J28" i="22"/>
  <c r="AD30" i="22"/>
  <c r="L30" i="22"/>
  <c r="AH27" i="22"/>
  <c r="P27" i="22"/>
  <c r="AE29" i="22"/>
  <c r="M29" i="22"/>
  <c r="K22" i="18"/>
  <c r="AP28" i="13"/>
  <c r="CC59" i="13" l="1"/>
  <c r="CB87" i="13"/>
  <c r="CB61" i="13"/>
  <c r="CL91" i="13"/>
  <c r="CL94" i="13"/>
  <c r="BE72" i="13"/>
  <c r="L29" i="18"/>
  <c r="K29" i="18"/>
  <c r="P29" i="18" s="1"/>
  <c r="D29" i="18"/>
  <c r="C29" i="18"/>
  <c r="BG109" i="13"/>
  <c r="Q101" i="13"/>
  <c r="Q93" i="13"/>
  <c r="AI101" i="13"/>
  <c r="AI93" i="13"/>
  <c r="Q65" i="13"/>
  <c r="AI65" i="13"/>
  <c r="Q37" i="13"/>
  <c r="AI37" i="13"/>
  <c r="AI4" i="13"/>
  <c r="Q4" i="13"/>
  <c r="BS101" i="13"/>
  <c r="BS93" i="13"/>
  <c r="BS65" i="13"/>
  <c r="BS37" i="13"/>
  <c r="BS4" i="13"/>
  <c r="BA101" i="13"/>
  <c r="BA93" i="13"/>
  <c r="BA65" i="13"/>
  <c r="BA37" i="13"/>
  <c r="BA4" i="13"/>
  <c r="P4" i="13"/>
  <c r="L3" i="13" s="1"/>
  <c r="P37" i="13"/>
  <c r="P65" i="13"/>
  <c r="P93" i="13"/>
  <c r="P101" i="13"/>
  <c r="BR65" i="13"/>
  <c r="C22" i="18"/>
  <c r="K4" i="18"/>
  <c r="C4" i="18"/>
  <c r="BR4" i="13"/>
  <c r="BF3" i="13" s="1"/>
  <c r="BR37" i="13"/>
  <c r="BR93" i="13"/>
  <c r="BR101" i="13"/>
  <c r="AZ101" i="13"/>
  <c r="AZ93" i="13"/>
  <c r="AZ65" i="13"/>
  <c r="AZ37" i="13"/>
  <c r="AZ4" i="13"/>
  <c r="AH101" i="13"/>
  <c r="AH93" i="13"/>
  <c r="AH65" i="13"/>
  <c r="AH37" i="13"/>
  <c r="AH4" i="13"/>
  <c r="U3" i="13" s="1"/>
  <c r="BK109" i="13"/>
  <c r="O36" i="21"/>
  <c r="BF138" i="13"/>
  <c r="BG138" i="13" s="1"/>
  <c r="BH138" i="13" s="1"/>
  <c r="BI138" i="13" s="1"/>
  <c r="BJ138" i="13" s="1"/>
  <c r="BK131" i="13"/>
  <c r="BO124" i="13"/>
  <c r="BE110" i="13"/>
  <c r="BF110" i="13"/>
  <c r="BG110" i="13"/>
  <c r="BH110" i="13"/>
  <c r="BI110" i="13"/>
  <c r="BJ110" i="13"/>
  <c r="BN115" i="13"/>
  <c r="BO115" i="13"/>
  <c r="BP115" i="13"/>
  <c r="BK20" i="13"/>
  <c r="I20" i="13" s="1"/>
  <c r="BL131" i="13"/>
  <c r="BM131" i="13"/>
  <c r="BN131" i="13"/>
  <c r="BO131" i="13"/>
  <c r="BP131" i="13"/>
  <c r="BF109" i="13"/>
  <c r="BH109" i="13"/>
  <c r="BI109" i="13"/>
  <c r="BJ109" i="13"/>
  <c r="BL109" i="13"/>
  <c r="BM109" i="13"/>
  <c r="BN109" i="13"/>
  <c r="BO109" i="13"/>
  <c r="BP109" i="13"/>
  <c r="BF122" i="13"/>
  <c r="BG122" i="13"/>
  <c r="BH122" i="13"/>
  <c r="BI122" i="13"/>
  <c r="BJ122" i="13"/>
  <c r="BK122" i="13"/>
  <c r="BL122" i="13"/>
  <c r="BM122" i="13"/>
  <c r="BN122" i="13"/>
  <c r="BO122" i="13"/>
  <c r="BP122" i="13"/>
  <c r="BF131" i="13"/>
  <c r="BG131" i="13"/>
  <c r="BH131" i="13"/>
  <c r="BI131" i="13"/>
  <c r="BJ131" i="13"/>
  <c r="BF140" i="13"/>
  <c r="BG140" i="13"/>
  <c r="BH140" i="13"/>
  <c r="BI140" i="13"/>
  <c r="BJ140" i="13"/>
  <c r="BF132" i="13"/>
  <c r="BG132" i="13"/>
  <c r="BH132" i="13"/>
  <c r="BI132" i="13"/>
  <c r="BJ132" i="13"/>
  <c r="BF123" i="13"/>
  <c r="BG123" i="13"/>
  <c r="BH123" i="13"/>
  <c r="BI123" i="13"/>
  <c r="BJ123" i="13"/>
  <c r="BE140" i="13"/>
  <c r="BE123" i="13"/>
  <c r="BE122" i="13"/>
  <c r="BE132" i="13"/>
  <c r="BE131" i="13"/>
  <c r="BE109" i="13"/>
  <c r="N33" i="13"/>
  <c r="M33" i="13"/>
  <c r="L33" i="13"/>
  <c r="H33" i="13"/>
  <c r="G33" i="13"/>
  <c r="F33" i="13"/>
  <c r="E33" i="13"/>
  <c r="D33" i="13"/>
  <c r="C33" i="13"/>
  <c r="N32" i="13"/>
  <c r="M32" i="13"/>
  <c r="L32" i="13"/>
  <c r="H32" i="13"/>
  <c r="G32" i="13"/>
  <c r="F32" i="13"/>
  <c r="E32" i="13"/>
  <c r="D32" i="13"/>
  <c r="C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4" i="13"/>
  <c r="M24" i="13"/>
  <c r="L24" i="13"/>
  <c r="K24" i="13"/>
  <c r="AK16" i="16"/>
  <c r="AK18" i="16" s="1"/>
  <c r="AJ16" i="16"/>
  <c r="AM4" i="16"/>
  <c r="AW4" i="16" s="1"/>
  <c r="AM5" i="16"/>
  <c r="AW5" i="16" s="1"/>
  <c r="AM6" i="16"/>
  <c r="AM11" i="16"/>
  <c r="AM12" i="16"/>
  <c r="AM13" i="16"/>
  <c r="AM14" i="16"/>
  <c r="AM15" i="16"/>
  <c r="AM19" i="16"/>
  <c r="AW19" i="16" s="1"/>
  <c r="AY19" i="16" s="1"/>
  <c r="AM20" i="16"/>
  <c r="AW20" i="16" s="1"/>
  <c r="AY20" i="16" s="1"/>
  <c r="AM21" i="16"/>
  <c r="AW21" i="16" s="1"/>
  <c r="AY21" i="16" s="1"/>
  <c r="AM22" i="16"/>
  <c r="AM27" i="16"/>
  <c r="AW27" i="16" s="1"/>
  <c r="AY27" i="16" s="1"/>
  <c r="AM28" i="16"/>
  <c r="AM29" i="16"/>
  <c r="AM30" i="16"/>
  <c r="AW30" i="16" s="1"/>
  <c r="AY30" i="16" s="1"/>
  <c r="AM31" i="16"/>
  <c r="AW31" i="16" s="1"/>
  <c r="AM3" i="16"/>
  <c r="AW3" i="16" s="1"/>
  <c r="V36" i="16"/>
  <c r="V12" i="16"/>
  <c r="AF12" i="16" s="1"/>
  <c r="O12" i="16" s="1"/>
  <c r="V13" i="16"/>
  <c r="V15" i="16"/>
  <c r="V23" i="16"/>
  <c r="V32" i="16"/>
  <c r="V7" i="16"/>
  <c r="AK32" i="16"/>
  <c r="AM32" i="16" s="1"/>
  <c r="AL32" i="16"/>
  <c r="AJ32" i="16"/>
  <c r="T18" i="16"/>
  <c r="S18" i="16"/>
  <c r="T17" i="16"/>
  <c r="S17" i="16"/>
  <c r="AO3" i="17"/>
  <c r="AM4" i="17"/>
  <c r="AJ16" i="17"/>
  <c r="AK7" i="17"/>
  <c r="AK8" i="17"/>
  <c r="AL5" i="17"/>
  <c r="AK4" i="17"/>
  <c r="S7" i="17"/>
  <c r="AI8" i="17" s="1"/>
  <c r="S84" i="17"/>
  <c r="AI4" i="17"/>
  <c r="C4" i="17"/>
  <c r="U59" i="17"/>
  <c r="AN23" i="16"/>
  <c r="AO23" i="16"/>
  <c r="AP23" i="16"/>
  <c r="AQ23" i="16"/>
  <c r="AR23" i="16"/>
  <c r="AS23" i="16"/>
  <c r="AT23" i="16"/>
  <c r="AU23" i="16"/>
  <c r="AV23" i="16"/>
  <c r="AK15" i="16"/>
  <c r="AL15" i="16"/>
  <c r="AN15" i="16"/>
  <c r="AO15" i="16"/>
  <c r="AP15" i="16"/>
  <c r="AQ15" i="16"/>
  <c r="AR15" i="16"/>
  <c r="AS15" i="16"/>
  <c r="AT15" i="16"/>
  <c r="AU15" i="16"/>
  <c r="AV15" i="16"/>
  <c r="AJ15" i="16"/>
  <c r="AJ18" i="16" s="1"/>
  <c r="AJ23" i="16" s="1"/>
  <c r="AK7" i="16"/>
  <c r="AL7" i="16"/>
  <c r="AN7" i="16"/>
  <c r="AO7" i="16"/>
  <c r="AP7" i="16"/>
  <c r="AQ7" i="16"/>
  <c r="AR7" i="16"/>
  <c r="AS7" i="16"/>
  <c r="AT7" i="16"/>
  <c r="AU7" i="16"/>
  <c r="AV7" i="16"/>
  <c r="AJ7" i="16"/>
  <c r="AM7" i="16" s="1"/>
  <c r="AV51" i="17"/>
  <c r="AJ51" i="17"/>
  <c r="AK51" i="17"/>
  <c r="AL51" i="17"/>
  <c r="AM51" i="17"/>
  <c r="AN51" i="17"/>
  <c r="AO51" i="17"/>
  <c r="AP51" i="17"/>
  <c r="AQ51" i="17"/>
  <c r="AR51" i="17"/>
  <c r="AS51" i="17"/>
  <c r="AT51" i="17"/>
  <c r="AJ50" i="17"/>
  <c r="AK50" i="17"/>
  <c r="AI50" i="17"/>
  <c r="AJ49" i="17"/>
  <c r="AK49" i="17"/>
  <c r="AI49" i="17"/>
  <c r="AJ48" i="17"/>
  <c r="AK48" i="17"/>
  <c r="AI48" i="17"/>
  <c r="AJ47" i="17"/>
  <c r="AK47" i="17"/>
  <c r="AL47" i="17"/>
  <c r="AM47" i="17"/>
  <c r="AN47" i="17"/>
  <c r="AR47" i="17"/>
  <c r="AS47" i="17"/>
  <c r="AT47" i="17"/>
  <c r="AI47" i="17"/>
  <c r="S38" i="17"/>
  <c r="AI39" i="17" s="1"/>
  <c r="U7" i="17"/>
  <c r="AJ114" i="17"/>
  <c r="AJ113" i="17"/>
  <c r="AK113" i="17" s="1"/>
  <c r="AL113" i="17" s="1"/>
  <c r="AJ112" i="17"/>
  <c r="AK112" i="17" s="1"/>
  <c r="AL112" i="17" s="1"/>
  <c r="AM112" i="17" s="1"/>
  <c r="AN112" i="17" s="1"/>
  <c r="AO112" i="17" s="1"/>
  <c r="AP112" i="17" s="1"/>
  <c r="AQ112" i="17" s="1"/>
  <c r="AR112" i="17" s="1"/>
  <c r="AS112" i="17" s="1"/>
  <c r="AT112" i="17" s="1"/>
  <c r="AJ111" i="17"/>
  <c r="AK111" i="17" s="1"/>
  <c r="AL111" i="17" s="1"/>
  <c r="AM111" i="17" s="1"/>
  <c r="AN111" i="17" s="1"/>
  <c r="AO111" i="17" s="1"/>
  <c r="AP111" i="17" s="1"/>
  <c r="AQ111" i="17" s="1"/>
  <c r="AR111" i="17" s="1"/>
  <c r="AS111" i="17" s="1"/>
  <c r="AJ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AI105" i="17"/>
  <c r="AJ105" i="17" s="1"/>
  <c r="AK105" i="17" s="1"/>
  <c r="AL105" i="17" s="1"/>
  <c r="AM105" i="17" s="1"/>
  <c r="AN105" i="17" s="1"/>
  <c r="AO105" i="17" s="1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AP104" i="17"/>
  <c r="AQ104" i="17" s="1"/>
  <c r="AI104" i="17"/>
  <c r="AJ104" i="17" s="1"/>
  <c r="AD104" i="17"/>
  <c r="AC104" i="17"/>
  <c r="AB104" i="17"/>
  <c r="AA104" i="17"/>
  <c r="Z104" i="17"/>
  <c r="Y104" i="17"/>
  <c r="I104" i="17" s="1"/>
  <c r="X104" i="17"/>
  <c r="W104" i="17"/>
  <c r="V104" i="17"/>
  <c r="U104" i="17"/>
  <c r="T104" i="17"/>
  <c r="S104" i="17"/>
  <c r="AI103" i="17"/>
  <c r="AJ103" i="17" s="1"/>
  <c r="AK103" i="17" s="1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AE103" i="17" s="1"/>
  <c r="AI102" i="17"/>
  <c r="AJ102" i="17" s="1"/>
  <c r="AK102" i="17" s="1"/>
  <c r="AD102" i="17"/>
  <c r="AC102" i="17"/>
  <c r="AB102" i="17"/>
  <c r="AA102" i="17"/>
  <c r="Z102" i="17"/>
  <c r="Y102" i="17"/>
  <c r="X102" i="17"/>
  <c r="W102" i="17"/>
  <c r="V102" i="17"/>
  <c r="U102" i="17"/>
  <c r="T102" i="17"/>
  <c r="S102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AJ100" i="17"/>
  <c r="AJ29" i="17" s="1"/>
  <c r="D29" i="17" s="1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AE100" i="17" s="1"/>
  <c r="AJ99" i="17"/>
  <c r="AK99" i="17" s="1"/>
  <c r="AL99" i="17" s="1"/>
  <c r="AL28" i="17" s="1"/>
  <c r="F28" i="17" s="1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AE99" i="17" s="1"/>
  <c r="AT98" i="17"/>
  <c r="AT27" i="17" s="1"/>
  <c r="N27" i="17" s="1"/>
  <c r="AS98" i="17"/>
  <c r="AS27" i="17" s="1"/>
  <c r="AR98" i="17"/>
  <c r="AR27" i="17" s="1"/>
  <c r="AQ98" i="17"/>
  <c r="AQ27" i="17" s="1"/>
  <c r="K27" i="17" s="1"/>
  <c r="AP98" i="17"/>
  <c r="AP27" i="17" s="1"/>
  <c r="J27" i="17" s="1"/>
  <c r="AO98" i="17"/>
  <c r="AO27" i="17" s="1"/>
  <c r="I27" i="17" s="1"/>
  <c r="AN98" i="17"/>
  <c r="AN27" i="17" s="1"/>
  <c r="H27" i="17" s="1"/>
  <c r="AM98" i="17"/>
  <c r="AM27" i="17" s="1"/>
  <c r="G27" i="17" s="1"/>
  <c r="AL98" i="17"/>
  <c r="AL27" i="17" s="1"/>
  <c r="F27" i="17" s="1"/>
  <c r="AK98" i="17"/>
  <c r="AK27" i="17" s="1"/>
  <c r="AJ98" i="17"/>
  <c r="AJ27" i="17" s="1"/>
  <c r="AI98" i="17"/>
  <c r="AD98" i="17"/>
  <c r="N98" i="17" s="1"/>
  <c r="AC98" i="17"/>
  <c r="AB98" i="17"/>
  <c r="L98" i="17" s="1"/>
  <c r="AA98" i="17"/>
  <c r="K98" i="17" s="1"/>
  <c r="Z98" i="17"/>
  <c r="J98" i="17" s="1"/>
  <c r="Y98" i="17"/>
  <c r="I98" i="17" s="1"/>
  <c r="X98" i="17"/>
  <c r="W98" i="17"/>
  <c r="G98" i="17" s="1"/>
  <c r="V98" i="17"/>
  <c r="F98" i="17" s="1"/>
  <c r="U98" i="17"/>
  <c r="T98" i="17"/>
  <c r="S98" i="17"/>
  <c r="AE98" i="17" s="1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AI96" i="17"/>
  <c r="AJ96" i="17" s="1"/>
  <c r="AK96" i="17" s="1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AO95" i="17"/>
  <c r="AP95" i="17" s="1"/>
  <c r="AQ95" i="17" s="1"/>
  <c r="AI95" i="17"/>
  <c r="AJ95" i="17" s="1"/>
  <c r="AJ21" i="17" s="1"/>
  <c r="D21" i="17" s="1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AE95" i="17" s="1"/>
  <c r="AI94" i="17"/>
  <c r="AJ94" i="17" s="1"/>
  <c r="AK94" i="17" s="1"/>
  <c r="AK20" i="17" s="1"/>
  <c r="E20" i="17" s="1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AE94" i="17" s="1"/>
  <c r="AI93" i="17"/>
  <c r="AJ93" i="17" s="1"/>
  <c r="AK93" i="17" s="1"/>
  <c r="AK19" i="17" s="1"/>
  <c r="E19" i="17" s="1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AE93" i="17" s="1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AI91" i="17"/>
  <c r="AJ91" i="17" s="1"/>
  <c r="AK91" i="17" s="1"/>
  <c r="AL91" i="17" s="1"/>
  <c r="AL14" i="17" s="1"/>
  <c r="F14" i="17" s="1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AE91" i="17" s="1"/>
  <c r="AP90" i="17"/>
  <c r="AQ90" i="17" s="1"/>
  <c r="AI90" i="17"/>
  <c r="AI13" i="17" s="1"/>
  <c r="C13" i="17" s="1"/>
  <c r="AD90" i="17"/>
  <c r="AC90" i="17"/>
  <c r="AB90" i="17"/>
  <c r="AA90" i="17"/>
  <c r="Z90" i="17"/>
  <c r="Y90" i="17"/>
  <c r="I90" i="17" s="1"/>
  <c r="X90" i="17"/>
  <c r="W90" i="17"/>
  <c r="V90" i="17"/>
  <c r="U90" i="17"/>
  <c r="T90" i="17"/>
  <c r="S90" i="17"/>
  <c r="AE90" i="17" s="1"/>
  <c r="AI89" i="17"/>
  <c r="AJ89" i="17" s="1"/>
  <c r="AK89" i="17" s="1"/>
  <c r="AL89" i="17" s="1"/>
  <c r="AL12" i="17" s="1"/>
  <c r="F12" i="17" s="1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AE89" i="17" s="1"/>
  <c r="AI88" i="17"/>
  <c r="AJ88" i="17" s="1"/>
  <c r="AK88" i="17" s="1"/>
  <c r="AK11" i="17" s="1"/>
  <c r="E11" i="17" s="1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AE88" i="17" s="1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AI86" i="17"/>
  <c r="AJ86" i="17" s="1"/>
  <c r="AK86" i="17" s="1"/>
  <c r="AL86" i="17" s="1"/>
  <c r="AL6" i="17" s="1"/>
  <c r="F6" i="17" s="1"/>
  <c r="AD86" i="17"/>
  <c r="AC86" i="17"/>
  <c r="AC114" i="17" s="1"/>
  <c r="AB86" i="17"/>
  <c r="AB114" i="17" s="1"/>
  <c r="AA86" i="17"/>
  <c r="Z86" i="17"/>
  <c r="Z114" i="17" s="1"/>
  <c r="Y86" i="17"/>
  <c r="Y114" i="17" s="1"/>
  <c r="X86" i="17"/>
  <c r="W86" i="17"/>
  <c r="V86" i="17"/>
  <c r="V114" i="17" s="1"/>
  <c r="U86" i="17"/>
  <c r="U114" i="17" s="1"/>
  <c r="T86" i="17"/>
  <c r="S86" i="17"/>
  <c r="S114" i="17" s="1"/>
  <c r="AP85" i="17"/>
  <c r="AQ85" i="17" s="1"/>
  <c r="AI85" i="17"/>
  <c r="AI5" i="17" s="1"/>
  <c r="C5" i="17" s="1"/>
  <c r="AD85" i="17"/>
  <c r="AD113" i="17" s="1"/>
  <c r="AC85" i="17"/>
  <c r="AB85" i="17"/>
  <c r="AB113" i="17" s="1"/>
  <c r="AA85" i="17"/>
  <c r="AA113" i="17" s="1"/>
  <c r="Z85" i="17"/>
  <c r="Y85" i="17"/>
  <c r="I85" i="17" s="1"/>
  <c r="X85" i="17"/>
  <c r="X113" i="17" s="1"/>
  <c r="W85" i="17"/>
  <c r="W113" i="17" s="1"/>
  <c r="V85" i="17"/>
  <c r="U85" i="17"/>
  <c r="U113" i="17" s="1"/>
  <c r="T85" i="17"/>
  <c r="S85" i="17"/>
  <c r="AI84" i="17"/>
  <c r="AJ84" i="17" s="1"/>
  <c r="AK84" i="17" s="1"/>
  <c r="AD84" i="17"/>
  <c r="AC84" i="17"/>
  <c r="AB84" i="17"/>
  <c r="AA84" i="17"/>
  <c r="Z84" i="17"/>
  <c r="Y84" i="17"/>
  <c r="X84" i="17"/>
  <c r="W84" i="17"/>
  <c r="V84" i="17"/>
  <c r="U84" i="17"/>
  <c r="T84" i="17"/>
  <c r="AI83" i="17"/>
  <c r="AJ83" i="17" s="1"/>
  <c r="AK83" i="17" s="1"/>
  <c r="AK3" i="17" s="1"/>
  <c r="E3" i="17" s="1"/>
  <c r="AD83" i="17"/>
  <c r="AD111" i="17" s="1"/>
  <c r="AC83" i="17"/>
  <c r="AC111" i="17" s="1"/>
  <c r="AB83" i="17"/>
  <c r="AA83" i="17"/>
  <c r="AA111" i="17" s="1"/>
  <c r="Z83" i="17"/>
  <c r="Y83" i="17"/>
  <c r="Y111" i="17" s="1"/>
  <c r="X83" i="17"/>
  <c r="X111" i="17" s="1"/>
  <c r="W83" i="17"/>
  <c r="W111" i="17" s="1"/>
  <c r="V83" i="17"/>
  <c r="V111" i="17" s="1"/>
  <c r="U83" i="17"/>
  <c r="U111" i="17" s="1"/>
  <c r="T83" i="17"/>
  <c r="T111" i="17" s="1"/>
  <c r="S83" i="17"/>
  <c r="S111" i="17" s="1"/>
  <c r="AU80" i="17"/>
  <c r="AU79" i="17"/>
  <c r="AE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D78" i="17"/>
  <c r="AE78" i="17" s="1"/>
  <c r="AC78" i="17"/>
  <c r="AB78" i="17"/>
  <c r="AA78" i="17"/>
  <c r="Z78" i="17"/>
  <c r="Y78" i="17"/>
  <c r="X78" i="17"/>
  <c r="W78" i="17"/>
  <c r="V78" i="17"/>
  <c r="U78" i="17"/>
  <c r="T78" i="17"/>
  <c r="S78" i="17"/>
  <c r="AI77" i="17"/>
  <c r="AJ77" i="17" s="1"/>
  <c r="AE77" i="17"/>
  <c r="AI76" i="17"/>
  <c r="C76" i="17" s="1"/>
  <c r="AE76" i="17"/>
  <c r="AI75" i="17"/>
  <c r="AJ75" i="17" s="1"/>
  <c r="AE75" i="17"/>
  <c r="AI74" i="17"/>
  <c r="C74" i="17" s="1"/>
  <c r="AE74" i="17"/>
  <c r="AT73" i="17"/>
  <c r="AU73" i="17" s="1"/>
  <c r="AS73" i="17"/>
  <c r="M73" i="17" s="1"/>
  <c r="AR73" i="17"/>
  <c r="L73" i="17" s="1"/>
  <c r="AQ73" i="17"/>
  <c r="K73" i="17" s="1"/>
  <c r="AP73" i="17"/>
  <c r="J73" i="17" s="1"/>
  <c r="AO73" i="17"/>
  <c r="I73" i="17" s="1"/>
  <c r="AN73" i="17"/>
  <c r="H73" i="17" s="1"/>
  <c r="AM73" i="17"/>
  <c r="G73" i="17" s="1"/>
  <c r="AL73" i="17"/>
  <c r="F73" i="17" s="1"/>
  <c r="AK73" i="17"/>
  <c r="E73" i="17" s="1"/>
  <c r="AJ73" i="17"/>
  <c r="D73" i="17" s="1"/>
  <c r="AI73" i="17"/>
  <c r="C73" i="17" s="1"/>
  <c r="AE73" i="17"/>
  <c r="O73" i="17" s="1"/>
  <c r="AU72" i="17"/>
  <c r="AE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U71" i="17"/>
  <c r="AE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AU70" i="17"/>
  <c r="AE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N69" i="17"/>
  <c r="AM69" i="17"/>
  <c r="AL69" i="17"/>
  <c r="AK69" i="17"/>
  <c r="AJ69" i="17"/>
  <c r="AI69" i="17"/>
  <c r="AD69" i="17"/>
  <c r="AC69" i="17"/>
  <c r="AB69" i="17"/>
  <c r="AA69" i="17"/>
  <c r="Z69" i="17"/>
  <c r="Y69" i="17"/>
  <c r="X69" i="17"/>
  <c r="W69" i="17"/>
  <c r="V69" i="17"/>
  <c r="F69" i="17" s="1"/>
  <c r="U69" i="17"/>
  <c r="E69" i="17" s="1"/>
  <c r="T69" i="17"/>
  <c r="D69" i="17" s="1"/>
  <c r="S69" i="17"/>
  <c r="C69" i="17" s="1"/>
  <c r="AU68" i="17"/>
  <c r="AE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T67" i="17"/>
  <c r="AU67" i="17" s="1"/>
  <c r="AS67" i="17"/>
  <c r="M67" i="17" s="1"/>
  <c r="AR67" i="17"/>
  <c r="AR69" i="17" s="1"/>
  <c r="AQ67" i="17"/>
  <c r="AQ69" i="17" s="1"/>
  <c r="AP67" i="17"/>
  <c r="AP69" i="17" s="1"/>
  <c r="AO67" i="17"/>
  <c r="I67" i="17" s="1"/>
  <c r="AE67" i="17"/>
  <c r="H67" i="17"/>
  <c r="G67" i="17"/>
  <c r="F67" i="17"/>
  <c r="E67" i="17"/>
  <c r="D67" i="17"/>
  <c r="C67" i="17"/>
  <c r="AU66" i="17"/>
  <c r="AE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U65" i="17"/>
  <c r="AE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AN64" i="17"/>
  <c r="AM64" i="17"/>
  <c r="AL64" i="17"/>
  <c r="AK64" i="17"/>
  <c r="AJ64" i="17"/>
  <c r="AI64" i="17"/>
  <c r="AD64" i="17"/>
  <c r="AE64" i="17" s="1"/>
  <c r="AC64" i="17"/>
  <c r="AB64" i="17"/>
  <c r="AA64" i="17"/>
  <c r="Z64" i="17"/>
  <c r="Y64" i="17"/>
  <c r="X64" i="17"/>
  <c r="W64" i="17"/>
  <c r="V64" i="17"/>
  <c r="F64" i="17" s="1"/>
  <c r="U64" i="17"/>
  <c r="E64" i="17" s="1"/>
  <c r="T64" i="17"/>
  <c r="S64" i="17"/>
  <c r="C64" i="17" s="1"/>
  <c r="AE63" i="17"/>
  <c r="H63" i="17"/>
  <c r="G63" i="17"/>
  <c r="F63" i="17"/>
  <c r="E63" i="17"/>
  <c r="D63" i="17"/>
  <c r="C63" i="17"/>
  <c r="AT62" i="17"/>
  <c r="AU62" i="17" s="1"/>
  <c r="AS62" i="17"/>
  <c r="AS63" i="17" s="1"/>
  <c r="M63" i="17" s="1"/>
  <c r="AR62" i="17"/>
  <c r="AR63" i="17" s="1"/>
  <c r="L63" i="17" s="1"/>
  <c r="AQ62" i="17"/>
  <c r="K62" i="17" s="1"/>
  <c r="AP62" i="17"/>
  <c r="AO62" i="17"/>
  <c r="AO13" i="17" s="1"/>
  <c r="I13" i="17" s="1"/>
  <c r="AE62" i="17"/>
  <c r="H62" i="17"/>
  <c r="G62" i="17"/>
  <c r="F62" i="17"/>
  <c r="E62" i="17"/>
  <c r="D62" i="17"/>
  <c r="C62" i="17"/>
  <c r="AU61" i="17"/>
  <c r="AE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U60" i="17"/>
  <c r="AE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AN59" i="17"/>
  <c r="AM59" i="17"/>
  <c r="AL59" i="17"/>
  <c r="AK59" i="17"/>
  <c r="AJ59" i="17"/>
  <c r="AI59" i="17"/>
  <c r="AD59" i="17"/>
  <c r="AE59" i="17" s="1"/>
  <c r="AC59" i="17"/>
  <c r="AB59" i="17"/>
  <c r="AA59" i="17"/>
  <c r="Z59" i="17"/>
  <c r="Y59" i="17"/>
  <c r="X59" i="17"/>
  <c r="W59" i="17"/>
  <c r="V59" i="17"/>
  <c r="T59" i="17"/>
  <c r="S59" i="17"/>
  <c r="AE58" i="17"/>
  <c r="H58" i="17"/>
  <c r="G58" i="17"/>
  <c r="F58" i="17"/>
  <c r="E58" i="17"/>
  <c r="D58" i="17"/>
  <c r="C58" i="17"/>
  <c r="AT57" i="17"/>
  <c r="AU57" i="17" s="1"/>
  <c r="AS57" i="17"/>
  <c r="AR57" i="17"/>
  <c r="AR58" i="17" s="1"/>
  <c r="L58" i="17" s="1"/>
  <c r="AQ57" i="17"/>
  <c r="K57" i="17" s="1"/>
  <c r="AP57" i="17"/>
  <c r="J57" i="17" s="1"/>
  <c r="AO57" i="17"/>
  <c r="AE57" i="17"/>
  <c r="H57" i="17"/>
  <c r="G57" i="17"/>
  <c r="F57" i="17"/>
  <c r="E57" i="17"/>
  <c r="D57" i="17"/>
  <c r="C57" i="17"/>
  <c r="AU56" i="17"/>
  <c r="AE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U55" i="17"/>
  <c r="AE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AK53" i="17"/>
  <c r="AQ46" i="17"/>
  <c r="K46" i="17" s="1"/>
  <c r="AP46" i="17"/>
  <c r="J46" i="17" s="1"/>
  <c r="AO46" i="17"/>
  <c r="AE46" i="17"/>
  <c r="N46" i="17"/>
  <c r="M46" i="17"/>
  <c r="L46" i="17"/>
  <c r="H46" i="17"/>
  <c r="G46" i="17"/>
  <c r="F46" i="17"/>
  <c r="E46" i="17"/>
  <c r="D46" i="17"/>
  <c r="C46" i="17"/>
  <c r="AQ45" i="17"/>
  <c r="K45" i="17" s="1"/>
  <c r="AP45" i="17"/>
  <c r="J45" i="17" s="1"/>
  <c r="AO45" i="17"/>
  <c r="I45" i="17" s="1"/>
  <c r="AE45" i="17"/>
  <c r="N45" i="17"/>
  <c r="M45" i="17"/>
  <c r="L45" i="17"/>
  <c r="H45" i="17"/>
  <c r="G45" i="17"/>
  <c r="F45" i="17"/>
  <c r="E45" i="17"/>
  <c r="D45" i="17"/>
  <c r="C45" i="17"/>
  <c r="AU44" i="17"/>
  <c r="AW44" i="17" s="1"/>
  <c r="AE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U43" i="17"/>
  <c r="AW43" i="17" s="1"/>
  <c r="AE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AU42" i="17"/>
  <c r="AE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AD38" i="17"/>
  <c r="AC38" i="17"/>
  <c r="AB38" i="17"/>
  <c r="AA38" i="17"/>
  <c r="Z38" i="17"/>
  <c r="Y38" i="17"/>
  <c r="X38" i="17"/>
  <c r="W38" i="17"/>
  <c r="V38" i="17"/>
  <c r="U38" i="17"/>
  <c r="AK39" i="17" s="1"/>
  <c r="T38" i="17"/>
  <c r="AJ39" i="17" s="1"/>
  <c r="AE37" i="17"/>
  <c r="AE36" i="17"/>
  <c r="AE35" i="17"/>
  <c r="AE34" i="17"/>
  <c r="N34" i="17"/>
  <c r="M34" i="17"/>
  <c r="L34" i="17"/>
  <c r="K34" i="17"/>
  <c r="E34" i="17"/>
  <c r="D34" i="17"/>
  <c r="C34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AI29" i="17"/>
  <c r="C29" i="17" s="1"/>
  <c r="AE29" i="17"/>
  <c r="AI28" i="17"/>
  <c r="C28" i="17" s="1"/>
  <c r="AE28" i="17"/>
  <c r="AI27" i="17"/>
  <c r="C27" i="17" s="1"/>
  <c r="AE27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AI24" i="17" s="1"/>
  <c r="AE22" i="17"/>
  <c r="AE21" i="17"/>
  <c r="AE20" i="17"/>
  <c r="AE19" i="17"/>
  <c r="AD15" i="17"/>
  <c r="AT16" i="17" s="1"/>
  <c r="AC15" i="17"/>
  <c r="AS16" i="17" s="1"/>
  <c r="AB15" i="17"/>
  <c r="AR16" i="17" s="1"/>
  <c r="AA15" i="17"/>
  <c r="AQ16" i="17" s="1"/>
  <c r="Z15" i="17"/>
  <c r="AP16" i="17" s="1"/>
  <c r="Y15" i="17"/>
  <c r="AO16" i="17" s="1"/>
  <c r="X15" i="17"/>
  <c r="AN16" i="17" s="1"/>
  <c r="W15" i="17"/>
  <c r="AM16" i="17" s="1"/>
  <c r="V15" i="17"/>
  <c r="AL16" i="17" s="1"/>
  <c r="U15" i="17"/>
  <c r="T15" i="17"/>
  <c r="S15" i="17"/>
  <c r="AE14" i="17"/>
  <c r="AE13" i="17"/>
  <c r="AE12" i="17"/>
  <c r="AE11" i="17"/>
  <c r="AD7" i="17"/>
  <c r="AT8" i="17" s="1"/>
  <c r="AC7" i="17"/>
  <c r="AS8" i="17" s="1"/>
  <c r="AB7" i="17"/>
  <c r="AR8" i="17" s="1"/>
  <c r="AA7" i="17"/>
  <c r="AQ8" i="17" s="1"/>
  <c r="Z7" i="17"/>
  <c r="AP8" i="17" s="1"/>
  <c r="Y7" i="17"/>
  <c r="AO8" i="17" s="1"/>
  <c r="X7" i="17"/>
  <c r="AN8" i="17" s="1"/>
  <c r="W7" i="17"/>
  <c r="AM8" i="17" s="1"/>
  <c r="V7" i="17"/>
  <c r="AL8" i="17" s="1"/>
  <c r="T7" i="17"/>
  <c r="AE6" i="17"/>
  <c r="AE5" i="17"/>
  <c r="AE4" i="17"/>
  <c r="AE3" i="17"/>
  <c r="AE31" i="16"/>
  <c r="N31" i="16" s="1"/>
  <c r="AD31" i="16"/>
  <c r="M31" i="16" s="1"/>
  <c r="AC31" i="16"/>
  <c r="L31" i="16" s="1"/>
  <c r="AB31" i="16"/>
  <c r="K31" i="16" s="1"/>
  <c r="AA31" i="16"/>
  <c r="J31" i="16" s="1"/>
  <c r="Z31" i="16"/>
  <c r="I31" i="16" s="1"/>
  <c r="Y31" i="16"/>
  <c r="H31" i="16" s="1"/>
  <c r="X31" i="16"/>
  <c r="G31" i="16" s="1"/>
  <c r="W31" i="16"/>
  <c r="F31" i="16" s="1"/>
  <c r="U31" i="16"/>
  <c r="E31" i="16" s="1"/>
  <c r="T31" i="16"/>
  <c r="D31" i="16" s="1"/>
  <c r="S31" i="16"/>
  <c r="C31" i="16" s="1"/>
  <c r="AE30" i="16"/>
  <c r="N30" i="16" s="1"/>
  <c r="AD30" i="16"/>
  <c r="M30" i="16" s="1"/>
  <c r="AC30" i="16"/>
  <c r="L30" i="16" s="1"/>
  <c r="AB30" i="16"/>
  <c r="K30" i="16" s="1"/>
  <c r="AA30" i="16"/>
  <c r="J30" i="16" s="1"/>
  <c r="Z30" i="16"/>
  <c r="I30" i="16" s="1"/>
  <c r="Y30" i="16"/>
  <c r="H30" i="16" s="1"/>
  <c r="X30" i="16"/>
  <c r="G30" i="16" s="1"/>
  <c r="W30" i="16"/>
  <c r="F30" i="16" s="1"/>
  <c r="U30" i="16"/>
  <c r="E30" i="16" s="1"/>
  <c r="T30" i="16"/>
  <c r="D30" i="16" s="1"/>
  <c r="S30" i="16"/>
  <c r="AW29" i="16"/>
  <c r="AY29" i="16" s="1"/>
  <c r="AE29" i="16"/>
  <c r="N29" i="16" s="1"/>
  <c r="AD29" i="16"/>
  <c r="M29" i="16" s="1"/>
  <c r="AC29" i="16"/>
  <c r="L29" i="16" s="1"/>
  <c r="AB29" i="16"/>
  <c r="K29" i="16" s="1"/>
  <c r="AA29" i="16"/>
  <c r="J29" i="16" s="1"/>
  <c r="Z29" i="16"/>
  <c r="I29" i="16" s="1"/>
  <c r="Y29" i="16"/>
  <c r="H29" i="16" s="1"/>
  <c r="X29" i="16"/>
  <c r="G29" i="16" s="1"/>
  <c r="W29" i="16"/>
  <c r="F29" i="16" s="1"/>
  <c r="U29" i="16"/>
  <c r="E29" i="16" s="1"/>
  <c r="T29" i="16"/>
  <c r="D29" i="16" s="1"/>
  <c r="S29" i="16"/>
  <c r="C29" i="16" s="1"/>
  <c r="AW28" i="16"/>
  <c r="AY28" i="16" s="1"/>
  <c r="AE28" i="16"/>
  <c r="N28" i="16" s="1"/>
  <c r="AD28" i="16"/>
  <c r="M28" i="16" s="1"/>
  <c r="AC28" i="16"/>
  <c r="L28" i="16" s="1"/>
  <c r="AB28" i="16"/>
  <c r="K28" i="16" s="1"/>
  <c r="AA28" i="16"/>
  <c r="J28" i="16" s="1"/>
  <c r="Z28" i="16"/>
  <c r="I28" i="16" s="1"/>
  <c r="Y28" i="16"/>
  <c r="H28" i="16" s="1"/>
  <c r="X28" i="16"/>
  <c r="G28" i="16" s="1"/>
  <c r="W28" i="16"/>
  <c r="F28" i="16" s="1"/>
  <c r="U28" i="16"/>
  <c r="E28" i="16" s="1"/>
  <c r="T28" i="16"/>
  <c r="D28" i="16" s="1"/>
  <c r="S28" i="16"/>
  <c r="AE27" i="16"/>
  <c r="N27" i="16" s="1"/>
  <c r="AD27" i="16"/>
  <c r="M27" i="16" s="1"/>
  <c r="AC27" i="16"/>
  <c r="L27" i="16" s="1"/>
  <c r="AB27" i="16"/>
  <c r="K27" i="16" s="1"/>
  <c r="AA27" i="16"/>
  <c r="J27" i="16" s="1"/>
  <c r="Z27" i="16"/>
  <c r="I27" i="16" s="1"/>
  <c r="Y27" i="16"/>
  <c r="H27" i="16" s="1"/>
  <c r="X27" i="16"/>
  <c r="G27" i="16" s="1"/>
  <c r="W27" i="16"/>
  <c r="F27" i="16" s="1"/>
  <c r="U27" i="16"/>
  <c r="E27" i="16" s="1"/>
  <c r="T27" i="16"/>
  <c r="D27" i="16" s="1"/>
  <c r="S27" i="16"/>
  <c r="AX24" i="16"/>
  <c r="AX36" i="16" s="1"/>
  <c r="AW22" i="16"/>
  <c r="AY22" i="16" s="1"/>
  <c r="AE22" i="16"/>
  <c r="N22" i="16" s="1"/>
  <c r="AD22" i="16"/>
  <c r="M22" i="16" s="1"/>
  <c r="AC22" i="16"/>
  <c r="L22" i="16" s="1"/>
  <c r="AB22" i="16"/>
  <c r="K22" i="16" s="1"/>
  <c r="AA22" i="16"/>
  <c r="J22" i="16" s="1"/>
  <c r="Z22" i="16"/>
  <c r="I22" i="16" s="1"/>
  <c r="Y22" i="16"/>
  <c r="H22" i="16" s="1"/>
  <c r="X22" i="16"/>
  <c r="G22" i="16" s="1"/>
  <c r="W22" i="16"/>
  <c r="F22" i="16" s="1"/>
  <c r="U22" i="16"/>
  <c r="E22" i="16" s="1"/>
  <c r="T22" i="16"/>
  <c r="D22" i="16" s="1"/>
  <c r="S22" i="16"/>
  <c r="C22" i="16" s="1"/>
  <c r="AE21" i="16"/>
  <c r="N21" i="16" s="1"/>
  <c r="AD21" i="16"/>
  <c r="M21" i="16" s="1"/>
  <c r="AC21" i="16"/>
  <c r="L21" i="16" s="1"/>
  <c r="AB21" i="16"/>
  <c r="K21" i="16" s="1"/>
  <c r="AA21" i="16"/>
  <c r="J21" i="16" s="1"/>
  <c r="Z21" i="16"/>
  <c r="I21" i="16" s="1"/>
  <c r="Y21" i="16"/>
  <c r="H21" i="16" s="1"/>
  <c r="X21" i="16"/>
  <c r="W21" i="16"/>
  <c r="F21" i="16" s="1"/>
  <c r="U21" i="16"/>
  <c r="E21" i="16" s="1"/>
  <c r="T21" i="16"/>
  <c r="D21" i="16" s="1"/>
  <c r="S21" i="16"/>
  <c r="C21" i="16" s="1"/>
  <c r="AE20" i="16"/>
  <c r="N20" i="16" s="1"/>
  <c r="AD20" i="16"/>
  <c r="M20" i="16" s="1"/>
  <c r="AC20" i="16"/>
  <c r="AB20" i="16"/>
  <c r="AA20" i="16"/>
  <c r="J20" i="16" s="1"/>
  <c r="Z20" i="16"/>
  <c r="I20" i="16" s="1"/>
  <c r="Y20" i="16"/>
  <c r="H20" i="16" s="1"/>
  <c r="X20" i="16"/>
  <c r="G20" i="16" s="1"/>
  <c r="W20" i="16"/>
  <c r="F20" i="16" s="1"/>
  <c r="U20" i="16"/>
  <c r="E20" i="16" s="1"/>
  <c r="T20" i="16"/>
  <c r="D20" i="16" s="1"/>
  <c r="S20" i="16"/>
  <c r="C20" i="16" s="1"/>
  <c r="AE19" i="16"/>
  <c r="AD19" i="16"/>
  <c r="M19" i="16" s="1"/>
  <c r="AC19" i="16"/>
  <c r="L19" i="16" s="1"/>
  <c r="AB19" i="16"/>
  <c r="K19" i="16" s="1"/>
  <c r="AA19" i="16"/>
  <c r="J19" i="16" s="1"/>
  <c r="Z19" i="16"/>
  <c r="Y19" i="16"/>
  <c r="H19" i="16" s="1"/>
  <c r="X19" i="16"/>
  <c r="G19" i="16" s="1"/>
  <c r="W19" i="16"/>
  <c r="F19" i="16" s="1"/>
  <c r="U19" i="16"/>
  <c r="E19" i="16" s="1"/>
  <c r="T19" i="16"/>
  <c r="S19" i="16"/>
  <c r="C19" i="16" s="1"/>
  <c r="AW14" i="16"/>
  <c r="AE14" i="16"/>
  <c r="N14" i="16" s="1"/>
  <c r="AD14" i="16"/>
  <c r="M14" i="16" s="1"/>
  <c r="AC14" i="16"/>
  <c r="L14" i="16" s="1"/>
  <c r="AB14" i="16"/>
  <c r="K14" i="16" s="1"/>
  <c r="AA14" i="16"/>
  <c r="J14" i="16" s="1"/>
  <c r="Z14" i="16"/>
  <c r="I14" i="16" s="1"/>
  <c r="Y14" i="16"/>
  <c r="H14" i="16" s="1"/>
  <c r="X14" i="16"/>
  <c r="G14" i="16" s="1"/>
  <c r="W14" i="16"/>
  <c r="F14" i="16" s="1"/>
  <c r="U14" i="16"/>
  <c r="E14" i="16" s="1"/>
  <c r="T14" i="16"/>
  <c r="D14" i="16" s="1"/>
  <c r="S14" i="16"/>
  <c r="AW13" i="16"/>
  <c r="AF13" i="16"/>
  <c r="O13" i="16" s="1"/>
  <c r="N13" i="16"/>
  <c r="M13" i="16"/>
  <c r="L13" i="16"/>
  <c r="K13" i="16"/>
  <c r="J13" i="16"/>
  <c r="I13" i="16"/>
  <c r="H13" i="16"/>
  <c r="G13" i="16"/>
  <c r="F13" i="16"/>
  <c r="E13" i="16"/>
  <c r="D13" i="16"/>
  <c r="C13" i="16"/>
  <c r="AW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W11" i="16"/>
  <c r="AE11" i="16"/>
  <c r="AD11" i="16"/>
  <c r="M11" i="16" s="1"/>
  <c r="AC11" i="16"/>
  <c r="AB11" i="16"/>
  <c r="K11" i="16" s="1"/>
  <c r="AA11" i="16"/>
  <c r="Z11" i="16"/>
  <c r="Y11" i="16"/>
  <c r="H11" i="16" s="1"/>
  <c r="X11" i="16"/>
  <c r="W11" i="16"/>
  <c r="F11" i="16" s="1"/>
  <c r="U11" i="16"/>
  <c r="T11" i="16"/>
  <c r="S11" i="16"/>
  <c r="AW6" i="16"/>
  <c r="AE6" i="16"/>
  <c r="N6" i="16" s="1"/>
  <c r="AD6" i="16"/>
  <c r="M6" i="16" s="1"/>
  <c r="AC6" i="16"/>
  <c r="L6" i="16" s="1"/>
  <c r="AB6" i="16"/>
  <c r="K6" i="16" s="1"/>
  <c r="AA6" i="16"/>
  <c r="J6" i="16" s="1"/>
  <c r="Z6" i="16"/>
  <c r="I6" i="16" s="1"/>
  <c r="Y6" i="16"/>
  <c r="H6" i="16" s="1"/>
  <c r="X6" i="16"/>
  <c r="G6" i="16" s="1"/>
  <c r="W6" i="16"/>
  <c r="F6" i="16" s="1"/>
  <c r="U6" i="16"/>
  <c r="E6" i="16" s="1"/>
  <c r="T6" i="16"/>
  <c r="D6" i="16" s="1"/>
  <c r="S6" i="16"/>
  <c r="AE5" i="16"/>
  <c r="N5" i="16" s="1"/>
  <c r="AD5" i="16"/>
  <c r="M5" i="16" s="1"/>
  <c r="AC5" i="16"/>
  <c r="L5" i="16" s="1"/>
  <c r="AB5" i="16"/>
  <c r="K5" i="16" s="1"/>
  <c r="AA5" i="16"/>
  <c r="J5" i="16" s="1"/>
  <c r="Z5" i="16"/>
  <c r="I5" i="16" s="1"/>
  <c r="Y5" i="16"/>
  <c r="H5" i="16" s="1"/>
  <c r="X5" i="16"/>
  <c r="G5" i="16" s="1"/>
  <c r="W5" i="16"/>
  <c r="F5" i="16" s="1"/>
  <c r="U5" i="16"/>
  <c r="E5" i="16" s="1"/>
  <c r="T5" i="16"/>
  <c r="D5" i="16" s="1"/>
  <c r="S5" i="16"/>
  <c r="AE4" i="16"/>
  <c r="N4" i="16" s="1"/>
  <c r="AD4" i="16"/>
  <c r="M4" i="16" s="1"/>
  <c r="AC4" i="16"/>
  <c r="L4" i="16" s="1"/>
  <c r="AB4" i="16"/>
  <c r="K4" i="16" s="1"/>
  <c r="AA4" i="16"/>
  <c r="J4" i="16" s="1"/>
  <c r="Z4" i="16"/>
  <c r="I4" i="16" s="1"/>
  <c r="Y4" i="16"/>
  <c r="H4" i="16" s="1"/>
  <c r="X4" i="16"/>
  <c r="G4" i="16" s="1"/>
  <c r="W4" i="16"/>
  <c r="F4" i="16" s="1"/>
  <c r="U4" i="16"/>
  <c r="E4" i="16" s="1"/>
  <c r="T4" i="16"/>
  <c r="D4" i="16" s="1"/>
  <c r="S4" i="16"/>
  <c r="AE3" i="16"/>
  <c r="N3" i="16" s="1"/>
  <c r="AD3" i="16"/>
  <c r="M3" i="16" s="1"/>
  <c r="AC3" i="16"/>
  <c r="AB3" i="16"/>
  <c r="K3" i="16" s="1"/>
  <c r="AA3" i="16"/>
  <c r="Z3" i="16"/>
  <c r="Y3" i="16"/>
  <c r="X3" i="16"/>
  <c r="W3" i="16"/>
  <c r="U3" i="16"/>
  <c r="T3" i="16"/>
  <c r="S3" i="16"/>
  <c r="C3" i="16" s="1"/>
  <c r="C9" i="15"/>
  <c r="AW14" i="15"/>
  <c r="AW17" i="15"/>
  <c r="AW22" i="15"/>
  <c r="AW23" i="15"/>
  <c r="AV23" i="15"/>
  <c r="AV17" i="15"/>
  <c r="T11" i="15"/>
  <c r="D11" i="15" s="1"/>
  <c r="U11" i="15"/>
  <c r="E11" i="15" s="1"/>
  <c r="V11" i="15"/>
  <c r="F11" i="15" s="1"/>
  <c r="W11" i="15"/>
  <c r="G11" i="15" s="1"/>
  <c r="X11" i="15"/>
  <c r="H11" i="15" s="1"/>
  <c r="Y11" i="15"/>
  <c r="Z11" i="15"/>
  <c r="J11" i="15" s="1"/>
  <c r="AA11" i="15"/>
  <c r="K11" i="15" s="1"/>
  <c r="AB11" i="15"/>
  <c r="L11" i="15" s="1"/>
  <c r="AC11" i="15"/>
  <c r="M11" i="15" s="1"/>
  <c r="AD11" i="15"/>
  <c r="N11" i="15" s="1"/>
  <c r="S11" i="15"/>
  <c r="C11" i="15" s="1"/>
  <c r="T18" i="15"/>
  <c r="D18" i="15" s="1"/>
  <c r="U18" i="15"/>
  <c r="E18" i="15" s="1"/>
  <c r="V18" i="15"/>
  <c r="F18" i="15" s="1"/>
  <c r="W18" i="15"/>
  <c r="G18" i="15" s="1"/>
  <c r="X18" i="15"/>
  <c r="H18" i="15" s="1"/>
  <c r="Y18" i="15"/>
  <c r="I18" i="15" s="1"/>
  <c r="Z18" i="15"/>
  <c r="J18" i="15" s="1"/>
  <c r="AA18" i="15"/>
  <c r="K18" i="15" s="1"/>
  <c r="AB18" i="15"/>
  <c r="L18" i="15" s="1"/>
  <c r="AC18" i="15"/>
  <c r="M18" i="15" s="1"/>
  <c r="AD18" i="15"/>
  <c r="N18" i="15" s="1"/>
  <c r="T19" i="15"/>
  <c r="D19" i="15" s="1"/>
  <c r="U19" i="15"/>
  <c r="E19" i="15" s="1"/>
  <c r="V19" i="15"/>
  <c r="F19" i="15" s="1"/>
  <c r="W19" i="15"/>
  <c r="X19" i="15"/>
  <c r="H19" i="15" s="1"/>
  <c r="Y19" i="15"/>
  <c r="I19" i="15" s="1"/>
  <c r="Z19" i="15"/>
  <c r="J19" i="15" s="1"/>
  <c r="AA19" i="15"/>
  <c r="K19" i="15" s="1"/>
  <c r="AB19" i="15"/>
  <c r="L19" i="15" s="1"/>
  <c r="AC19" i="15"/>
  <c r="M19" i="15" s="1"/>
  <c r="AD19" i="15"/>
  <c r="N19" i="15" s="1"/>
  <c r="T20" i="15"/>
  <c r="D20" i="15" s="1"/>
  <c r="U20" i="15"/>
  <c r="E20" i="15" s="1"/>
  <c r="V20" i="15"/>
  <c r="F20" i="15" s="1"/>
  <c r="W20" i="15"/>
  <c r="G20" i="15" s="1"/>
  <c r="X20" i="15"/>
  <c r="H20" i="15" s="1"/>
  <c r="Y20" i="15"/>
  <c r="I20" i="15" s="1"/>
  <c r="Z20" i="15"/>
  <c r="J20" i="15" s="1"/>
  <c r="AA20" i="15"/>
  <c r="K20" i="15" s="1"/>
  <c r="AB20" i="15"/>
  <c r="L20" i="15" s="1"/>
  <c r="AC20" i="15"/>
  <c r="M20" i="15" s="1"/>
  <c r="AD20" i="15"/>
  <c r="N20" i="15" s="1"/>
  <c r="T21" i="15"/>
  <c r="D21" i="15" s="1"/>
  <c r="U21" i="15"/>
  <c r="E21" i="15" s="1"/>
  <c r="V21" i="15"/>
  <c r="F21" i="15" s="1"/>
  <c r="W21" i="15"/>
  <c r="G21" i="15" s="1"/>
  <c r="X21" i="15"/>
  <c r="H21" i="15" s="1"/>
  <c r="Y21" i="15"/>
  <c r="I21" i="15" s="1"/>
  <c r="Z21" i="15"/>
  <c r="J21" i="15" s="1"/>
  <c r="AA21" i="15"/>
  <c r="K21" i="15" s="1"/>
  <c r="AB21" i="15"/>
  <c r="L21" i="15" s="1"/>
  <c r="AC21" i="15"/>
  <c r="M21" i="15" s="1"/>
  <c r="AD21" i="15"/>
  <c r="N21" i="15" s="1"/>
  <c r="T22" i="15"/>
  <c r="D22" i="15" s="1"/>
  <c r="U22" i="15"/>
  <c r="E22" i="15" s="1"/>
  <c r="V22" i="15"/>
  <c r="F22" i="15" s="1"/>
  <c r="W22" i="15"/>
  <c r="G22" i="15" s="1"/>
  <c r="X22" i="15"/>
  <c r="H22" i="15" s="1"/>
  <c r="Y22" i="15"/>
  <c r="I22" i="15" s="1"/>
  <c r="Z22" i="15"/>
  <c r="J22" i="15" s="1"/>
  <c r="AA22" i="15"/>
  <c r="K22" i="15" s="1"/>
  <c r="AB22" i="15"/>
  <c r="L22" i="15" s="1"/>
  <c r="AC22" i="15"/>
  <c r="M22" i="15" s="1"/>
  <c r="AD22" i="15"/>
  <c r="N22" i="15" s="1"/>
  <c r="S19" i="15"/>
  <c r="C19" i="15" s="1"/>
  <c r="S20" i="15"/>
  <c r="C20" i="15" s="1"/>
  <c r="S21" i="15"/>
  <c r="C21" i="15" s="1"/>
  <c r="S22" i="15"/>
  <c r="C22" i="15" s="1"/>
  <c r="S18" i="15"/>
  <c r="C18" i="15" s="1"/>
  <c r="S14" i="15"/>
  <c r="T14" i="15"/>
  <c r="U14" i="15"/>
  <c r="E14" i="15" s="1"/>
  <c r="V14" i="15"/>
  <c r="F14" i="15" s="1"/>
  <c r="W14" i="15"/>
  <c r="G14" i="15" s="1"/>
  <c r="X14" i="15"/>
  <c r="H14" i="15" s="1"/>
  <c r="Y14" i="15"/>
  <c r="I14" i="15" s="1"/>
  <c r="Z14" i="15"/>
  <c r="J14" i="15" s="1"/>
  <c r="AA14" i="15"/>
  <c r="K14" i="15" s="1"/>
  <c r="AB14" i="15"/>
  <c r="L14" i="15" s="1"/>
  <c r="AC14" i="15"/>
  <c r="M14" i="15" s="1"/>
  <c r="AD14" i="15"/>
  <c r="N14" i="15" s="1"/>
  <c r="S15" i="15"/>
  <c r="C15" i="15" s="1"/>
  <c r="T15" i="15"/>
  <c r="D15" i="15" s="1"/>
  <c r="U15" i="15"/>
  <c r="E15" i="15" s="1"/>
  <c r="V15" i="15"/>
  <c r="F15" i="15" s="1"/>
  <c r="W15" i="15"/>
  <c r="G15" i="15" s="1"/>
  <c r="X15" i="15"/>
  <c r="H15" i="15" s="1"/>
  <c r="Y15" i="15"/>
  <c r="I15" i="15" s="1"/>
  <c r="Z15" i="15"/>
  <c r="J15" i="15" s="1"/>
  <c r="AA15" i="15"/>
  <c r="K15" i="15" s="1"/>
  <c r="AB15" i="15"/>
  <c r="L15" i="15" s="1"/>
  <c r="AC15" i="15"/>
  <c r="M15" i="15" s="1"/>
  <c r="AD15" i="15"/>
  <c r="N15" i="15" s="1"/>
  <c r="S16" i="15"/>
  <c r="T16" i="15"/>
  <c r="D16" i="15" s="1"/>
  <c r="U16" i="15"/>
  <c r="E16" i="15" s="1"/>
  <c r="V16" i="15"/>
  <c r="F16" i="15" s="1"/>
  <c r="W16" i="15"/>
  <c r="G16" i="15" s="1"/>
  <c r="X16" i="15"/>
  <c r="H16" i="15" s="1"/>
  <c r="Y16" i="15"/>
  <c r="I16" i="15" s="1"/>
  <c r="Z16" i="15"/>
  <c r="J16" i="15" s="1"/>
  <c r="AA16" i="15"/>
  <c r="K16" i="15" s="1"/>
  <c r="AB16" i="15"/>
  <c r="L16" i="15" s="1"/>
  <c r="AC16" i="15"/>
  <c r="M16" i="15" s="1"/>
  <c r="AD16" i="15"/>
  <c r="N16" i="15" s="1"/>
  <c r="T13" i="15"/>
  <c r="D13" i="15" s="1"/>
  <c r="U13" i="15"/>
  <c r="E13" i="15" s="1"/>
  <c r="V13" i="15"/>
  <c r="F13" i="15" s="1"/>
  <c r="W13" i="15"/>
  <c r="G13" i="15" s="1"/>
  <c r="X13" i="15"/>
  <c r="Y13" i="15"/>
  <c r="Z13" i="15"/>
  <c r="J13" i="15" s="1"/>
  <c r="AA13" i="15"/>
  <c r="AB13" i="15"/>
  <c r="L13" i="15" s="1"/>
  <c r="AC13" i="15"/>
  <c r="M13" i="15" s="1"/>
  <c r="AD13" i="15"/>
  <c r="S13" i="15"/>
  <c r="T8" i="15"/>
  <c r="D8" i="15" s="1"/>
  <c r="U8" i="15"/>
  <c r="E8" i="15" s="1"/>
  <c r="V8" i="15"/>
  <c r="W8" i="15"/>
  <c r="W12" i="15" s="1"/>
  <c r="G12" i="15" s="1"/>
  <c r="X8" i="15"/>
  <c r="Y8" i="15"/>
  <c r="I8" i="15" s="1"/>
  <c r="Z8" i="15"/>
  <c r="J8" i="15" s="1"/>
  <c r="AA8" i="15"/>
  <c r="K8" i="15" s="1"/>
  <c r="AB8" i="15"/>
  <c r="L8" i="15" s="1"/>
  <c r="AC8" i="15"/>
  <c r="M8" i="15" s="1"/>
  <c r="AD8" i="15"/>
  <c r="N8" i="15" s="1"/>
  <c r="S8" i="15"/>
  <c r="T3" i="15"/>
  <c r="D3" i="15" s="1"/>
  <c r="U3" i="15"/>
  <c r="E3" i="15" s="1"/>
  <c r="V3" i="15"/>
  <c r="W3" i="15"/>
  <c r="G3" i="15" s="1"/>
  <c r="X3" i="15"/>
  <c r="Y3" i="15"/>
  <c r="Z3" i="15"/>
  <c r="J3" i="15" s="1"/>
  <c r="AA3" i="15"/>
  <c r="K3" i="15" s="1"/>
  <c r="AB3" i="15"/>
  <c r="L3" i="15" s="1"/>
  <c r="AC3" i="15"/>
  <c r="AD3" i="15"/>
  <c r="N3" i="15" s="1"/>
  <c r="T4" i="15"/>
  <c r="D4" i="15" s="1"/>
  <c r="U4" i="15"/>
  <c r="E4" i="15" s="1"/>
  <c r="V4" i="15"/>
  <c r="F4" i="15" s="1"/>
  <c r="W4" i="15"/>
  <c r="G4" i="15" s="1"/>
  <c r="X4" i="15"/>
  <c r="H4" i="15" s="1"/>
  <c r="Y4" i="15"/>
  <c r="I4" i="15" s="1"/>
  <c r="Z4" i="15"/>
  <c r="J4" i="15" s="1"/>
  <c r="AA4" i="15"/>
  <c r="K4" i="15" s="1"/>
  <c r="AB4" i="15"/>
  <c r="L4" i="15" s="1"/>
  <c r="AC4" i="15"/>
  <c r="M4" i="15" s="1"/>
  <c r="AD4" i="15"/>
  <c r="N4" i="15" s="1"/>
  <c r="T5" i="15"/>
  <c r="U5" i="15"/>
  <c r="E5" i="15" s="1"/>
  <c r="V5" i="15"/>
  <c r="F5" i="15" s="1"/>
  <c r="W5" i="15"/>
  <c r="G5" i="15" s="1"/>
  <c r="X5" i="15"/>
  <c r="H5" i="15" s="1"/>
  <c r="Y5" i="15"/>
  <c r="I5" i="15" s="1"/>
  <c r="Z5" i="15"/>
  <c r="J5" i="15" s="1"/>
  <c r="AA5" i="15"/>
  <c r="K5" i="15" s="1"/>
  <c r="AB5" i="15"/>
  <c r="L5" i="15" s="1"/>
  <c r="AC5" i="15"/>
  <c r="M5" i="15" s="1"/>
  <c r="AD5" i="15"/>
  <c r="N5" i="15" s="1"/>
  <c r="T6" i="15"/>
  <c r="D6" i="15" s="1"/>
  <c r="U6" i="15"/>
  <c r="V6" i="15"/>
  <c r="F6" i="15" s="1"/>
  <c r="W6" i="15"/>
  <c r="G6" i="15" s="1"/>
  <c r="X6" i="15"/>
  <c r="H6" i="15" s="1"/>
  <c r="Y6" i="15"/>
  <c r="I6" i="15" s="1"/>
  <c r="Z6" i="15"/>
  <c r="J6" i="15" s="1"/>
  <c r="AA6" i="15"/>
  <c r="K6" i="15" s="1"/>
  <c r="AB6" i="15"/>
  <c r="AC6" i="15"/>
  <c r="M6" i="15" s="1"/>
  <c r="AD6" i="15"/>
  <c r="N6" i="15" s="1"/>
  <c r="S4" i="15"/>
  <c r="C4" i="15" s="1"/>
  <c r="S5" i="15"/>
  <c r="S6" i="15"/>
  <c r="S3" i="15"/>
  <c r="C3" i="15" s="1"/>
  <c r="C10" i="15"/>
  <c r="N10" i="15"/>
  <c r="M10" i="15"/>
  <c r="L10" i="15"/>
  <c r="K10" i="15"/>
  <c r="J10" i="15"/>
  <c r="I10" i="15"/>
  <c r="H10" i="15"/>
  <c r="G10" i="15"/>
  <c r="F10" i="15"/>
  <c r="E10" i="15"/>
  <c r="D10" i="15"/>
  <c r="N9" i="15"/>
  <c r="M9" i="15"/>
  <c r="L9" i="15"/>
  <c r="K9" i="15"/>
  <c r="J9" i="15"/>
  <c r="I9" i="15"/>
  <c r="H9" i="15"/>
  <c r="G9" i="15"/>
  <c r="F9" i="15"/>
  <c r="E9" i="15"/>
  <c r="D9" i="15"/>
  <c r="AE10" i="15"/>
  <c r="AE9" i="15"/>
  <c r="AU13" i="15"/>
  <c r="AU22" i="15"/>
  <c r="AU21" i="15"/>
  <c r="AU20" i="15"/>
  <c r="AW20" i="15" s="1"/>
  <c r="AU18" i="15"/>
  <c r="AJ7" i="15"/>
  <c r="AK7" i="15"/>
  <c r="AL7" i="15"/>
  <c r="AM7" i="15"/>
  <c r="AN7" i="15"/>
  <c r="AO7" i="15"/>
  <c r="AP7" i="15"/>
  <c r="AQ7" i="15"/>
  <c r="AR7" i="15"/>
  <c r="AS7" i="15"/>
  <c r="AT7" i="15"/>
  <c r="AI7" i="15"/>
  <c r="AU8" i="15"/>
  <c r="AU11" i="15"/>
  <c r="AU10" i="15"/>
  <c r="AU9" i="15"/>
  <c r="AJ12" i="15"/>
  <c r="AK12" i="15"/>
  <c r="AL12" i="15"/>
  <c r="AM12" i="15"/>
  <c r="AN12" i="15"/>
  <c r="AO12" i="15"/>
  <c r="AP12" i="15"/>
  <c r="AQ12" i="15"/>
  <c r="AR12" i="15"/>
  <c r="AS12" i="15"/>
  <c r="AT12" i="15"/>
  <c r="AI12" i="15"/>
  <c r="AI17" i="15"/>
  <c r="AW21" i="15"/>
  <c r="AU19" i="15"/>
  <c r="AW19" i="15" s="1"/>
  <c r="AM3" i="13" l="1"/>
  <c r="BZ2" i="13"/>
  <c r="CC2" i="13"/>
  <c r="CE3" i="13"/>
  <c r="CD2" i="13"/>
  <c r="CG2" i="13"/>
  <c r="CH3" i="13"/>
  <c r="CI2" i="13"/>
  <c r="CJ3" i="13"/>
  <c r="CJ2" i="13"/>
  <c r="CK3" i="13"/>
  <c r="CA2" i="13"/>
  <c r="CD3" i="13"/>
  <c r="CG3" i="13"/>
  <c r="CH2" i="13"/>
  <c r="CK2" i="13"/>
  <c r="BZ3" i="13"/>
  <c r="CA3" i="13"/>
  <c r="CB3" i="13"/>
  <c r="CC3" i="13"/>
  <c r="CB2" i="13"/>
  <c r="CI3" i="13"/>
  <c r="CC61" i="13"/>
  <c r="CC87" i="13"/>
  <c r="CD59" i="13"/>
  <c r="BG108" i="13"/>
  <c r="G29" i="18"/>
  <c r="O29" i="18"/>
  <c r="Q29" i="18"/>
  <c r="N29" i="18"/>
  <c r="F29" i="18"/>
  <c r="I29" i="18"/>
  <c r="H29" i="18"/>
  <c r="AF2" i="13"/>
  <c r="AE2" i="13"/>
  <c r="AX2" i="13"/>
  <c r="AV2" i="13"/>
  <c r="BQ2" i="13"/>
  <c r="F2" i="13"/>
  <c r="E2" i="13"/>
  <c r="AW2" i="13"/>
  <c r="BP2" i="13"/>
  <c r="G2" i="13"/>
  <c r="K3" i="13"/>
  <c r="BO2" i="13"/>
  <c r="J3" i="13"/>
  <c r="N2" i="13"/>
  <c r="M2" i="13"/>
  <c r="G3" i="13"/>
  <c r="L2" i="13"/>
  <c r="AB2" i="13"/>
  <c r="BM2" i="13"/>
  <c r="F3" i="13"/>
  <c r="BL2" i="13"/>
  <c r="AD2" i="13"/>
  <c r="BN2" i="13"/>
  <c r="AA2" i="13"/>
  <c r="E3" i="13"/>
  <c r="J2" i="13"/>
  <c r="Z2" i="13"/>
  <c r="BK2" i="13"/>
  <c r="H3" i="13"/>
  <c r="AC2" i="13"/>
  <c r="K2" i="13"/>
  <c r="D3" i="13"/>
  <c r="I2" i="13"/>
  <c r="Y2" i="13"/>
  <c r="BJ2" i="13"/>
  <c r="C3" i="13"/>
  <c r="H2" i="13"/>
  <c r="X2" i="13"/>
  <c r="BI2" i="13"/>
  <c r="AU2" i="13"/>
  <c r="AT2" i="13"/>
  <c r="AR2" i="13"/>
  <c r="AP2" i="13"/>
  <c r="AQ2" i="13"/>
  <c r="W2" i="13"/>
  <c r="AO2" i="13"/>
  <c r="BH2" i="13"/>
  <c r="AS2" i="13"/>
  <c r="D2" i="13"/>
  <c r="V2" i="13"/>
  <c r="AN2" i="13"/>
  <c r="BG2" i="13"/>
  <c r="I3" i="13"/>
  <c r="C2" i="13"/>
  <c r="U2" i="13"/>
  <c r="AM2" i="13"/>
  <c r="BE2" i="13"/>
  <c r="BF2" i="13"/>
  <c r="N3" i="13"/>
  <c r="M3" i="13"/>
  <c r="AR3" i="13"/>
  <c r="BQ3" i="13"/>
  <c r="BO3" i="13"/>
  <c r="BP3" i="13"/>
  <c r="AF3" i="13"/>
  <c r="AE3" i="13"/>
  <c r="BK3" i="13"/>
  <c r="BJ3" i="13"/>
  <c r="BI3" i="13"/>
  <c r="Z3" i="13"/>
  <c r="Y3" i="13"/>
  <c r="AX3" i="13"/>
  <c r="AQ3" i="13"/>
  <c r="AC3" i="13"/>
  <c r="AU3" i="13"/>
  <c r="BN3" i="13"/>
  <c r="AD3" i="13"/>
  <c r="AB3" i="13"/>
  <c r="AT3" i="13"/>
  <c r="BM3" i="13"/>
  <c r="AW3" i="13"/>
  <c r="AV3" i="13"/>
  <c r="AA3" i="13"/>
  <c r="AS3" i="13"/>
  <c r="BL3" i="13"/>
  <c r="X3" i="13"/>
  <c r="W3" i="13"/>
  <c r="AO3" i="13"/>
  <c r="BH3" i="13"/>
  <c r="AP3" i="13"/>
  <c r="V3" i="13"/>
  <c r="AN3" i="13"/>
  <c r="BG3" i="13"/>
  <c r="BE3" i="13"/>
  <c r="BK130" i="13"/>
  <c r="BK138" i="13"/>
  <c r="BF137" i="13"/>
  <c r="BM118" i="13"/>
  <c r="BO108" i="13"/>
  <c r="BM121" i="13"/>
  <c r="BG130" i="13"/>
  <c r="BM130" i="13"/>
  <c r="BN121" i="13"/>
  <c r="BM108" i="13"/>
  <c r="BF121" i="13"/>
  <c r="BL121" i="13"/>
  <c r="BF130" i="13"/>
  <c r="BH130" i="13"/>
  <c r="BL108" i="13"/>
  <c r="BI130" i="13"/>
  <c r="BP108" i="13"/>
  <c r="BJ130" i="13"/>
  <c r="BE121" i="13"/>
  <c r="BL130" i="13"/>
  <c r="BG121" i="13"/>
  <c r="BN130" i="13"/>
  <c r="BO130" i="13"/>
  <c r="BP130" i="13"/>
  <c r="BE130" i="13"/>
  <c r="BN108" i="13"/>
  <c r="BH121" i="13"/>
  <c r="BI121" i="13"/>
  <c r="BK108" i="13"/>
  <c r="BJ121" i="13"/>
  <c r="BJ108" i="13"/>
  <c r="BK121" i="13"/>
  <c r="BI108" i="13"/>
  <c r="BH108" i="13"/>
  <c r="BF108" i="13"/>
  <c r="BO121" i="13"/>
  <c r="BE108" i="13"/>
  <c r="BP121" i="13"/>
  <c r="V12" i="15"/>
  <c r="F12" i="15" s="1"/>
  <c r="F8" i="15"/>
  <c r="G8" i="15"/>
  <c r="AK24" i="16"/>
  <c r="U12" i="15"/>
  <c r="E12" i="15" s="1"/>
  <c r="AB17" i="15"/>
  <c r="L17" i="15" s="1"/>
  <c r="V7" i="15"/>
  <c r="F7" i="15" s="1"/>
  <c r="T7" i="15"/>
  <c r="D7" i="15" s="1"/>
  <c r="AD17" i="15"/>
  <c r="N17" i="15" s="1"/>
  <c r="S12" i="15"/>
  <c r="C12" i="15" s="1"/>
  <c r="F3" i="15"/>
  <c r="U7" i="15"/>
  <c r="E7" i="15" s="1"/>
  <c r="X7" i="15"/>
  <c r="H7" i="15" s="1"/>
  <c r="V5" i="16"/>
  <c r="AF5" i="16" s="1"/>
  <c r="O5" i="16" s="1"/>
  <c r="C8" i="15"/>
  <c r="E6" i="15"/>
  <c r="AD12" i="15"/>
  <c r="N12" i="15" s="1"/>
  <c r="N13" i="15"/>
  <c r="D5" i="15"/>
  <c r="AB7" i="15"/>
  <c r="L7" i="15" s="1"/>
  <c r="Y7" i="15"/>
  <c r="I7" i="15" s="1"/>
  <c r="X12" i="15"/>
  <c r="H12" i="15" s="1"/>
  <c r="AA12" i="15"/>
  <c r="K12" i="15" s="1"/>
  <c r="AC17" i="15"/>
  <c r="M17" i="15" s="1"/>
  <c r="H3" i="15"/>
  <c r="AC12" i="15"/>
  <c r="M12" i="15" s="1"/>
  <c r="AE19" i="15"/>
  <c r="O19" i="15" s="1"/>
  <c r="T17" i="15"/>
  <c r="D17" i="15" s="1"/>
  <c r="AE16" i="15"/>
  <c r="AE14" i="15"/>
  <c r="V4" i="16"/>
  <c r="AF4" i="16" s="1"/>
  <c r="O4" i="16" s="1"/>
  <c r="Y12" i="15"/>
  <c r="I12" i="15" s="1"/>
  <c r="AC7" i="15"/>
  <c r="V11" i="16"/>
  <c r="AF11" i="16" s="1"/>
  <c r="O11" i="16" s="1"/>
  <c r="AA7" i="15"/>
  <c r="K7" i="15" s="1"/>
  <c r="AJ24" i="16"/>
  <c r="AJ26" i="16" s="1"/>
  <c r="Y17" i="15"/>
  <c r="I17" i="15" s="1"/>
  <c r="H8" i="15"/>
  <c r="W7" i="15"/>
  <c r="G7" i="15" s="1"/>
  <c r="Z17" i="15"/>
  <c r="J17" i="15" s="1"/>
  <c r="AJ33" i="16"/>
  <c r="AJ34" i="16" s="1"/>
  <c r="V28" i="16"/>
  <c r="AF28" i="16" s="1"/>
  <c r="O28" i="16" s="1"/>
  <c r="AL24" i="16"/>
  <c r="V14" i="16"/>
  <c r="AF14" i="16" s="1"/>
  <c r="O14" i="16" s="1"/>
  <c r="AJ17" i="16"/>
  <c r="AK17" i="16"/>
  <c r="V31" i="16"/>
  <c r="AF31" i="16" s="1"/>
  <c r="O31" i="16" s="1"/>
  <c r="AL33" i="16"/>
  <c r="AK33" i="16"/>
  <c r="AK23" i="16"/>
  <c r="V29" i="16"/>
  <c r="AF29" i="16" s="1"/>
  <c r="O29" i="16" s="1"/>
  <c r="S33" i="16"/>
  <c r="V27" i="16"/>
  <c r="AF27" i="16" s="1"/>
  <c r="O27" i="16" s="1"/>
  <c r="V3" i="16"/>
  <c r="AF3" i="16" s="1"/>
  <c r="O3" i="16" s="1"/>
  <c r="V6" i="16"/>
  <c r="AF6" i="16" s="1"/>
  <c r="O6" i="16" s="1"/>
  <c r="V21" i="16"/>
  <c r="AF21" i="16" s="1"/>
  <c r="O21" i="16" s="1"/>
  <c r="V20" i="16"/>
  <c r="AF20" i="16" s="1"/>
  <c r="O20" i="16" s="1"/>
  <c r="V19" i="16"/>
  <c r="AF19" i="16" s="1"/>
  <c r="O19" i="16" s="1"/>
  <c r="S24" i="16"/>
  <c r="U33" i="16"/>
  <c r="T33" i="16"/>
  <c r="AW7" i="16"/>
  <c r="S8" i="16"/>
  <c r="AW15" i="16"/>
  <c r="AQ47" i="17"/>
  <c r="AP47" i="17"/>
  <c r="G64" i="17"/>
  <c r="AO47" i="17"/>
  <c r="F59" i="17"/>
  <c r="H98" i="17"/>
  <c r="D59" i="17"/>
  <c r="AI11" i="17"/>
  <c r="C11" i="17" s="1"/>
  <c r="AI3" i="17"/>
  <c r="C3" i="17" s="1"/>
  <c r="C59" i="17"/>
  <c r="H64" i="17"/>
  <c r="C96" i="17"/>
  <c r="AJ19" i="17"/>
  <c r="D19" i="17" s="1"/>
  <c r="AJ31" i="17"/>
  <c r="AJ24" i="17"/>
  <c r="AI31" i="17"/>
  <c r="AJ4" i="17"/>
  <c r="D4" i="17" s="1"/>
  <c r="AJ20" i="17"/>
  <c r="D20" i="17" s="1"/>
  <c r="AK31" i="17"/>
  <c r="AJ11" i="17"/>
  <c r="D11" i="17" s="1"/>
  <c r="AK12" i="17"/>
  <c r="AK24" i="17"/>
  <c r="AJ8" i="17"/>
  <c r="AI16" i="17"/>
  <c r="AK16" i="17"/>
  <c r="AK14" i="17"/>
  <c r="E14" i="17" s="1"/>
  <c r="AP13" i="17"/>
  <c r="J13" i="17" s="1"/>
  <c r="N62" i="17"/>
  <c r="AI6" i="17"/>
  <c r="AK6" i="17"/>
  <c r="E6" i="17" s="1"/>
  <c r="AI20" i="17"/>
  <c r="C20" i="17" s="1"/>
  <c r="AJ74" i="17"/>
  <c r="D74" i="17" s="1"/>
  <c r="L62" i="17"/>
  <c r="AI37" i="17"/>
  <c r="C37" i="17" s="1"/>
  <c r="D91" i="17"/>
  <c r="D86" i="17"/>
  <c r="O60" i="17"/>
  <c r="D98" i="17"/>
  <c r="AP21" i="17"/>
  <c r="J21" i="17" s="1"/>
  <c r="AQ21" i="17"/>
  <c r="K21" i="17" s="1"/>
  <c r="O66" i="17"/>
  <c r="J69" i="17"/>
  <c r="H69" i="17"/>
  <c r="D102" i="17"/>
  <c r="AJ28" i="17"/>
  <c r="D28" i="17" s="1"/>
  <c r="AJ35" i="17"/>
  <c r="D35" i="17" s="1"/>
  <c r="AI12" i="17"/>
  <c r="C12" i="17" s="1"/>
  <c r="AJ12" i="17"/>
  <c r="D12" i="17" s="1"/>
  <c r="AI19" i="17"/>
  <c r="C19" i="17" s="1"/>
  <c r="O61" i="17"/>
  <c r="K67" i="17"/>
  <c r="D99" i="17"/>
  <c r="J104" i="17"/>
  <c r="E59" i="17"/>
  <c r="N73" i="17"/>
  <c r="E99" i="17"/>
  <c r="H59" i="17"/>
  <c r="AI14" i="17"/>
  <c r="C14" i="17" s="1"/>
  <c r="K69" i="17"/>
  <c r="AJ76" i="17"/>
  <c r="AK76" i="17" s="1"/>
  <c r="AL76" i="17" s="1"/>
  <c r="H111" i="17"/>
  <c r="AJ14" i="17"/>
  <c r="D14" i="17" s="1"/>
  <c r="AI21" i="17"/>
  <c r="C21" i="17" s="1"/>
  <c r="O42" i="17"/>
  <c r="AP58" i="17"/>
  <c r="J58" i="17" s="1"/>
  <c r="L69" i="17"/>
  <c r="AO69" i="17"/>
  <c r="I69" i="17" s="1"/>
  <c r="C77" i="17"/>
  <c r="D105" i="17"/>
  <c r="AO21" i="17"/>
  <c r="I21" i="17" s="1"/>
  <c r="O56" i="17"/>
  <c r="O70" i="17"/>
  <c r="E105" i="17"/>
  <c r="O67" i="17"/>
  <c r="K111" i="17"/>
  <c r="D89" i="17"/>
  <c r="C104" i="17"/>
  <c r="AP5" i="17"/>
  <c r="J5" i="17" s="1"/>
  <c r="AA51" i="17"/>
  <c r="AA112" i="17" s="1"/>
  <c r="K112" i="17" s="1"/>
  <c r="O71" i="17"/>
  <c r="J85" i="17"/>
  <c r="AE108" i="17"/>
  <c r="D108" i="17"/>
  <c r="O57" i="17"/>
  <c r="AJ3" i="17"/>
  <c r="D3" i="17" s="1"/>
  <c r="D111" i="17"/>
  <c r="AI36" i="17"/>
  <c r="C36" i="17" s="1"/>
  <c r="O65" i="17"/>
  <c r="AU27" i="17"/>
  <c r="O27" i="17" s="1"/>
  <c r="L67" i="17"/>
  <c r="AD51" i="17"/>
  <c r="AD112" i="17" s="1"/>
  <c r="N112" i="17" s="1"/>
  <c r="AI22" i="17"/>
  <c r="C22" i="17" s="1"/>
  <c r="AT63" i="17"/>
  <c r="N63" i="17" s="1"/>
  <c r="N67" i="17"/>
  <c r="AT69" i="17"/>
  <c r="AU69" i="17" s="1"/>
  <c r="C75" i="17"/>
  <c r="C91" i="17"/>
  <c r="I95" i="17"/>
  <c r="AK108" i="17"/>
  <c r="AL108" i="17" s="1"/>
  <c r="AM108" i="17" s="1"/>
  <c r="AN108" i="17" s="1"/>
  <c r="AJ22" i="17"/>
  <c r="D22" i="17" s="1"/>
  <c r="AK28" i="17"/>
  <c r="E28" i="17" s="1"/>
  <c r="O55" i="17"/>
  <c r="AE84" i="17"/>
  <c r="E84" i="17"/>
  <c r="J95" i="17"/>
  <c r="M98" i="17"/>
  <c r="T51" i="17"/>
  <c r="T112" i="17" s="1"/>
  <c r="D112" i="17" s="1"/>
  <c r="D27" i="17"/>
  <c r="O62" i="17"/>
  <c r="AE104" i="17"/>
  <c r="AU98" i="17"/>
  <c r="O98" i="17" s="1"/>
  <c r="AI35" i="17"/>
  <c r="AI38" i="17" s="1"/>
  <c r="E113" i="17"/>
  <c r="C86" i="17"/>
  <c r="D93" i="17"/>
  <c r="E94" i="17"/>
  <c r="AE105" i="17"/>
  <c r="G59" i="17"/>
  <c r="D64" i="17"/>
  <c r="J90" i="17"/>
  <c r="E98" i="17"/>
  <c r="W51" i="17"/>
  <c r="W112" i="17" s="1"/>
  <c r="G112" i="17" s="1"/>
  <c r="AQ5" i="17"/>
  <c r="K5" i="17" s="1"/>
  <c r="AQ58" i="17"/>
  <c r="K58" i="17" s="1"/>
  <c r="D95" i="17"/>
  <c r="AK95" i="17"/>
  <c r="E95" i="17" s="1"/>
  <c r="F99" i="17"/>
  <c r="AQ13" i="17"/>
  <c r="K13" i="17" s="1"/>
  <c r="G69" i="17"/>
  <c r="O72" i="17"/>
  <c r="D88" i="17"/>
  <c r="E89" i="17"/>
  <c r="D100" i="17"/>
  <c r="C108" i="17"/>
  <c r="AJ6" i="17"/>
  <c r="D6" i="17" s="1"/>
  <c r="O68" i="17"/>
  <c r="O79" i="17"/>
  <c r="Z51" i="17"/>
  <c r="L27" i="17"/>
  <c r="V51" i="17"/>
  <c r="AE23" i="17"/>
  <c r="I46" i="17"/>
  <c r="AU46" i="17"/>
  <c r="O46" i="17" s="1"/>
  <c r="U51" i="17"/>
  <c r="AO58" i="17"/>
  <c r="I57" i="17"/>
  <c r="AO5" i="17"/>
  <c r="I5" i="17" s="1"/>
  <c r="AE15" i="17"/>
  <c r="AU16" i="17" s="1"/>
  <c r="AW42" i="17"/>
  <c r="AT111" i="17"/>
  <c r="AU111" i="17" s="1"/>
  <c r="M111" i="17"/>
  <c r="X51" i="17"/>
  <c r="E27" i="17"/>
  <c r="AU45" i="17"/>
  <c r="O45" i="17" s="1"/>
  <c r="AE38" i="17"/>
  <c r="O43" i="17"/>
  <c r="L57" i="17"/>
  <c r="I62" i="17"/>
  <c r="AO63" i="17"/>
  <c r="M57" i="17"/>
  <c r="AS58" i="17"/>
  <c r="AS59" i="17" s="1"/>
  <c r="M59" i="17" s="1"/>
  <c r="M27" i="17"/>
  <c r="T113" i="17"/>
  <c r="D113" i="17" s="1"/>
  <c r="AE30" i="17"/>
  <c r="AI30" i="17"/>
  <c r="AK77" i="17"/>
  <c r="D77" i="17"/>
  <c r="AJ37" i="17"/>
  <c r="D37" i="17" s="1"/>
  <c r="AC51" i="17"/>
  <c r="Y51" i="17"/>
  <c r="S51" i="17"/>
  <c r="AE7" i="17"/>
  <c r="AU8" i="17" s="1"/>
  <c r="AR59" i="17"/>
  <c r="L59" i="17" s="1"/>
  <c r="V113" i="17"/>
  <c r="F113" i="17" s="1"/>
  <c r="C102" i="17"/>
  <c r="AE102" i="17"/>
  <c r="AK104" i="17"/>
  <c r="D104" i="17"/>
  <c r="J62" i="17"/>
  <c r="AP63" i="17"/>
  <c r="AS69" i="17"/>
  <c r="M69" i="17" s="1"/>
  <c r="AE111" i="17"/>
  <c r="C111" i="17"/>
  <c r="AL83" i="17"/>
  <c r="E83" i="17"/>
  <c r="AR85" i="17"/>
  <c r="AR5" i="17" s="1"/>
  <c r="L5" i="17" s="1"/>
  <c r="K85" i="17"/>
  <c r="E91" i="17"/>
  <c r="AE96" i="17"/>
  <c r="AL102" i="17"/>
  <c r="AM102" i="17" s="1"/>
  <c r="AN102" i="17" s="1"/>
  <c r="E102" i="17"/>
  <c r="AL96" i="17"/>
  <c r="E96" i="17"/>
  <c r="AK22" i="17"/>
  <c r="E22" i="17" s="1"/>
  <c r="AR64" i="17"/>
  <c r="L64" i="17" s="1"/>
  <c r="AI78" i="17"/>
  <c r="C78" i="17" s="1"/>
  <c r="E111" i="17"/>
  <c r="E86" i="17"/>
  <c r="AM91" i="17"/>
  <c r="F91" i="17"/>
  <c r="D94" i="17"/>
  <c r="AL94" i="17"/>
  <c r="F94" i="17" s="1"/>
  <c r="AM99" i="17"/>
  <c r="AR104" i="17"/>
  <c r="AS104" i="17" s="1"/>
  <c r="AT104" i="17" s="1"/>
  <c r="N104" i="17" s="1"/>
  <c r="K104" i="17"/>
  <c r="AB51" i="17"/>
  <c r="AS64" i="17"/>
  <c r="M64" i="17" s="1"/>
  <c r="AE69" i="17"/>
  <c r="F111" i="17"/>
  <c r="AD114" i="17"/>
  <c r="F105" i="17"/>
  <c r="AM113" i="17"/>
  <c r="G111" i="17"/>
  <c r="AE114" i="17"/>
  <c r="C114" i="17"/>
  <c r="AM86" i="17"/>
  <c r="F86" i="17"/>
  <c r="F89" i="17"/>
  <c r="AM89" i="17"/>
  <c r="G89" i="17" s="1"/>
  <c r="H105" i="17"/>
  <c r="AL103" i="17"/>
  <c r="E103" i="17"/>
  <c r="I111" i="17"/>
  <c r="D84" i="17"/>
  <c r="AL84" i="17"/>
  <c r="AK100" i="17"/>
  <c r="D103" i="17"/>
  <c r="AP105" i="17"/>
  <c r="AQ105" i="17" s="1"/>
  <c r="AR105" i="17" s="1"/>
  <c r="I105" i="17"/>
  <c r="T114" i="17"/>
  <c r="D114" i="17" s="1"/>
  <c r="C90" i="17"/>
  <c r="AJ90" i="17"/>
  <c r="AL93" i="17"/>
  <c r="E93" i="17"/>
  <c r="AR95" i="17"/>
  <c r="K95" i="17"/>
  <c r="AK75" i="17"/>
  <c r="D75" i="17"/>
  <c r="G105" i="17"/>
  <c r="Z111" i="17"/>
  <c r="J111" i="17" s="1"/>
  <c r="AK114" i="17"/>
  <c r="AL114" i="17" s="1"/>
  <c r="AM114" i="17" s="1"/>
  <c r="AN114" i="17" s="1"/>
  <c r="AO114" i="17" s="1"/>
  <c r="AP114" i="17" s="1"/>
  <c r="AQ114" i="17" s="1"/>
  <c r="AR114" i="17" s="1"/>
  <c r="AS114" i="17" s="1"/>
  <c r="AT114" i="17" s="1"/>
  <c r="O44" i="17"/>
  <c r="N57" i="17"/>
  <c r="AT58" i="17"/>
  <c r="AE85" i="17"/>
  <c r="C85" i="17"/>
  <c r="AJ85" i="17"/>
  <c r="AL88" i="17"/>
  <c r="E88" i="17"/>
  <c r="AR90" i="17"/>
  <c r="K90" i="17"/>
  <c r="D96" i="17"/>
  <c r="AB111" i="17"/>
  <c r="L111" i="17" s="1"/>
  <c r="M62" i="17"/>
  <c r="J67" i="17"/>
  <c r="AE86" i="17"/>
  <c r="Y113" i="17"/>
  <c r="W114" i="17"/>
  <c r="AQ63" i="17"/>
  <c r="AQ64" i="17" s="1"/>
  <c r="K64" i="17" s="1"/>
  <c r="C83" i="17"/>
  <c r="C88" i="17"/>
  <c r="C93" i="17"/>
  <c r="C103" i="17"/>
  <c r="Z113" i="17"/>
  <c r="X114" i="17"/>
  <c r="D83" i="17"/>
  <c r="AE83" i="17"/>
  <c r="C98" i="17"/>
  <c r="C84" i="17"/>
  <c r="C89" i="17"/>
  <c r="C94" i="17"/>
  <c r="AU112" i="17"/>
  <c r="AC113" i="17"/>
  <c r="AA114" i="17"/>
  <c r="C99" i="17"/>
  <c r="C105" i="17"/>
  <c r="S113" i="17"/>
  <c r="C95" i="17"/>
  <c r="C100" i="17"/>
  <c r="T8" i="16"/>
  <c r="T9" i="16" s="1"/>
  <c r="AC16" i="16"/>
  <c r="L16" i="16" s="1"/>
  <c r="AE16" i="16"/>
  <c r="N16" i="16" s="1"/>
  <c r="C16" i="16"/>
  <c r="AB16" i="16"/>
  <c r="K16" i="16" s="1"/>
  <c r="AO36" i="16"/>
  <c r="X16" i="16"/>
  <c r="G16" i="16" s="1"/>
  <c r="W8" i="16"/>
  <c r="Y16" i="16"/>
  <c r="H16" i="16" s="1"/>
  <c r="AR36" i="16"/>
  <c r="W16" i="16"/>
  <c r="F16" i="16" s="1"/>
  <c r="AC24" i="16"/>
  <c r="L24" i="16" s="1"/>
  <c r="Z16" i="16"/>
  <c r="I16" i="16" s="1"/>
  <c r="AD8" i="16"/>
  <c r="AD10" i="16" s="1"/>
  <c r="AA16" i="16"/>
  <c r="J16" i="16" s="1"/>
  <c r="AQ36" i="16"/>
  <c r="U8" i="16"/>
  <c r="U9" i="16" s="1"/>
  <c r="D16" i="16"/>
  <c r="AP36" i="16"/>
  <c r="U16" i="16"/>
  <c r="T24" i="16"/>
  <c r="AB24" i="16"/>
  <c r="K24" i="16" s="1"/>
  <c r="U24" i="16"/>
  <c r="Z24" i="16"/>
  <c r="I24" i="16" s="1"/>
  <c r="AS36" i="16"/>
  <c r="X24" i="16"/>
  <c r="G24" i="16" s="1"/>
  <c r="D3" i="16"/>
  <c r="AA8" i="16"/>
  <c r="AA10" i="16" s="1"/>
  <c r="AT36" i="16"/>
  <c r="AA24" i="16"/>
  <c r="J24" i="16" s="1"/>
  <c r="AF30" i="16"/>
  <c r="O30" i="16" s="1"/>
  <c r="X8" i="16"/>
  <c r="Z8" i="16"/>
  <c r="E3" i="16"/>
  <c r="AB8" i="16"/>
  <c r="AB10" i="16" s="1"/>
  <c r="C5" i="16"/>
  <c r="AU36" i="16"/>
  <c r="AD16" i="16"/>
  <c r="M16" i="16" s="1"/>
  <c r="N11" i="16"/>
  <c r="Y8" i="16"/>
  <c r="K20" i="16"/>
  <c r="I3" i="16"/>
  <c r="AC8" i="16"/>
  <c r="AC10" i="16" s="1"/>
  <c r="AV36" i="16"/>
  <c r="AN36" i="16"/>
  <c r="I19" i="16"/>
  <c r="G21" i="16"/>
  <c r="C14" i="16"/>
  <c r="AF22" i="16"/>
  <c r="O22" i="16" s="1"/>
  <c r="L11" i="16"/>
  <c r="AE24" i="16"/>
  <c r="N24" i="16" s="1"/>
  <c r="J11" i="16"/>
  <c r="AD24" i="16"/>
  <c r="M24" i="16" s="1"/>
  <c r="C28" i="16"/>
  <c r="AY31" i="16"/>
  <c r="F3" i="16"/>
  <c r="C4" i="16"/>
  <c r="C11" i="16"/>
  <c r="Y24" i="16"/>
  <c r="H24" i="16" s="1"/>
  <c r="C27" i="16"/>
  <c r="W24" i="16"/>
  <c r="F24" i="16" s="1"/>
  <c r="G3" i="16"/>
  <c r="D11" i="16"/>
  <c r="H3" i="16"/>
  <c r="E11" i="16"/>
  <c r="N19" i="16"/>
  <c r="C30" i="16"/>
  <c r="AE8" i="16"/>
  <c r="J3" i="16"/>
  <c r="G11" i="16"/>
  <c r="D19" i="16"/>
  <c r="L20" i="16"/>
  <c r="L3" i="16"/>
  <c r="C6" i="16"/>
  <c r="I11" i="16"/>
  <c r="I11" i="15"/>
  <c r="Z12" i="15"/>
  <c r="J12" i="15" s="1"/>
  <c r="AE11" i="15"/>
  <c r="AE22" i="15"/>
  <c r="O22" i="15" s="1"/>
  <c r="AE18" i="15"/>
  <c r="O18" i="15" s="1"/>
  <c r="G19" i="15"/>
  <c r="AE21" i="15"/>
  <c r="O21" i="15" s="1"/>
  <c r="AE20" i="15"/>
  <c r="O20" i="15" s="1"/>
  <c r="W17" i="15"/>
  <c r="G17" i="15" s="1"/>
  <c r="C16" i="15"/>
  <c r="AE15" i="15"/>
  <c r="D14" i="15"/>
  <c r="U17" i="15"/>
  <c r="E17" i="15" s="1"/>
  <c r="C14" i="15"/>
  <c r="X17" i="15"/>
  <c r="H17" i="15" s="1"/>
  <c r="V17" i="15"/>
  <c r="F17" i="15" s="1"/>
  <c r="AA17" i="15"/>
  <c r="K17" i="15" s="1"/>
  <c r="AE13" i="15"/>
  <c r="H13" i="15"/>
  <c r="I13" i="15"/>
  <c r="K13" i="15"/>
  <c r="C13" i="15"/>
  <c r="S17" i="15"/>
  <c r="AB12" i="15"/>
  <c r="L12" i="15" s="1"/>
  <c r="AE8" i="15"/>
  <c r="T12" i="15"/>
  <c r="D12" i="15" s="1"/>
  <c r="Z7" i="15"/>
  <c r="M3" i="15"/>
  <c r="L6" i="15"/>
  <c r="AE6" i="15"/>
  <c r="AE5" i="15"/>
  <c r="AD7" i="15"/>
  <c r="I3" i="15"/>
  <c r="AE4" i="15"/>
  <c r="C6" i="15"/>
  <c r="C5" i="15"/>
  <c r="AE3" i="15"/>
  <c r="O3" i="15" s="1"/>
  <c r="S7" i="15"/>
  <c r="C7" i="15" s="1"/>
  <c r="AI23" i="15"/>
  <c r="AU12" i="15"/>
  <c r="AU7" i="15"/>
  <c r="AW18" i="15"/>
  <c r="CN28" i="13" l="1"/>
  <c r="M11" i="18" s="1"/>
  <c r="CN53" i="13"/>
  <c r="CN47" i="13"/>
  <c r="CN49" i="13"/>
  <c r="CN60" i="13"/>
  <c r="CN43" i="13"/>
  <c r="CN38" i="13"/>
  <c r="CN50" i="13"/>
  <c r="CN56" i="13"/>
  <c r="CN14" i="13"/>
  <c r="M7" i="18" s="1"/>
  <c r="CN46" i="13"/>
  <c r="CN52" i="13"/>
  <c r="CN39" i="13"/>
  <c r="CN42" i="13"/>
  <c r="CN48" i="13"/>
  <c r="CN54" i="13"/>
  <c r="CN40" i="13"/>
  <c r="CN44" i="13"/>
  <c r="CN23" i="13"/>
  <c r="M10" i="18" s="1"/>
  <c r="CN62" i="13"/>
  <c r="CN55" i="13"/>
  <c r="CN57" i="13"/>
  <c r="CN51" i="13"/>
  <c r="CN58" i="13"/>
  <c r="CN45" i="13"/>
  <c r="CN41" i="13"/>
  <c r="CN19" i="13"/>
  <c r="M8" i="18" s="1"/>
  <c r="CN34" i="13"/>
  <c r="CM24" i="13"/>
  <c r="CM51" i="13"/>
  <c r="CM13" i="13"/>
  <c r="CM43" i="13"/>
  <c r="CM48" i="13"/>
  <c r="CM25" i="13"/>
  <c r="CM60" i="13"/>
  <c r="CM44" i="13"/>
  <c r="CM55" i="13"/>
  <c r="CM20" i="13"/>
  <c r="CM56" i="13"/>
  <c r="CM30" i="13"/>
  <c r="E14" i="18" s="1"/>
  <c r="CM47" i="13"/>
  <c r="CM45" i="13"/>
  <c r="CM54" i="13"/>
  <c r="CM10" i="13"/>
  <c r="CM28" i="13"/>
  <c r="E11" i="18" s="1"/>
  <c r="CM50" i="13"/>
  <c r="CM34" i="13"/>
  <c r="CM5" i="13"/>
  <c r="CM41" i="13"/>
  <c r="CM26" i="13"/>
  <c r="CM32" i="13"/>
  <c r="E16" i="18" s="1"/>
  <c r="CM39" i="13"/>
  <c r="CM6" i="13"/>
  <c r="CM16" i="13"/>
  <c r="CM31" i="13"/>
  <c r="E15" i="18" s="1"/>
  <c r="CM58" i="13"/>
  <c r="CM8" i="13"/>
  <c r="CM21" i="13"/>
  <c r="CM38" i="13"/>
  <c r="CM7" i="13"/>
  <c r="CM33" i="13"/>
  <c r="E17" i="18" s="1"/>
  <c r="CM29" i="13"/>
  <c r="E13" i="18" s="1"/>
  <c r="CM18" i="13"/>
  <c r="CM42" i="13"/>
  <c r="CM22" i="13"/>
  <c r="CM27" i="13"/>
  <c r="CM12" i="13"/>
  <c r="CM19" i="13"/>
  <c r="E8" i="18" s="1"/>
  <c r="CM15" i="13"/>
  <c r="CM52" i="13"/>
  <c r="CM11" i="13"/>
  <c r="CM17" i="13"/>
  <c r="CM57" i="13"/>
  <c r="CM40" i="13"/>
  <c r="CM49" i="13"/>
  <c r="CM14" i="13"/>
  <c r="E7" i="18" s="1"/>
  <c r="CM62" i="13"/>
  <c r="CM53" i="13"/>
  <c r="CM9" i="13"/>
  <c r="E6" i="18" s="1"/>
  <c r="CM23" i="13"/>
  <c r="E10" i="18" s="1"/>
  <c r="E12" i="18" s="1"/>
  <c r="AZ173" i="13"/>
  <c r="CN27" i="13"/>
  <c r="CN16" i="13"/>
  <c r="CN31" i="13"/>
  <c r="M15" i="18" s="1"/>
  <c r="CN32" i="13"/>
  <c r="M16" i="18" s="1"/>
  <c r="CN9" i="13"/>
  <c r="M6" i="18" s="1"/>
  <c r="CN18" i="13"/>
  <c r="CN15" i="13"/>
  <c r="CN12" i="13"/>
  <c r="CN33" i="13"/>
  <c r="M17" i="18" s="1"/>
  <c r="CN25" i="13"/>
  <c r="CN7" i="13"/>
  <c r="CN13" i="13"/>
  <c r="CN20" i="13"/>
  <c r="CN26" i="13"/>
  <c r="CN5" i="13"/>
  <c r="CN6" i="13"/>
  <c r="CN17" i="13"/>
  <c r="CN22" i="13"/>
  <c r="CN30" i="13"/>
  <c r="M14" i="18" s="1"/>
  <c r="CN8" i="13"/>
  <c r="CN11" i="13"/>
  <c r="CN24" i="13"/>
  <c r="CN10" i="13"/>
  <c r="CN29" i="13"/>
  <c r="M13" i="18" s="1"/>
  <c r="CN21" i="13"/>
  <c r="CM46" i="13"/>
  <c r="AZ5" i="13"/>
  <c r="CD61" i="13"/>
  <c r="CD87" i="13"/>
  <c r="CE59" i="13"/>
  <c r="CM59" i="13"/>
  <c r="AZ163" i="13"/>
  <c r="AZ169" i="13"/>
  <c r="AZ175" i="13"/>
  <c r="AZ176" i="13"/>
  <c r="AZ165" i="13"/>
  <c r="AZ171" i="13"/>
  <c r="AZ170" i="13"/>
  <c r="AZ166" i="13"/>
  <c r="AZ162" i="13"/>
  <c r="AZ172" i="13"/>
  <c r="BA172" i="13"/>
  <c r="BA166" i="13"/>
  <c r="BA164" i="13"/>
  <c r="BA171" i="13"/>
  <c r="BA165" i="13"/>
  <c r="BA162" i="13"/>
  <c r="BA176" i="13"/>
  <c r="BA170" i="13"/>
  <c r="BA175" i="13"/>
  <c r="BA169" i="13"/>
  <c r="BA163" i="13"/>
  <c r="BA168" i="13"/>
  <c r="BA174" i="13"/>
  <c r="BA173" i="13"/>
  <c r="BA167" i="13"/>
  <c r="BA161" i="13"/>
  <c r="AZ168" i="13"/>
  <c r="AZ161" i="13"/>
  <c r="AZ174" i="13"/>
  <c r="AZ167" i="13"/>
  <c r="AZ164" i="13"/>
  <c r="AZ158" i="13"/>
  <c r="AZ145" i="13"/>
  <c r="AZ144" i="13"/>
  <c r="AZ150" i="13"/>
  <c r="AZ151" i="13"/>
  <c r="AZ143" i="13"/>
  <c r="AZ154" i="13"/>
  <c r="AZ146" i="13"/>
  <c r="BA152" i="13"/>
  <c r="BA146" i="13"/>
  <c r="BA155" i="13"/>
  <c r="BA145" i="13"/>
  <c r="BA158" i="13"/>
  <c r="BA148" i="13"/>
  <c r="BA151" i="13"/>
  <c r="BA144" i="13"/>
  <c r="BA149" i="13"/>
  <c r="BA157" i="13"/>
  <c r="BA147" i="13"/>
  <c r="BA154" i="13"/>
  <c r="BA143" i="13"/>
  <c r="BA153" i="13"/>
  <c r="BA156" i="13"/>
  <c r="BA150" i="13"/>
  <c r="AZ149" i="13"/>
  <c r="AZ152" i="13"/>
  <c r="AZ153" i="13"/>
  <c r="AZ157" i="13"/>
  <c r="AZ155" i="13"/>
  <c r="AZ156" i="13"/>
  <c r="AZ148" i="13"/>
  <c r="AZ147" i="13"/>
  <c r="AZ103" i="13"/>
  <c r="BS103" i="13"/>
  <c r="BA103" i="13"/>
  <c r="BR103" i="13"/>
  <c r="AZ114" i="13"/>
  <c r="BA114" i="13"/>
  <c r="K30" i="18" s="1"/>
  <c r="BG137" i="13"/>
  <c r="BH137" i="13" s="1"/>
  <c r="E36" i="21"/>
  <c r="AZ102" i="13"/>
  <c r="C24" i="18" s="1"/>
  <c r="BA102" i="13"/>
  <c r="K24" i="18" s="1"/>
  <c r="AZ115" i="13"/>
  <c r="BS108" i="13"/>
  <c r="L28" i="18" s="1"/>
  <c r="BS138" i="13"/>
  <c r="L41" i="18" s="1"/>
  <c r="BS53" i="13"/>
  <c r="BS51" i="13"/>
  <c r="BS133" i="13"/>
  <c r="BS113" i="13"/>
  <c r="BS62" i="13"/>
  <c r="BS50" i="13"/>
  <c r="BS38" i="13"/>
  <c r="BS135" i="13"/>
  <c r="BS121" i="13"/>
  <c r="L33" i="18" s="1"/>
  <c r="BS132" i="13"/>
  <c r="BS49" i="13"/>
  <c r="BS39" i="13"/>
  <c r="BS131" i="13"/>
  <c r="BS48" i="13"/>
  <c r="BS33" i="13"/>
  <c r="L17" i="18" s="1"/>
  <c r="BS46" i="13"/>
  <c r="BS31" i="13"/>
  <c r="L15" i="18" s="1"/>
  <c r="BS139" i="13"/>
  <c r="L42" i="18" s="1"/>
  <c r="BS41" i="13"/>
  <c r="BS130" i="13"/>
  <c r="L38" i="18" s="1"/>
  <c r="BS32" i="13"/>
  <c r="L16" i="18" s="1"/>
  <c r="BS55" i="13"/>
  <c r="BS123" i="13"/>
  <c r="BS45" i="13"/>
  <c r="BS30" i="13"/>
  <c r="L14" i="18" s="1"/>
  <c r="BS54" i="13"/>
  <c r="BS122" i="13"/>
  <c r="BS104" i="13"/>
  <c r="BS40" i="13"/>
  <c r="BS140" i="13"/>
  <c r="BS126" i="13"/>
  <c r="BS44" i="13"/>
  <c r="BS29" i="13"/>
  <c r="L13" i="18" s="1"/>
  <c r="BS43" i="13"/>
  <c r="BS110" i="13"/>
  <c r="BS102" i="13"/>
  <c r="L24" i="18" s="1"/>
  <c r="BA46" i="13"/>
  <c r="BA122" i="13"/>
  <c r="BA108" i="13"/>
  <c r="K28" i="18" s="1"/>
  <c r="BA56" i="13"/>
  <c r="BA44" i="13"/>
  <c r="BA29" i="13"/>
  <c r="BA17" i="13"/>
  <c r="BA5" i="13"/>
  <c r="CQ5" i="13" s="1"/>
  <c r="BA136" i="13"/>
  <c r="K39" i="18" s="1"/>
  <c r="BA121" i="13"/>
  <c r="K33" i="18" s="1"/>
  <c r="BA107" i="13"/>
  <c r="K27" i="18" s="1"/>
  <c r="BA55" i="13"/>
  <c r="BA43" i="13"/>
  <c r="BA16" i="13"/>
  <c r="CQ16" i="13" s="1"/>
  <c r="BA133" i="13"/>
  <c r="BA113" i="13"/>
  <c r="BA106" i="13"/>
  <c r="BA54" i="13"/>
  <c r="BA27" i="13"/>
  <c r="BA15" i="13"/>
  <c r="CQ15" i="13" s="1"/>
  <c r="BA132" i="13"/>
  <c r="BA120" i="13"/>
  <c r="K32" i="18" s="1"/>
  <c r="BA104" i="13"/>
  <c r="BA53" i="13"/>
  <c r="BA41" i="13"/>
  <c r="BA26" i="13"/>
  <c r="CQ26" i="13" s="1"/>
  <c r="BA131" i="13"/>
  <c r="BA119" i="13"/>
  <c r="BA105" i="13"/>
  <c r="K25" i="18" s="1"/>
  <c r="BA40" i="13"/>
  <c r="BA25" i="13"/>
  <c r="BA13" i="13"/>
  <c r="CQ13" i="13" s="1"/>
  <c r="BA130" i="13"/>
  <c r="K38" i="18" s="1"/>
  <c r="BA118" i="13"/>
  <c r="BA51" i="13"/>
  <c r="BA39" i="13"/>
  <c r="BA24" i="13"/>
  <c r="BA12" i="13"/>
  <c r="BA140" i="13"/>
  <c r="BA115" i="13"/>
  <c r="BA48" i="13"/>
  <c r="BA21" i="13"/>
  <c r="CQ21" i="13" s="1"/>
  <c r="BA124" i="13"/>
  <c r="K34" i="18" s="1"/>
  <c r="BA58" i="13"/>
  <c r="BA7" i="13"/>
  <c r="CQ7" i="13" s="1"/>
  <c r="BA138" i="13"/>
  <c r="K41" i="18" s="1"/>
  <c r="BA31" i="13"/>
  <c r="BA135" i="13"/>
  <c r="BA129" i="13"/>
  <c r="K37" i="18" s="1"/>
  <c r="BA117" i="13"/>
  <c r="K31" i="18" s="1"/>
  <c r="BA62" i="13"/>
  <c r="BA50" i="13"/>
  <c r="BA38" i="13"/>
  <c r="BA11" i="13"/>
  <c r="CQ11" i="13" s="1"/>
  <c r="BA128" i="13"/>
  <c r="BA49" i="13"/>
  <c r="BA22" i="13"/>
  <c r="CQ22" i="13" s="1"/>
  <c r="BA60" i="13"/>
  <c r="BA127" i="13"/>
  <c r="K35" i="18" s="1"/>
  <c r="BA59" i="13"/>
  <c r="BA20" i="13"/>
  <c r="CQ20" i="13" s="1"/>
  <c r="BA137" i="13"/>
  <c r="BA123" i="13"/>
  <c r="BA109" i="13"/>
  <c r="BA57" i="13"/>
  <c r="BA45" i="13"/>
  <c r="BA30" i="13"/>
  <c r="BA18" i="13"/>
  <c r="CQ18" i="13" s="1"/>
  <c r="BA6" i="13"/>
  <c r="CQ6" i="13" s="1"/>
  <c r="BA116" i="13"/>
  <c r="BA10" i="13"/>
  <c r="CQ10" i="13" s="1"/>
  <c r="BA110" i="13"/>
  <c r="BA126" i="13"/>
  <c r="BA33" i="13"/>
  <c r="BA139" i="13"/>
  <c r="K42" i="18" s="1"/>
  <c r="BA32" i="13"/>
  <c r="BA8" i="13"/>
  <c r="CQ8" i="13" s="1"/>
  <c r="BS109" i="13"/>
  <c r="AZ135" i="13"/>
  <c r="AZ137" i="13"/>
  <c r="AZ44" i="13"/>
  <c r="AZ11" i="13"/>
  <c r="CP11" i="13" s="1"/>
  <c r="AZ136" i="13"/>
  <c r="C39" i="18" s="1"/>
  <c r="AZ107" i="13"/>
  <c r="AZ55" i="13"/>
  <c r="AZ124" i="13"/>
  <c r="C34" i="18" s="1"/>
  <c r="AZ12" i="13"/>
  <c r="AZ43" i="13"/>
  <c r="AZ123" i="13"/>
  <c r="AZ110" i="13"/>
  <c r="AZ13" i="13"/>
  <c r="CP13" i="13" s="1"/>
  <c r="AZ133" i="13"/>
  <c r="AZ33" i="13"/>
  <c r="AZ132" i="13"/>
  <c r="AZ41" i="13"/>
  <c r="AZ20" i="13"/>
  <c r="CP20" i="13" s="1"/>
  <c r="AZ105" i="13"/>
  <c r="AZ7" i="13"/>
  <c r="AZ62" i="13"/>
  <c r="AZ59" i="13"/>
  <c r="AZ106" i="13"/>
  <c r="AZ119" i="13"/>
  <c r="AZ130" i="13"/>
  <c r="C38" i="18" s="1"/>
  <c r="AZ117" i="13"/>
  <c r="AZ29" i="13"/>
  <c r="AZ116" i="13"/>
  <c r="AZ140" i="13"/>
  <c r="AZ139" i="13"/>
  <c r="C42" i="18" s="1"/>
  <c r="AZ26" i="13"/>
  <c r="CP26" i="13" s="1"/>
  <c r="AZ113" i="13"/>
  <c r="AZ54" i="13"/>
  <c r="AZ21" i="13"/>
  <c r="CP21" i="13" s="1"/>
  <c r="AZ120" i="13"/>
  <c r="AZ104" i="13"/>
  <c r="AZ53" i="13"/>
  <c r="AZ32" i="13"/>
  <c r="AZ8" i="13"/>
  <c r="CP8" i="13" s="1"/>
  <c r="AZ131" i="13"/>
  <c r="AZ40" i="13"/>
  <c r="AZ31" i="13"/>
  <c r="AZ118" i="13"/>
  <c r="AZ39" i="13"/>
  <c r="AZ30" i="13"/>
  <c r="AZ6" i="13"/>
  <c r="CP6" i="13" s="1"/>
  <c r="AZ129" i="13"/>
  <c r="AZ50" i="13"/>
  <c r="AZ38" i="13"/>
  <c r="AZ17" i="13"/>
  <c r="CP17" i="13" s="1"/>
  <c r="AZ128" i="13"/>
  <c r="AZ49" i="13"/>
  <c r="AZ60" i="13"/>
  <c r="AZ27" i="13"/>
  <c r="CP27" i="13" s="1"/>
  <c r="AZ127" i="13"/>
  <c r="AZ51" i="13"/>
  <c r="AZ18" i="13"/>
  <c r="AZ16" i="13"/>
  <c r="CP16" i="13" s="1"/>
  <c r="AZ126" i="13"/>
  <c r="AZ48" i="13"/>
  <c r="AZ15" i="13"/>
  <c r="CP15" i="13" s="1"/>
  <c r="AZ109" i="13"/>
  <c r="AZ121" i="13"/>
  <c r="C33" i="18" s="1"/>
  <c r="AZ24" i="13"/>
  <c r="CP24" i="13" s="1"/>
  <c r="AZ58" i="13"/>
  <c r="AZ122" i="13"/>
  <c r="AZ22" i="13"/>
  <c r="CP22" i="13" s="1"/>
  <c r="BR123" i="13"/>
  <c r="BR109" i="13"/>
  <c r="BR45" i="13"/>
  <c r="BR31" i="13"/>
  <c r="D15" i="18" s="1"/>
  <c r="BR132" i="13"/>
  <c r="BR104" i="13"/>
  <c r="BR41" i="13"/>
  <c r="BR40" i="13"/>
  <c r="BR135" i="13"/>
  <c r="BR122" i="13"/>
  <c r="BR108" i="13"/>
  <c r="D28" i="18" s="1"/>
  <c r="BR44" i="13"/>
  <c r="BR30" i="13"/>
  <c r="D14" i="18" s="1"/>
  <c r="BR39" i="13"/>
  <c r="BR49" i="13"/>
  <c r="BR46" i="13"/>
  <c r="BR121" i="13"/>
  <c r="D33" i="18" s="1"/>
  <c r="BR55" i="13"/>
  <c r="BR43" i="13"/>
  <c r="BR29" i="13"/>
  <c r="D13" i="18" s="1"/>
  <c r="BR53" i="13"/>
  <c r="BR131" i="13"/>
  <c r="BR130" i="13"/>
  <c r="D38" i="18" s="1"/>
  <c r="BR102" i="13"/>
  <c r="D24" i="18" s="1"/>
  <c r="BR51" i="13"/>
  <c r="BR50" i="13"/>
  <c r="BR48" i="13"/>
  <c r="BR139" i="13"/>
  <c r="D42" i="18" s="1"/>
  <c r="BR33" i="13"/>
  <c r="D17" i="18" s="1"/>
  <c r="BR110" i="13"/>
  <c r="BR133" i="13"/>
  <c r="BR113" i="13"/>
  <c r="BR54" i="13"/>
  <c r="BR62" i="13"/>
  <c r="BR38" i="13"/>
  <c r="BR140" i="13"/>
  <c r="BR126" i="13"/>
  <c r="BR138" i="13"/>
  <c r="BR32" i="13"/>
  <c r="D16" i="18" s="1"/>
  <c r="AZ45" i="13"/>
  <c r="AZ46" i="13"/>
  <c r="AZ108" i="13"/>
  <c r="C28" i="18" s="1"/>
  <c r="AZ10" i="13"/>
  <c r="CP10" i="13" s="1"/>
  <c r="AZ57" i="13"/>
  <c r="AZ25" i="13"/>
  <c r="CP25" i="13" s="1"/>
  <c r="AZ56" i="13"/>
  <c r="AZ138" i="13"/>
  <c r="BF129" i="13"/>
  <c r="BG129" i="13" s="1"/>
  <c r="BF128" i="13" s="1"/>
  <c r="E34" i="21" s="1"/>
  <c r="BF107" i="13"/>
  <c r="BG107" i="13" s="1"/>
  <c r="BF120" i="13"/>
  <c r="BG120" i="13" s="1"/>
  <c r="BL138" i="13"/>
  <c r="BN118" i="13"/>
  <c r="BL115" i="13"/>
  <c r="AK25" i="16"/>
  <c r="AK37" i="16"/>
  <c r="AJ35" i="16"/>
  <c r="AD23" i="15"/>
  <c r="N23" i="15" s="1"/>
  <c r="C24" i="16"/>
  <c r="M7" i="15"/>
  <c r="AC23" i="15"/>
  <c r="M23" i="15" s="1"/>
  <c r="S23" i="15"/>
  <c r="V23" i="15"/>
  <c r="F23" i="15" s="1"/>
  <c r="W23" i="15"/>
  <c r="G23" i="15" s="1"/>
  <c r="AJ25" i="16"/>
  <c r="X23" i="15"/>
  <c r="H23" i="15" s="1"/>
  <c r="Y23" i="15"/>
  <c r="I23" i="15" s="1"/>
  <c r="Z23" i="15"/>
  <c r="J23" i="15" s="1"/>
  <c r="AA23" i="15"/>
  <c r="K23" i="15" s="1"/>
  <c r="U23" i="15"/>
  <c r="E24" i="15" s="1"/>
  <c r="AJ36" i="16"/>
  <c r="AJ37" i="16"/>
  <c r="V33" i="16"/>
  <c r="V35" i="16" s="1"/>
  <c r="AB23" i="15"/>
  <c r="L23" i="15" s="1"/>
  <c r="AM24" i="16"/>
  <c r="AW24" i="16" s="1"/>
  <c r="AK26" i="16"/>
  <c r="AM33" i="16"/>
  <c r="AM35" i="16" s="1"/>
  <c r="AK35" i="16"/>
  <c r="AK34" i="16"/>
  <c r="V16" i="16"/>
  <c r="V18" i="16" s="1"/>
  <c r="AL16" i="16"/>
  <c r="AL37" i="16" s="1"/>
  <c r="AL34" i="16"/>
  <c r="AL35" i="16"/>
  <c r="V8" i="16"/>
  <c r="V10" i="16" s="1"/>
  <c r="S34" i="16"/>
  <c r="V24" i="16"/>
  <c r="V26" i="16" s="1"/>
  <c r="S35" i="16"/>
  <c r="D24" i="16"/>
  <c r="T26" i="16"/>
  <c r="T25" i="16"/>
  <c r="U18" i="16"/>
  <c r="U17" i="16"/>
  <c r="V17" i="16" s="1"/>
  <c r="AL10" i="16"/>
  <c r="AJ9" i="16"/>
  <c r="T35" i="16"/>
  <c r="T34" i="16"/>
  <c r="U35" i="16"/>
  <c r="U34" i="16"/>
  <c r="S25" i="16"/>
  <c r="S26" i="16"/>
  <c r="S9" i="16"/>
  <c r="V9" i="16" s="1"/>
  <c r="E24" i="16"/>
  <c r="U26" i="16"/>
  <c r="U25" i="16"/>
  <c r="C35" i="17"/>
  <c r="AI7" i="17"/>
  <c r="AI9" i="17" s="1"/>
  <c r="AI33" i="17"/>
  <c r="AI32" i="17"/>
  <c r="E12" i="17"/>
  <c r="N69" i="17"/>
  <c r="F102" i="17"/>
  <c r="G102" i="17"/>
  <c r="C6" i="17"/>
  <c r="AK74" i="17"/>
  <c r="AL74" i="17" s="1"/>
  <c r="AT64" i="17"/>
  <c r="AU64" i="17" s="1"/>
  <c r="O64" i="17" s="1"/>
  <c r="I114" i="17"/>
  <c r="AJ36" i="17"/>
  <c r="D36" i="17" s="1"/>
  <c r="M104" i="17"/>
  <c r="E76" i="17"/>
  <c r="AI23" i="17"/>
  <c r="AJ78" i="17"/>
  <c r="D78" i="17" s="1"/>
  <c r="AJ30" i="17"/>
  <c r="AI15" i="17"/>
  <c r="C15" i="17" s="1"/>
  <c r="D76" i="17"/>
  <c r="AP59" i="17"/>
  <c r="J59" i="17" s="1"/>
  <c r="G108" i="17"/>
  <c r="AJ23" i="17"/>
  <c r="AU114" i="17"/>
  <c r="O114" i="17" s="1"/>
  <c r="N111" i="17"/>
  <c r="AQ59" i="17"/>
  <c r="K59" i="17" s="1"/>
  <c r="O111" i="17"/>
  <c r="AL95" i="17"/>
  <c r="AK21" i="17"/>
  <c r="E108" i="17"/>
  <c r="N114" i="17"/>
  <c r="J105" i="17"/>
  <c r="H114" i="17"/>
  <c r="L114" i="17"/>
  <c r="AU63" i="17"/>
  <c r="O63" i="17" s="1"/>
  <c r="O69" i="17"/>
  <c r="E114" i="17"/>
  <c r="F108" i="17"/>
  <c r="AL77" i="17"/>
  <c r="E77" i="17"/>
  <c r="AK37" i="17"/>
  <c r="E37" i="17" s="1"/>
  <c r="E4" i="17"/>
  <c r="AE113" i="17"/>
  <c r="C113" i="17"/>
  <c r="AL100" i="17"/>
  <c r="E100" i="17"/>
  <c r="AK29" i="17"/>
  <c r="AO108" i="17"/>
  <c r="H108" i="17"/>
  <c r="AB112" i="17"/>
  <c r="L112" i="17" s="1"/>
  <c r="AN91" i="17"/>
  <c r="AM14" i="17"/>
  <c r="AC112" i="17"/>
  <c r="M112" i="17" s="1"/>
  <c r="I58" i="17"/>
  <c r="G99" i="17"/>
  <c r="AN99" i="17"/>
  <c r="AM28" i="17"/>
  <c r="AM88" i="17"/>
  <c r="F88" i="17"/>
  <c r="AL11" i="17"/>
  <c r="K105" i="17"/>
  <c r="U112" i="17"/>
  <c r="E112" i="17" s="1"/>
  <c r="V112" i="17"/>
  <c r="F112" i="17" s="1"/>
  <c r="AK90" i="17"/>
  <c r="AJ13" i="17"/>
  <c r="AS90" i="17"/>
  <c r="L90" i="17"/>
  <c r="AR13" i="17"/>
  <c r="L13" i="17" s="1"/>
  <c r="D90" i="17"/>
  <c r="AS95" i="17"/>
  <c r="L95" i="17"/>
  <c r="AR21" i="17"/>
  <c r="AM76" i="17"/>
  <c r="F76" i="17"/>
  <c r="M114" i="17"/>
  <c r="J63" i="17"/>
  <c r="AP64" i="17"/>
  <c r="J64" i="17" s="1"/>
  <c r="AO59" i="17"/>
  <c r="I59" i="17" s="1"/>
  <c r="AO64" i="17"/>
  <c r="I64" i="17" s="1"/>
  <c r="I63" i="17"/>
  <c r="AN89" i="17"/>
  <c r="AM12" i="17"/>
  <c r="AS105" i="17"/>
  <c r="L105" i="17"/>
  <c r="G113" i="17"/>
  <c r="AN113" i="17"/>
  <c r="AJ5" i="17"/>
  <c r="AK85" i="17"/>
  <c r="AK5" i="17" s="1"/>
  <c r="AM93" i="17"/>
  <c r="F93" i="17"/>
  <c r="AL19" i="17"/>
  <c r="G91" i="17"/>
  <c r="AM103" i="17"/>
  <c r="F103" i="17"/>
  <c r="AM96" i="17"/>
  <c r="AL22" i="17"/>
  <c r="J114" i="17"/>
  <c r="AW46" i="17"/>
  <c r="AS85" i="17"/>
  <c r="L85" i="17"/>
  <c r="K63" i="17"/>
  <c r="AL75" i="17"/>
  <c r="E75" i="17"/>
  <c r="AK35" i="17"/>
  <c r="F84" i="17"/>
  <c r="AM84" i="17"/>
  <c r="AL4" i="17"/>
  <c r="AM94" i="17"/>
  <c r="AL20" i="17"/>
  <c r="AW45" i="17"/>
  <c r="Z112" i="17"/>
  <c r="J112" i="17" s="1"/>
  <c r="G114" i="17"/>
  <c r="AU58" i="17"/>
  <c r="O58" i="17" s="1"/>
  <c r="N58" i="17"/>
  <c r="F114" i="17"/>
  <c r="AN86" i="17"/>
  <c r="AM6" i="17"/>
  <c r="C30" i="17"/>
  <c r="AM83" i="17"/>
  <c r="F83" i="17"/>
  <c r="AL3" i="17"/>
  <c r="E104" i="17"/>
  <c r="AL104" i="17"/>
  <c r="AL36" i="17" s="1"/>
  <c r="F36" i="17" s="1"/>
  <c r="AK36" i="17"/>
  <c r="AE51" i="17"/>
  <c r="K114" i="17"/>
  <c r="AT59" i="17"/>
  <c r="L104" i="17"/>
  <c r="G86" i="17"/>
  <c r="F96" i="17"/>
  <c r="AO102" i="17"/>
  <c r="H102" i="17"/>
  <c r="S112" i="17"/>
  <c r="Y112" i="17"/>
  <c r="I112" i="17" s="1"/>
  <c r="D85" i="17"/>
  <c r="M58" i="17"/>
  <c r="X112" i="17"/>
  <c r="H112" i="17" s="1"/>
  <c r="W37" i="16"/>
  <c r="AB37" i="16"/>
  <c r="Y37" i="16"/>
  <c r="U37" i="16"/>
  <c r="W10" i="16"/>
  <c r="AD37" i="16"/>
  <c r="Z37" i="16"/>
  <c r="X37" i="16"/>
  <c r="AC37" i="16"/>
  <c r="U10" i="16"/>
  <c r="T37" i="16"/>
  <c r="X10" i="16"/>
  <c r="Y10" i="16"/>
  <c r="AA37" i="16"/>
  <c r="Z10" i="16"/>
  <c r="S10" i="16"/>
  <c r="S37" i="16"/>
  <c r="AE10" i="16"/>
  <c r="AE37" i="16"/>
  <c r="AE17" i="15"/>
  <c r="C17" i="15"/>
  <c r="AE12" i="15"/>
  <c r="T23" i="15"/>
  <c r="J7" i="15"/>
  <c r="N7" i="15"/>
  <c r="AE7" i="15"/>
  <c r="CP18" i="13" l="1"/>
  <c r="CP12" i="13"/>
  <c r="CP7" i="13"/>
  <c r="CQ12" i="13"/>
  <c r="CQ24" i="13"/>
  <c r="E9" i="18"/>
  <c r="CQ25" i="13"/>
  <c r="M9" i="18"/>
  <c r="CP5" i="13"/>
  <c r="M12" i="18"/>
  <c r="M18" i="18"/>
  <c r="CQ27" i="13"/>
  <c r="CQ17" i="13"/>
  <c r="E18" i="18"/>
  <c r="K17" i="18"/>
  <c r="O17" i="18" s="1"/>
  <c r="CQ33" i="13"/>
  <c r="C13" i="18"/>
  <c r="CP29" i="13"/>
  <c r="K14" i="18"/>
  <c r="N14" i="18" s="1"/>
  <c r="CQ30" i="13"/>
  <c r="C14" i="18"/>
  <c r="CP30" i="13"/>
  <c r="C15" i="18"/>
  <c r="CP31" i="13"/>
  <c r="K15" i="18"/>
  <c r="N15" i="18" s="1"/>
  <c r="CQ31" i="13"/>
  <c r="C17" i="18"/>
  <c r="CP33" i="13"/>
  <c r="K13" i="18"/>
  <c r="N13" i="18" s="1"/>
  <c r="CQ29" i="13"/>
  <c r="K16" i="18"/>
  <c r="O16" i="18" s="1"/>
  <c r="CQ32" i="13"/>
  <c r="CE61" i="13"/>
  <c r="CN61" i="13" s="1"/>
  <c r="CE87" i="13"/>
  <c r="CF59" i="13"/>
  <c r="CN59" i="13"/>
  <c r="C16" i="18"/>
  <c r="CP32" i="13"/>
  <c r="L18" i="18"/>
  <c r="F36" i="21"/>
  <c r="K40" i="18"/>
  <c r="Q40" i="18" s="1"/>
  <c r="K36" i="18"/>
  <c r="Q36" i="18" s="1"/>
  <c r="K26" i="18"/>
  <c r="P26" i="18" s="1"/>
  <c r="P30" i="18"/>
  <c r="Q30" i="18"/>
  <c r="Q25" i="18"/>
  <c r="P25" i="18"/>
  <c r="Q35" i="18"/>
  <c r="P35" i="18"/>
  <c r="Q39" i="18"/>
  <c r="P39" i="18"/>
  <c r="Q33" i="18"/>
  <c r="P33" i="18"/>
  <c r="O33" i="18"/>
  <c r="N33" i="18"/>
  <c r="H24" i="18"/>
  <c r="I24" i="18"/>
  <c r="G24" i="18"/>
  <c r="F24" i="18"/>
  <c r="P31" i="18"/>
  <c r="Q31" i="18"/>
  <c r="P34" i="18"/>
  <c r="Q34" i="18"/>
  <c r="H28" i="18"/>
  <c r="I28" i="18"/>
  <c r="F42" i="18"/>
  <c r="G42" i="18"/>
  <c r="H42" i="18"/>
  <c r="I42" i="18"/>
  <c r="H34" i="18"/>
  <c r="I34" i="18"/>
  <c r="P37" i="18"/>
  <c r="Q37" i="18"/>
  <c r="I33" i="18"/>
  <c r="G33" i="18"/>
  <c r="F33" i="18"/>
  <c r="H33" i="18"/>
  <c r="H39" i="18"/>
  <c r="I39" i="18"/>
  <c r="Q41" i="18"/>
  <c r="P41" i="18"/>
  <c r="O41" i="18"/>
  <c r="N41" i="18"/>
  <c r="Q28" i="18"/>
  <c r="N28" i="18"/>
  <c r="O28" i="18"/>
  <c r="P28" i="18"/>
  <c r="Q24" i="18"/>
  <c r="P24" i="18"/>
  <c r="N24" i="18"/>
  <c r="O24" i="18"/>
  <c r="I38" i="18"/>
  <c r="F38" i="18"/>
  <c r="H38" i="18"/>
  <c r="G38" i="18"/>
  <c r="Q42" i="18"/>
  <c r="N42" i="18"/>
  <c r="P42" i="18"/>
  <c r="O42" i="18"/>
  <c r="P38" i="18"/>
  <c r="O38" i="18"/>
  <c r="N38" i="18"/>
  <c r="Q38" i="18"/>
  <c r="Q32" i="18"/>
  <c r="P32" i="18"/>
  <c r="P27" i="18"/>
  <c r="Q27" i="18"/>
  <c r="G28" i="18"/>
  <c r="F28" i="18"/>
  <c r="D18" i="18"/>
  <c r="BH107" i="13"/>
  <c r="BI107" i="13" s="1"/>
  <c r="BH129" i="13"/>
  <c r="BE118" i="13"/>
  <c r="BH120" i="13"/>
  <c r="BM138" i="13"/>
  <c r="BI137" i="13"/>
  <c r="BM115" i="13"/>
  <c r="C25" i="16"/>
  <c r="E23" i="15"/>
  <c r="AF8" i="16"/>
  <c r="AF10" i="16" s="1"/>
  <c r="E16" i="16"/>
  <c r="AY24" i="16"/>
  <c r="AW36" i="16"/>
  <c r="AZ24" i="16" s="1"/>
  <c r="AF16" i="16"/>
  <c r="O16" i="16" s="1"/>
  <c r="C23" i="15"/>
  <c r="C24" i="15"/>
  <c r="O7" i="15"/>
  <c r="AE23" i="15"/>
  <c r="O23" i="15" s="1"/>
  <c r="AJ38" i="16"/>
  <c r="AJ39" i="16"/>
  <c r="AM37" i="16"/>
  <c r="D23" i="15"/>
  <c r="D24" i="15"/>
  <c r="AK9" i="16"/>
  <c r="AM9" i="16" s="1"/>
  <c r="AK10" i="16"/>
  <c r="AM8" i="16"/>
  <c r="AM10" i="16" s="1"/>
  <c r="AJ10" i="16"/>
  <c r="AL18" i="16"/>
  <c r="AL17" i="16"/>
  <c r="AM17" i="16" s="1"/>
  <c r="AM16" i="16"/>
  <c r="AM34" i="16"/>
  <c r="V25" i="16"/>
  <c r="AL36" i="16"/>
  <c r="AL39" i="16" s="1"/>
  <c r="AL9" i="16"/>
  <c r="U39" i="16"/>
  <c r="U38" i="16"/>
  <c r="V34" i="16"/>
  <c r="AF24" i="16"/>
  <c r="T38" i="16"/>
  <c r="T39" i="16"/>
  <c r="S39" i="16"/>
  <c r="S38" i="16"/>
  <c r="V37" i="16"/>
  <c r="AK36" i="16"/>
  <c r="AK39" i="16" s="1"/>
  <c r="T10" i="16"/>
  <c r="C7" i="17"/>
  <c r="AI10" i="17"/>
  <c r="AI51" i="17"/>
  <c r="C51" i="17" s="1"/>
  <c r="D30" i="17"/>
  <c r="AJ33" i="17"/>
  <c r="AJ32" i="17"/>
  <c r="C23" i="17"/>
  <c r="AI25" i="17"/>
  <c r="AI26" i="17"/>
  <c r="D23" i="17"/>
  <c r="AJ26" i="17"/>
  <c r="AJ25" i="17"/>
  <c r="C38" i="17"/>
  <c r="AI40" i="17"/>
  <c r="AI41" i="17"/>
  <c r="AI17" i="17"/>
  <c r="AI18" i="17"/>
  <c r="AK78" i="17"/>
  <c r="E78" i="17" s="1"/>
  <c r="E74" i="17"/>
  <c r="N64" i="17"/>
  <c r="AJ38" i="17"/>
  <c r="E21" i="17"/>
  <c r="AK23" i="17"/>
  <c r="AK25" i="17" s="1"/>
  <c r="AM95" i="17"/>
  <c r="AL21" i="17"/>
  <c r="F21" i="17" s="1"/>
  <c r="F95" i="17"/>
  <c r="AK38" i="17"/>
  <c r="E35" i="17"/>
  <c r="AM74" i="17"/>
  <c r="F74" i="17"/>
  <c r="AL34" i="17"/>
  <c r="AL78" i="17"/>
  <c r="F78" i="17" s="1"/>
  <c r="AN93" i="17"/>
  <c r="AM19" i="17"/>
  <c r="G93" i="17"/>
  <c r="G14" i="17"/>
  <c r="F3" i="17"/>
  <c r="L21" i="17"/>
  <c r="AN88" i="17"/>
  <c r="AM11" i="17"/>
  <c r="G88" i="17"/>
  <c r="AN83" i="17"/>
  <c r="AM3" i="17"/>
  <c r="G83" i="17"/>
  <c r="AT95" i="17"/>
  <c r="AS21" i="17"/>
  <c r="M21" i="17" s="1"/>
  <c r="M95" i="17"/>
  <c r="AP102" i="17"/>
  <c r="I102" i="17"/>
  <c r="AM75" i="17"/>
  <c r="F75" i="17"/>
  <c r="AL35" i="17"/>
  <c r="F35" i="17" s="1"/>
  <c r="AL85" i="17"/>
  <c r="E85" i="17"/>
  <c r="D5" i="17"/>
  <c r="AJ7" i="17"/>
  <c r="AO91" i="17"/>
  <c r="AN14" i="17"/>
  <c r="H14" i="17" s="1"/>
  <c r="H91" i="17"/>
  <c r="AU59" i="17"/>
  <c r="O59" i="17" s="1"/>
  <c r="N59" i="17"/>
  <c r="G6" i="17"/>
  <c r="AO113" i="17"/>
  <c r="H113" i="17"/>
  <c r="AO86" i="17"/>
  <c r="AN6" i="17"/>
  <c r="H6" i="17" s="1"/>
  <c r="H86" i="17"/>
  <c r="F22" i="17"/>
  <c r="G28" i="17"/>
  <c r="F20" i="17"/>
  <c r="AN96" i="17"/>
  <c r="AM22" i="17"/>
  <c r="G22" i="17" s="1"/>
  <c r="G96" i="17"/>
  <c r="AO99" i="17"/>
  <c r="AN28" i="17"/>
  <c r="H99" i="17"/>
  <c r="AM20" i="17"/>
  <c r="G20" i="17" s="1"/>
  <c r="AN94" i="17"/>
  <c r="G94" i="17"/>
  <c r="AT85" i="17"/>
  <c r="AS5" i="17"/>
  <c r="M5" i="17" s="1"/>
  <c r="M85" i="17"/>
  <c r="AT105" i="17"/>
  <c r="N105" i="17" s="1"/>
  <c r="M105" i="17"/>
  <c r="AT90" i="17"/>
  <c r="AS13" i="17"/>
  <c r="M13" i="17" s="1"/>
  <c r="M90" i="17"/>
  <c r="AP108" i="17"/>
  <c r="I108" i="17"/>
  <c r="F4" i="17"/>
  <c r="E29" i="17"/>
  <c r="AK30" i="17"/>
  <c r="E36" i="17"/>
  <c r="AN84" i="17"/>
  <c r="G4" i="17"/>
  <c r="G84" i="17"/>
  <c r="AN103" i="17"/>
  <c r="G103" i="17"/>
  <c r="F77" i="17"/>
  <c r="AM77" i="17"/>
  <c r="AL37" i="17"/>
  <c r="AE112" i="17"/>
  <c r="O112" i="17" s="1"/>
  <c r="C112" i="17"/>
  <c r="AM104" i="17"/>
  <c r="AM36" i="17" s="1"/>
  <c r="G36" i="17" s="1"/>
  <c r="F104" i="17"/>
  <c r="G12" i="17"/>
  <c r="D13" i="17"/>
  <c r="AJ15" i="17"/>
  <c r="AJ18" i="17" s="1"/>
  <c r="F11" i="17"/>
  <c r="AM100" i="17"/>
  <c r="AL29" i="17"/>
  <c r="F100" i="17"/>
  <c r="F19" i="17"/>
  <c r="AO89" i="17"/>
  <c r="AN12" i="17"/>
  <c r="H12" i="17" s="1"/>
  <c r="H89" i="17"/>
  <c r="AN76" i="17"/>
  <c r="G76" i="17"/>
  <c r="AL90" i="17"/>
  <c r="E90" i="17"/>
  <c r="AK13" i="17"/>
  <c r="AK15" i="17" s="1"/>
  <c r="C36" i="16"/>
  <c r="AK17" i="15"/>
  <c r="AJ17" i="15"/>
  <c r="AJ23" i="15" s="1"/>
  <c r="E19" i="18" l="1"/>
  <c r="M19" i="18"/>
  <c r="Q13" i="18"/>
  <c r="O15" i="18"/>
  <c r="O14" i="18"/>
  <c r="Q15" i="18"/>
  <c r="Q14" i="18"/>
  <c r="P15" i="18"/>
  <c r="N16" i="18"/>
  <c r="Q17" i="18"/>
  <c r="P16" i="18"/>
  <c r="Q16" i="18"/>
  <c r="K18" i="18"/>
  <c r="Q18" i="18" s="1"/>
  <c r="P17" i="18"/>
  <c r="P13" i="18"/>
  <c r="N17" i="18"/>
  <c r="P14" i="18"/>
  <c r="O13" i="18"/>
  <c r="CF61" i="13"/>
  <c r="CF87" i="13"/>
  <c r="CG59" i="13"/>
  <c r="G36" i="21"/>
  <c r="H36" i="21"/>
  <c r="BH106" i="13"/>
  <c r="BJ107" i="13"/>
  <c r="BS107" i="13" s="1"/>
  <c r="L27" i="18" s="1"/>
  <c r="N27" i="18" s="1"/>
  <c r="P36" i="18"/>
  <c r="P40" i="18"/>
  <c r="Q26" i="18"/>
  <c r="BF118" i="13"/>
  <c r="BG128" i="13"/>
  <c r="BJ137" i="13"/>
  <c r="BR137" i="13" s="1"/>
  <c r="BI129" i="13"/>
  <c r="BG119" i="13"/>
  <c r="BE117" i="13"/>
  <c r="BN138" i="13"/>
  <c r="BI120" i="13"/>
  <c r="O24" i="15"/>
  <c r="AZ27" i="16"/>
  <c r="AY36" i="16"/>
  <c r="AZ30" i="16"/>
  <c r="AF37" i="16"/>
  <c r="AZ28" i="16"/>
  <c r="AZ31" i="16"/>
  <c r="E36" i="16"/>
  <c r="AL38" i="16"/>
  <c r="D36" i="16"/>
  <c r="AM36" i="16"/>
  <c r="AM38" i="16" s="1"/>
  <c r="AK38" i="16"/>
  <c r="AL23" i="16"/>
  <c r="AM18" i="16"/>
  <c r="V39" i="16"/>
  <c r="V38" i="16"/>
  <c r="AU105" i="17"/>
  <c r="O105" i="17" s="1"/>
  <c r="AK33" i="17"/>
  <c r="AK32" i="17"/>
  <c r="AK41" i="17"/>
  <c r="AK40" i="17"/>
  <c r="D38" i="17"/>
  <c r="AJ40" i="17"/>
  <c r="AJ41" i="17"/>
  <c r="E23" i="17"/>
  <c r="AK26" i="17"/>
  <c r="AK17" i="17"/>
  <c r="AK18" i="17"/>
  <c r="AJ9" i="17"/>
  <c r="AJ10" i="17"/>
  <c r="AL23" i="17"/>
  <c r="AN95" i="17"/>
  <c r="AM21" i="17"/>
  <c r="G21" i="17" s="1"/>
  <c r="G95" i="17"/>
  <c r="AN100" i="17"/>
  <c r="G100" i="17"/>
  <c r="AM29" i="17"/>
  <c r="H83" i="17"/>
  <c r="AN3" i="17"/>
  <c r="AO83" i="17"/>
  <c r="F29" i="17"/>
  <c r="AL30" i="17"/>
  <c r="F30" i="17" s="1"/>
  <c r="AO84" i="17"/>
  <c r="H84" i="17"/>
  <c r="AN4" i="17"/>
  <c r="AQ108" i="17"/>
  <c r="J108" i="17"/>
  <c r="H28" i="17"/>
  <c r="AN75" i="17"/>
  <c r="G75" i="17"/>
  <c r="AM35" i="17"/>
  <c r="G35" i="17" s="1"/>
  <c r="AN104" i="17"/>
  <c r="H104" i="17" s="1"/>
  <c r="G104" i="17"/>
  <c r="F37" i="17"/>
  <c r="E30" i="17"/>
  <c r="N90" i="17"/>
  <c r="AT13" i="17"/>
  <c r="N13" i="17" s="1"/>
  <c r="AP99" i="17"/>
  <c r="I99" i="17"/>
  <c r="AO28" i="17"/>
  <c r="G19" i="17"/>
  <c r="G77" i="17"/>
  <c r="AN77" i="17"/>
  <c r="AM37" i="17"/>
  <c r="G37" i="17" s="1"/>
  <c r="AP91" i="17"/>
  <c r="I91" i="17"/>
  <c r="AO14" i="17"/>
  <c r="I14" i="17" s="1"/>
  <c r="G11" i="17"/>
  <c r="H93" i="17"/>
  <c r="AO93" i="17"/>
  <c r="AN19" i="17"/>
  <c r="AP89" i="17"/>
  <c r="AO12" i="17"/>
  <c r="I12" i="17" s="1"/>
  <c r="I89" i="17"/>
  <c r="D51" i="17"/>
  <c r="D7" i="17"/>
  <c r="AQ102" i="17"/>
  <c r="J102" i="17"/>
  <c r="H88" i="17"/>
  <c r="AN11" i="17"/>
  <c r="AO88" i="17"/>
  <c r="AO76" i="17"/>
  <c r="H76" i="17"/>
  <c r="AO96" i="17"/>
  <c r="H96" i="17"/>
  <c r="AN22" i="17"/>
  <c r="H22" i="17" s="1"/>
  <c r="G3" i="17"/>
  <c r="AP86" i="17"/>
  <c r="I86" i="17"/>
  <c r="AO6" i="17"/>
  <c r="I6" i="17" s="1"/>
  <c r="F34" i="17"/>
  <c r="AL38" i="17"/>
  <c r="F38" i="17" s="1"/>
  <c r="F23" i="17"/>
  <c r="AP113" i="17"/>
  <c r="I113" i="17"/>
  <c r="AN74" i="17"/>
  <c r="AM78" i="17"/>
  <c r="G78" i="17" s="1"/>
  <c r="G74" i="17"/>
  <c r="AM34" i="17"/>
  <c r="D15" i="17"/>
  <c r="E13" i="17"/>
  <c r="E15" i="17"/>
  <c r="H103" i="17"/>
  <c r="AO103" i="17"/>
  <c r="N85" i="17"/>
  <c r="AT5" i="17"/>
  <c r="N5" i="17" s="1"/>
  <c r="E5" i="17"/>
  <c r="N95" i="17"/>
  <c r="AT21" i="17"/>
  <c r="AM90" i="17"/>
  <c r="AL13" i="17"/>
  <c r="F90" i="17"/>
  <c r="AO94" i="17"/>
  <c r="AN20" i="17"/>
  <c r="H20" i="17" s="1"/>
  <c r="H94" i="17"/>
  <c r="AM85" i="17"/>
  <c r="F85" i="17"/>
  <c r="E38" i="17"/>
  <c r="AK23" i="15"/>
  <c r="O15" i="15"/>
  <c r="N18" i="18" l="1"/>
  <c r="O18" i="18"/>
  <c r="P18" i="18"/>
  <c r="CG61" i="13"/>
  <c r="CG87" i="13"/>
  <c r="CH59" i="13"/>
  <c r="BH128" i="13"/>
  <c r="BG124" i="13"/>
  <c r="BK107" i="13"/>
  <c r="BL107" i="13" s="1"/>
  <c r="BR107" i="13"/>
  <c r="BF127" i="13"/>
  <c r="I36" i="21"/>
  <c r="BS137" i="13"/>
  <c r="L40" i="18" s="1"/>
  <c r="N40" i="18" s="1"/>
  <c r="BK137" i="13"/>
  <c r="O27" i="18"/>
  <c r="BI106" i="13"/>
  <c r="BJ129" i="13"/>
  <c r="BG118" i="13"/>
  <c r="BJ120" i="13"/>
  <c r="BR120" i="13" s="1"/>
  <c r="BE115" i="13"/>
  <c r="BE114" i="13" s="1"/>
  <c r="BF117" i="13"/>
  <c r="BH119" i="13"/>
  <c r="O36" i="16"/>
  <c r="AM39" i="16"/>
  <c r="AM23" i="16"/>
  <c r="AM26" i="16" s="1"/>
  <c r="AL25" i="16"/>
  <c r="AM25" i="16" s="1"/>
  <c r="AL26" i="16"/>
  <c r="AM23" i="17"/>
  <c r="G23" i="17" s="1"/>
  <c r="AK10" i="17"/>
  <c r="AK9" i="17"/>
  <c r="H95" i="17"/>
  <c r="AN21" i="17"/>
  <c r="H21" i="17" s="1"/>
  <c r="AU95" i="17"/>
  <c r="O95" i="17" s="1"/>
  <c r="G34" i="17"/>
  <c r="AM38" i="17"/>
  <c r="I76" i="17"/>
  <c r="AO36" i="17"/>
  <c r="I36" i="17" s="1"/>
  <c r="AP76" i="17"/>
  <c r="AQ89" i="17"/>
  <c r="J89" i="17"/>
  <c r="AP12" i="17"/>
  <c r="J12" i="17" s="1"/>
  <c r="E51" i="17"/>
  <c r="E7" i="17"/>
  <c r="I88" i="17"/>
  <c r="AP88" i="17"/>
  <c r="AO11" i="17"/>
  <c r="H19" i="17"/>
  <c r="I83" i="17"/>
  <c r="AP83" i="17"/>
  <c r="AP84" i="17"/>
  <c r="AO4" i="17"/>
  <c r="I4" i="17" s="1"/>
  <c r="I84" i="17"/>
  <c r="AO74" i="17"/>
  <c r="AN78" i="17"/>
  <c r="H78" i="17" s="1"/>
  <c r="AN34" i="17"/>
  <c r="H74" i="17"/>
  <c r="I28" i="17"/>
  <c r="H3" i="17"/>
  <c r="H11" i="17"/>
  <c r="AP103" i="17"/>
  <c r="I103" i="17"/>
  <c r="AO75" i="17"/>
  <c r="H75" i="17"/>
  <c r="AN35" i="17"/>
  <c r="H77" i="17"/>
  <c r="AO77" i="17"/>
  <c r="AN37" i="17"/>
  <c r="H37" i="17" s="1"/>
  <c r="F13" i="17"/>
  <c r="AL15" i="17"/>
  <c r="F15" i="17" s="1"/>
  <c r="AP93" i="17"/>
  <c r="AO19" i="17"/>
  <c r="I93" i="17"/>
  <c r="K102" i="17"/>
  <c r="AR102" i="17"/>
  <c r="AQ99" i="17"/>
  <c r="J99" i="17"/>
  <c r="AP28" i="17"/>
  <c r="G29" i="17"/>
  <c r="AM30" i="17"/>
  <c r="G30" i="17" s="1"/>
  <c r="AN90" i="17"/>
  <c r="G90" i="17"/>
  <c r="AM13" i="17"/>
  <c r="F5" i="17"/>
  <c r="AL7" i="17"/>
  <c r="AR108" i="17"/>
  <c r="K108" i="17"/>
  <c r="AP94" i="17"/>
  <c r="AO20" i="17"/>
  <c r="I94" i="17"/>
  <c r="AQ86" i="17"/>
  <c r="J86" i="17"/>
  <c r="AP6" i="17"/>
  <c r="AQ113" i="17"/>
  <c r="J113" i="17"/>
  <c r="AN85" i="17"/>
  <c r="G85" i="17"/>
  <c r="AM5" i="17"/>
  <c r="AP96" i="17"/>
  <c r="I96" i="17"/>
  <c r="AO22" i="17"/>
  <c r="N21" i="17"/>
  <c r="AQ91" i="17"/>
  <c r="J91" i="17"/>
  <c r="AP14" i="17"/>
  <c r="H4" i="17"/>
  <c r="AO100" i="17"/>
  <c r="H100" i="17"/>
  <c r="AN29" i="17"/>
  <c r="AU104" i="17"/>
  <c r="O104" i="17" s="1"/>
  <c r="AN36" i="17"/>
  <c r="O10" i="15"/>
  <c r="AU5" i="15"/>
  <c r="O5" i="15" s="1"/>
  <c r="AM17" i="15"/>
  <c r="AL17" i="15"/>
  <c r="AL23" i="15" s="1"/>
  <c r="CH61" i="13" l="1"/>
  <c r="CH87" i="13"/>
  <c r="CI59" i="13"/>
  <c r="BG127" i="13"/>
  <c r="J36" i="21"/>
  <c r="G34" i="21"/>
  <c r="F34" i="21"/>
  <c r="O40" i="18"/>
  <c r="BH118" i="13"/>
  <c r="BS120" i="13"/>
  <c r="L32" i="18" s="1"/>
  <c r="BH124" i="13"/>
  <c r="BS129" i="13"/>
  <c r="L37" i="18" s="1"/>
  <c r="G30" i="21"/>
  <c r="BR129" i="13"/>
  <c r="BS136" i="13"/>
  <c r="L39" i="18" s="1"/>
  <c r="BR136" i="13"/>
  <c r="BJ106" i="13"/>
  <c r="BL137" i="13"/>
  <c r="BK129" i="13"/>
  <c r="BM107" i="13"/>
  <c r="BK120" i="13"/>
  <c r="BF115" i="13"/>
  <c r="BI119" i="13"/>
  <c r="BG117" i="13"/>
  <c r="AW23" i="16"/>
  <c r="AN23" i="17"/>
  <c r="AU21" i="17"/>
  <c r="O21" i="17" s="1"/>
  <c r="H23" i="17"/>
  <c r="AQ94" i="17"/>
  <c r="J94" i="17"/>
  <c r="AP20" i="17"/>
  <c r="J20" i="17" s="1"/>
  <c r="AQ84" i="17"/>
  <c r="J84" i="17"/>
  <c r="AP4" i="17"/>
  <c r="J4" i="17" s="1"/>
  <c r="AR91" i="17"/>
  <c r="K91" i="17"/>
  <c r="AQ14" i="17"/>
  <c r="K14" i="17" s="1"/>
  <c r="I20" i="17"/>
  <c r="J28" i="17"/>
  <c r="AO7" i="17"/>
  <c r="I3" i="17"/>
  <c r="AR113" i="17"/>
  <c r="K113" i="17"/>
  <c r="AR89" i="17"/>
  <c r="K89" i="17"/>
  <c r="AQ12" i="17"/>
  <c r="K12" i="17" s="1"/>
  <c r="H36" i="17"/>
  <c r="AS108" i="17"/>
  <c r="L108" i="17"/>
  <c r="J76" i="17"/>
  <c r="AQ76" i="17"/>
  <c r="AP36" i="17"/>
  <c r="J36" i="17" s="1"/>
  <c r="J6" i="17"/>
  <c r="H85" i="17"/>
  <c r="AN5" i="17"/>
  <c r="AP77" i="17"/>
  <c r="I77" i="17"/>
  <c r="AO37" i="17"/>
  <c r="I37" i="17" s="1"/>
  <c r="G5" i="17"/>
  <c r="AM7" i="17"/>
  <c r="AQ103" i="17"/>
  <c r="J103" i="17"/>
  <c r="AR99" i="17"/>
  <c r="AQ28" i="17"/>
  <c r="K99" i="17"/>
  <c r="H35" i="17"/>
  <c r="I22" i="17"/>
  <c r="AP100" i="17"/>
  <c r="AO29" i="17"/>
  <c r="I100" i="17"/>
  <c r="AP75" i="17"/>
  <c r="I75" i="17"/>
  <c r="AO35" i="17"/>
  <c r="I35" i="17" s="1"/>
  <c r="AN38" i="17"/>
  <c r="H38" i="17" s="1"/>
  <c r="H34" i="17"/>
  <c r="J14" i="17"/>
  <c r="G13" i="17"/>
  <c r="AM15" i="17"/>
  <c r="G15" i="17" s="1"/>
  <c r="H90" i="17"/>
  <c r="AN13" i="17"/>
  <c r="AU90" i="17"/>
  <c r="O90" i="17" s="1"/>
  <c r="AO23" i="17"/>
  <c r="I19" i="17"/>
  <c r="I11" i="17"/>
  <c r="AO15" i="17"/>
  <c r="I15" i="17" s="1"/>
  <c r="G38" i="17"/>
  <c r="AQ83" i="17"/>
  <c r="AP3" i="17"/>
  <c r="J83" i="17"/>
  <c r="F51" i="17"/>
  <c r="F7" i="17"/>
  <c r="AS102" i="17"/>
  <c r="L102" i="17"/>
  <c r="H29" i="17"/>
  <c r="AN30" i="17"/>
  <c r="AR86" i="17"/>
  <c r="AQ6" i="17"/>
  <c r="K6" i="17" s="1"/>
  <c r="K86" i="17"/>
  <c r="AQ96" i="17"/>
  <c r="AP22" i="17"/>
  <c r="J22" i="17" s="1"/>
  <c r="J96" i="17"/>
  <c r="AU85" i="17"/>
  <c r="O85" i="17" s="1"/>
  <c r="AQ93" i="17"/>
  <c r="AP19" i="17"/>
  <c r="J93" i="17"/>
  <c r="AP74" i="17"/>
  <c r="AO78" i="17"/>
  <c r="I78" i="17" s="1"/>
  <c r="I74" i="17"/>
  <c r="AO34" i="17"/>
  <c r="AQ88" i="17"/>
  <c r="AP11" i="17"/>
  <c r="J88" i="17"/>
  <c r="AM23" i="15"/>
  <c r="AN17" i="15"/>
  <c r="CI61" i="13" l="1"/>
  <c r="CI87" i="13"/>
  <c r="CJ59" i="13"/>
  <c r="BJ128" i="13"/>
  <c r="BR128" i="13" s="1"/>
  <c r="H30" i="21"/>
  <c r="N37" i="18"/>
  <c r="O37" i="18"/>
  <c r="BH127" i="13"/>
  <c r="H34" i="21" s="1"/>
  <c r="K36" i="21"/>
  <c r="D39" i="18"/>
  <c r="E32" i="21"/>
  <c r="N32" i="18"/>
  <c r="O32" i="18"/>
  <c r="O39" i="18"/>
  <c r="N39" i="18"/>
  <c r="I30" i="21"/>
  <c r="BS106" i="13"/>
  <c r="L26" i="18" s="1"/>
  <c r="N26" i="18" s="1"/>
  <c r="BR106" i="13"/>
  <c r="BK106" i="13"/>
  <c r="BM137" i="13"/>
  <c r="BL129" i="13"/>
  <c r="BL120" i="13"/>
  <c r="BI118" i="13"/>
  <c r="BG116" i="13"/>
  <c r="F32" i="21"/>
  <c r="BN107" i="13"/>
  <c r="BG115" i="13"/>
  <c r="BH117" i="13"/>
  <c r="BJ119" i="13"/>
  <c r="BS119" i="13" s="1"/>
  <c r="AQ74" i="17"/>
  <c r="AP78" i="17"/>
  <c r="J78" i="17" s="1"/>
  <c r="J74" i="17"/>
  <c r="AP34" i="17"/>
  <c r="L91" i="17"/>
  <c r="AS91" i="17"/>
  <c r="AR14" i="17"/>
  <c r="L14" i="17" s="1"/>
  <c r="H5" i="17"/>
  <c r="AN7" i="17"/>
  <c r="AT102" i="17"/>
  <c r="N102" i="17" s="1"/>
  <c r="M102" i="17"/>
  <c r="AU102" i="17"/>
  <c r="O102" i="17" s="1"/>
  <c r="H13" i="17"/>
  <c r="AN15" i="17"/>
  <c r="AU13" i="17"/>
  <c r="O13" i="17" s="1"/>
  <c r="I29" i="17"/>
  <c r="AO30" i="17"/>
  <c r="I30" i="17" s="1"/>
  <c r="G51" i="17"/>
  <c r="G7" i="17"/>
  <c r="AR84" i="17"/>
  <c r="K84" i="17"/>
  <c r="AQ4" i="17"/>
  <c r="K4" i="17" s="1"/>
  <c r="H30" i="17"/>
  <c r="AP23" i="17"/>
  <c r="J23" i="17" s="1"/>
  <c r="J19" i="17"/>
  <c r="AR93" i="17"/>
  <c r="K93" i="17"/>
  <c r="AQ19" i="17"/>
  <c r="I23" i="17"/>
  <c r="AS89" i="17"/>
  <c r="AR12" i="17"/>
  <c r="L12" i="17" s="1"/>
  <c r="L89" i="17"/>
  <c r="AQ75" i="17"/>
  <c r="J75" i="17"/>
  <c r="AP35" i="17"/>
  <c r="AS113" i="17"/>
  <c r="L113" i="17"/>
  <c r="K76" i="17"/>
  <c r="AR76" i="17"/>
  <c r="AQ36" i="17"/>
  <c r="K36" i="17" s="1"/>
  <c r="I7" i="17"/>
  <c r="AQ77" i="17"/>
  <c r="J77" i="17"/>
  <c r="AP37" i="17"/>
  <c r="J37" i="17" s="1"/>
  <c r="AS99" i="17"/>
  <c r="AR28" i="17"/>
  <c r="L99" i="17"/>
  <c r="K96" i="17"/>
  <c r="AR96" i="17"/>
  <c r="AQ22" i="17"/>
  <c r="K22" i="17" s="1"/>
  <c r="AR88" i="17"/>
  <c r="K88" i="17"/>
  <c r="AQ11" i="17"/>
  <c r="AP7" i="17"/>
  <c r="J3" i="17"/>
  <c r="I34" i="17"/>
  <c r="AO38" i="17"/>
  <c r="I38" i="17" s="1"/>
  <c r="AQ100" i="17"/>
  <c r="AP29" i="17"/>
  <c r="J100" i="17"/>
  <c r="AU5" i="17"/>
  <c r="O5" i="17" s="1"/>
  <c r="K28" i="17"/>
  <c r="J11" i="17"/>
  <c r="AP15" i="17"/>
  <c r="J15" i="17" s="1"/>
  <c r="AR103" i="17"/>
  <c r="K103" i="17"/>
  <c r="AR83" i="17"/>
  <c r="K83" i="17"/>
  <c r="AQ3" i="17"/>
  <c r="L86" i="17"/>
  <c r="AS86" i="17"/>
  <c r="AR6" i="17"/>
  <c r="AT108" i="17"/>
  <c r="M108" i="17"/>
  <c r="AR94" i="17"/>
  <c r="K94" i="17"/>
  <c r="AQ20" i="17"/>
  <c r="K20" i="17" s="1"/>
  <c r="AN23" i="15"/>
  <c r="AO17" i="15"/>
  <c r="AO23" i="15" s="1"/>
  <c r="CJ87" i="13" l="1"/>
  <c r="CK59" i="13"/>
  <c r="CJ61" i="13"/>
  <c r="BS128" i="13"/>
  <c r="L36" i="18" s="1"/>
  <c r="O36" i="18" s="1"/>
  <c r="BI124" i="13"/>
  <c r="BK128" i="13"/>
  <c r="BJ124" i="13" s="1"/>
  <c r="BR119" i="13"/>
  <c r="BI127" i="13"/>
  <c r="I34" i="21" s="1"/>
  <c r="BJ105" i="13"/>
  <c r="J30" i="21" s="1"/>
  <c r="G39" i="18"/>
  <c r="F39" i="18"/>
  <c r="BN137" i="13"/>
  <c r="L36" i="21"/>
  <c r="O26" i="18"/>
  <c r="BL106" i="13"/>
  <c r="BM129" i="13"/>
  <c r="BH115" i="13"/>
  <c r="BI117" i="13"/>
  <c r="BK119" i="13"/>
  <c r="BH116" i="13"/>
  <c r="BJ118" i="13"/>
  <c r="BR118" i="13" s="1"/>
  <c r="BM120" i="13"/>
  <c r="I51" i="17"/>
  <c r="AT89" i="17"/>
  <c r="AS12" i="17"/>
  <c r="M12" i="17" s="1"/>
  <c r="M89" i="17"/>
  <c r="AS96" i="17"/>
  <c r="AR22" i="17"/>
  <c r="L22" i="17" s="1"/>
  <c r="L96" i="17"/>
  <c r="AS84" i="17"/>
  <c r="AR4" i="17"/>
  <c r="L4" i="17" s="1"/>
  <c r="L84" i="17"/>
  <c r="AR100" i="17"/>
  <c r="K100" i="17"/>
  <c r="AQ29" i="17"/>
  <c r="M91" i="17"/>
  <c r="AT91" i="17"/>
  <c r="AS14" i="17"/>
  <c r="AU91" i="17"/>
  <c r="O91" i="17" s="1"/>
  <c r="AT113" i="17"/>
  <c r="M113" i="17"/>
  <c r="AP38" i="17"/>
  <c r="J38" i="17" s="1"/>
  <c r="J34" i="17"/>
  <c r="AU34" i="17"/>
  <c r="AQ7" i="17"/>
  <c r="K3" i="17"/>
  <c r="H51" i="17"/>
  <c r="H7" i="17"/>
  <c r="AS94" i="17"/>
  <c r="AR20" i="17"/>
  <c r="L20" i="17" s="1"/>
  <c r="L94" i="17"/>
  <c r="L28" i="17"/>
  <c r="J29" i="17"/>
  <c r="AP30" i="17"/>
  <c r="J30" i="17" s="1"/>
  <c r="AS103" i="17"/>
  <c r="L103" i="17"/>
  <c r="AS93" i="17"/>
  <c r="AR19" i="17"/>
  <c r="L93" i="17"/>
  <c r="N108" i="17"/>
  <c r="AU108" i="17"/>
  <c r="O108" i="17" s="1"/>
  <c r="AT99" i="17"/>
  <c r="M99" i="17"/>
  <c r="AS28" i="17"/>
  <c r="AR75" i="17"/>
  <c r="K75" i="17"/>
  <c r="AQ35" i="17"/>
  <c r="H15" i="17"/>
  <c r="AS88" i="17"/>
  <c r="AR11" i="17"/>
  <c r="L88" i="17"/>
  <c r="AS76" i="17"/>
  <c r="L76" i="17"/>
  <c r="AR36" i="17"/>
  <c r="L36" i="17" s="1"/>
  <c r="AS83" i="17"/>
  <c r="AR3" i="17"/>
  <c r="L83" i="17"/>
  <c r="AQ23" i="17"/>
  <c r="K19" i="17"/>
  <c r="J7" i="17"/>
  <c r="J35" i="17"/>
  <c r="L6" i="17"/>
  <c r="AQ15" i="17"/>
  <c r="K15" i="17" s="1"/>
  <c r="K11" i="17"/>
  <c r="M86" i="17"/>
  <c r="AT86" i="17"/>
  <c r="AS6" i="17"/>
  <c r="M6" i="17" s="1"/>
  <c r="AR77" i="17"/>
  <c r="K77" i="17"/>
  <c r="AQ37" i="17"/>
  <c r="K37" i="17" s="1"/>
  <c r="AR74" i="17"/>
  <c r="AQ78" i="17"/>
  <c r="K78" i="17" s="1"/>
  <c r="K74" i="17"/>
  <c r="AW13" i="15"/>
  <c r="O16" i="15"/>
  <c r="AP17" i="15"/>
  <c r="CK87" i="13" l="1"/>
  <c r="CL59" i="13"/>
  <c r="CK61" i="13"/>
  <c r="N36" i="18"/>
  <c r="BL128" i="13"/>
  <c r="BK124" i="13" s="1"/>
  <c r="BJ127" i="13"/>
  <c r="BS127" i="13" s="1"/>
  <c r="L35" i="18" s="1"/>
  <c r="O35" i="18" s="1"/>
  <c r="BH114" i="13"/>
  <c r="H32" i="21" s="1"/>
  <c r="M36" i="21"/>
  <c r="BK105" i="13"/>
  <c r="K30" i="21" s="1"/>
  <c r="G32" i="21"/>
  <c r="J34" i="21"/>
  <c r="BS124" i="13"/>
  <c r="L34" i="18" s="1"/>
  <c r="BR124" i="13"/>
  <c r="D34" i="18" s="1"/>
  <c r="BL119" i="13"/>
  <c r="BS118" i="13"/>
  <c r="BM106" i="13"/>
  <c r="BI115" i="13"/>
  <c r="BJ117" i="13"/>
  <c r="BN120" i="13"/>
  <c r="BL118" i="13" s="1"/>
  <c r="BK118" i="13"/>
  <c r="BI116" i="13"/>
  <c r="L75" i="17"/>
  <c r="AS75" i="17"/>
  <c r="AR35" i="17"/>
  <c r="N113" i="17"/>
  <c r="AU113" i="17"/>
  <c r="O113" i="17" s="1"/>
  <c r="AS100" i="17"/>
  <c r="AR29" i="17"/>
  <c r="L100" i="17"/>
  <c r="N99" i="17"/>
  <c r="AT28" i="17"/>
  <c r="AU99" i="17"/>
  <c r="O99" i="17" s="1"/>
  <c r="AT76" i="17"/>
  <c r="M76" i="17"/>
  <c r="AS36" i="17"/>
  <c r="M36" i="17" s="1"/>
  <c r="AS22" i="17"/>
  <c r="M22" i="17" s="1"/>
  <c r="AT96" i="17"/>
  <c r="AU96" i="17" s="1"/>
  <c r="O96" i="17" s="1"/>
  <c r="M96" i="17"/>
  <c r="J51" i="17"/>
  <c r="AT14" i="17"/>
  <c r="N14" i="17" s="1"/>
  <c r="N91" i="17"/>
  <c r="AW34" i="17"/>
  <c r="O34" i="17"/>
  <c r="M14" i="17"/>
  <c r="AT83" i="17"/>
  <c r="M83" i="17"/>
  <c r="AS3" i="17"/>
  <c r="AS74" i="17"/>
  <c r="AR78" i="17"/>
  <c r="L78" i="17" s="1"/>
  <c r="L74" i="17"/>
  <c r="AR15" i="17"/>
  <c r="L15" i="17" s="1"/>
  <c r="L11" i="17"/>
  <c r="AT88" i="17"/>
  <c r="M88" i="17"/>
  <c r="AS11" i="17"/>
  <c r="N89" i="17"/>
  <c r="AT12" i="17"/>
  <c r="AU89" i="17"/>
  <c r="O89" i="17" s="1"/>
  <c r="L3" i="17"/>
  <c r="AR7" i="17"/>
  <c r="AT84" i="17"/>
  <c r="AS4" i="17"/>
  <c r="M4" i="17" s="1"/>
  <c r="M84" i="17"/>
  <c r="AS77" i="17"/>
  <c r="L77" i="17"/>
  <c r="AR37" i="17"/>
  <c r="L37" i="17" s="1"/>
  <c r="K23" i="17"/>
  <c r="K29" i="17"/>
  <c r="AQ30" i="17"/>
  <c r="K30" i="17" s="1"/>
  <c r="M28" i="17"/>
  <c r="AT94" i="17"/>
  <c r="AS20" i="17"/>
  <c r="M20" i="17" s="1"/>
  <c r="M94" i="17"/>
  <c r="L19" i="17"/>
  <c r="AR23" i="17"/>
  <c r="L23" i="17" s="1"/>
  <c r="AT93" i="17"/>
  <c r="M93" i="17"/>
  <c r="AS19" i="17"/>
  <c r="N86" i="17"/>
  <c r="AT6" i="17"/>
  <c r="AU86" i="17"/>
  <c r="O86" i="17" s="1"/>
  <c r="AQ38" i="17"/>
  <c r="K38" i="17" s="1"/>
  <c r="K35" i="17"/>
  <c r="AT103" i="17"/>
  <c r="M103" i="17"/>
  <c r="K7" i="17"/>
  <c r="AP23" i="15"/>
  <c r="BR105" i="13" l="1"/>
  <c r="BS105" i="13"/>
  <c r="BR127" i="13"/>
  <c r="CL61" i="13"/>
  <c r="CM61" i="13"/>
  <c r="BM128" i="13"/>
  <c r="BK127" i="13"/>
  <c r="K34" i="21" s="1"/>
  <c r="N35" i="18"/>
  <c r="BI114" i="13"/>
  <c r="I32" i="21" s="1"/>
  <c r="O34" i="18"/>
  <c r="N34" i="18"/>
  <c r="BS117" i="13"/>
  <c r="L31" i="18" s="1"/>
  <c r="F34" i="18"/>
  <c r="G34" i="18"/>
  <c r="N36" i="21"/>
  <c r="D8" i="21" a="1"/>
  <c r="D8" i="21" s="1"/>
  <c r="BN106" i="13"/>
  <c r="BL105" i="13"/>
  <c r="BN128" i="13"/>
  <c r="BL124" i="13"/>
  <c r="BK115" i="13"/>
  <c r="BL117" i="13"/>
  <c r="BJ115" i="13"/>
  <c r="BK117" i="13"/>
  <c r="BM119" i="13"/>
  <c r="BM117" i="13" s="1"/>
  <c r="BJ116" i="13"/>
  <c r="K51" i="17"/>
  <c r="L29" i="17"/>
  <c r="AR30" i="17"/>
  <c r="L30" i="17" s="1"/>
  <c r="AT77" i="17"/>
  <c r="M77" i="17"/>
  <c r="AS37" i="17"/>
  <c r="M37" i="17" s="1"/>
  <c r="N103" i="17"/>
  <c r="AU103" i="17"/>
  <c r="O103" i="17" s="1"/>
  <c r="AT100" i="17"/>
  <c r="M100" i="17"/>
  <c r="AS29" i="17"/>
  <c r="L35" i="17"/>
  <c r="AR38" i="17"/>
  <c r="L38" i="17" s="1"/>
  <c r="N28" i="17"/>
  <c r="AU28" i="17"/>
  <c r="O28" i="17" s="1"/>
  <c r="N94" i="17"/>
  <c r="AT20" i="17"/>
  <c r="AU94" i="17"/>
  <c r="O94" i="17" s="1"/>
  <c r="N6" i="17"/>
  <c r="AU6" i="17"/>
  <c r="O6" i="17" s="1"/>
  <c r="M3" i="17"/>
  <c r="AS7" i="17"/>
  <c r="N83" i="17"/>
  <c r="AT3" i="17"/>
  <c r="AU83" i="17"/>
  <c r="O83" i="17" s="1"/>
  <c r="M75" i="17"/>
  <c r="AT75" i="17"/>
  <c r="AS35" i="17"/>
  <c r="AT74" i="17"/>
  <c r="AS78" i="17"/>
  <c r="M78" i="17" s="1"/>
  <c r="M74" i="17"/>
  <c r="N12" i="17"/>
  <c r="AU12" i="17"/>
  <c r="O12" i="17" s="1"/>
  <c r="AU14" i="17"/>
  <c r="O14" i="17" s="1"/>
  <c r="N88" i="17"/>
  <c r="AT11" i="17"/>
  <c r="AU88" i="17"/>
  <c r="O88" i="17" s="1"/>
  <c r="N84" i="17"/>
  <c r="AT4" i="17"/>
  <c r="AU84" i="17"/>
  <c r="O84" i="17" s="1"/>
  <c r="L7" i="17"/>
  <c r="N96" i="17"/>
  <c r="AT22" i="17"/>
  <c r="AS23" i="17"/>
  <c r="M23" i="17" s="1"/>
  <c r="M19" i="17"/>
  <c r="AS15" i="17"/>
  <c r="M15" i="17" s="1"/>
  <c r="M11" i="17"/>
  <c r="N93" i="17"/>
  <c r="AT19" i="17"/>
  <c r="AU93" i="17"/>
  <c r="O93" i="17" s="1"/>
  <c r="AU76" i="17"/>
  <c r="O76" i="17" s="1"/>
  <c r="N76" i="17"/>
  <c r="AT36" i="17"/>
  <c r="AQ17" i="15"/>
  <c r="AR17" i="15"/>
  <c r="L25" i="18" l="1"/>
  <c r="O25" i="18" s="1"/>
  <c r="BL127" i="13"/>
  <c r="L34" i="21" s="1"/>
  <c r="BJ114" i="13"/>
  <c r="BS114" i="13" s="1"/>
  <c r="BO106" i="13"/>
  <c r="BR115" i="13"/>
  <c r="BS115" i="13"/>
  <c r="BO128" i="13"/>
  <c r="BN124" i="13" s="1"/>
  <c r="BM105" i="13"/>
  <c r="BN105" i="13" s="1"/>
  <c r="BO105" i="13" s="1"/>
  <c r="O30" i="21" s="1"/>
  <c r="O31" i="18"/>
  <c r="N31" i="18"/>
  <c r="BR116" i="13"/>
  <c r="BS116" i="13"/>
  <c r="L30" i="21"/>
  <c r="BM124" i="13"/>
  <c r="BK116" i="13"/>
  <c r="BK114" i="13" s="1"/>
  <c r="BN119" i="13"/>
  <c r="AT15" i="17"/>
  <c r="N11" i="17"/>
  <c r="AU11" i="17"/>
  <c r="O11" i="17" s="1"/>
  <c r="N3" i="17"/>
  <c r="AT7" i="17"/>
  <c r="AU3" i="17"/>
  <c r="O3" i="17" s="1"/>
  <c r="M29" i="17"/>
  <c r="AS30" i="17"/>
  <c r="M30" i="17" s="1"/>
  <c r="N36" i="17"/>
  <c r="AU36" i="17"/>
  <c r="N22" i="17"/>
  <c r="AU22" i="17"/>
  <c r="O22" i="17" s="1"/>
  <c r="N100" i="17"/>
  <c r="AT29" i="17"/>
  <c r="AU100" i="17"/>
  <c r="O100" i="17" s="1"/>
  <c r="N20" i="17"/>
  <c r="AU20" i="17"/>
  <c r="O20" i="17" s="1"/>
  <c r="M7" i="17"/>
  <c r="AU74" i="17"/>
  <c r="O74" i="17" s="1"/>
  <c r="AT78" i="17"/>
  <c r="N74" i="17"/>
  <c r="N4" i="17"/>
  <c r="AU4" i="17"/>
  <c r="O4" i="17" s="1"/>
  <c r="AU77" i="17"/>
  <c r="O77" i="17" s="1"/>
  <c r="N77" i="17"/>
  <c r="AT37" i="17"/>
  <c r="L51" i="17"/>
  <c r="AS38" i="17"/>
  <c r="M38" i="17" s="1"/>
  <c r="M35" i="17"/>
  <c r="N75" i="17"/>
  <c r="AT35" i="17"/>
  <c r="AU75" i="17"/>
  <c r="O75" i="17" s="1"/>
  <c r="AT23" i="17"/>
  <c r="N19" i="17"/>
  <c r="AU19" i="17"/>
  <c r="O19" i="17" s="1"/>
  <c r="AR23" i="15"/>
  <c r="AQ23" i="15"/>
  <c r="AU3" i="15"/>
  <c r="O14" i="15"/>
  <c r="O9" i="15"/>
  <c r="AS17" i="15"/>
  <c r="O13" i="15"/>
  <c r="N25" i="18" l="1"/>
  <c r="BM127" i="13"/>
  <c r="D6" i="21" a="1"/>
  <c r="D6" i="21" s="1"/>
  <c r="D2" i="21" a="1"/>
  <c r="D2" i="21" s="1"/>
  <c r="K32" i="21"/>
  <c r="BN127" i="13"/>
  <c r="L30" i="18"/>
  <c r="M34" i="21"/>
  <c r="N34" i="21"/>
  <c r="J32" i="21"/>
  <c r="M30" i="21"/>
  <c r="N30" i="21"/>
  <c r="BL116" i="13"/>
  <c r="BL114" i="13" s="1"/>
  <c r="L32" i="21" s="1"/>
  <c r="BN117" i="13"/>
  <c r="BO119" i="13"/>
  <c r="BP119" i="13" s="1"/>
  <c r="AU78" i="17"/>
  <c r="O78" i="17" s="1"/>
  <c r="N78" i="17"/>
  <c r="N23" i="17"/>
  <c r="AU23" i="17"/>
  <c r="AW36" i="17"/>
  <c r="O36" i="17"/>
  <c r="N35" i="17"/>
  <c r="AT38" i="17"/>
  <c r="AU35" i="17"/>
  <c r="M51" i="17"/>
  <c r="N7" i="17"/>
  <c r="AU7" i="17"/>
  <c r="AU9" i="17" s="1"/>
  <c r="N37" i="17"/>
  <c r="AU37" i="17"/>
  <c r="N29" i="17"/>
  <c r="AU29" i="17"/>
  <c r="O29" i="17" s="1"/>
  <c r="AT30" i="17"/>
  <c r="N15" i="17"/>
  <c r="AU15" i="17"/>
  <c r="AU17" i="17" s="1"/>
  <c r="AS23" i="15"/>
  <c r="O11" i="15"/>
  <c r="AU6" i="15"/>
  <c r="O6" i="15" s="1"/>
  <c r="AU14" i="15"/>
  <c r="O34" i="21" l="1"/>
  <c r="BO127" i="13"/>
  <c r="BM116" i="13"/>
  <c r="BM114" i="13" s="1"/>
  <c r="BR117" i="13"/>
  <c r="O30" i="18"/>
  <c r="N30" i="18"/>
  <c r="M32" i="21"/>
  <c r="AU18" i="17"/>
  <c r="N38" i="17"/>
  <c r="AU38" i="17"/>
  <c r="N30" i="17"/>
  <c r="AU30" i="17"/>
  <c r="O7" i="17"/>
  <c r="N51" i="17"/>
  <c r="AW35" i="17"/>
  <c r="O35" i="17"/>
  <c r="O15" i="17"/>
  <c r="O23" i="17"/>
  <c r="O37" i="17"/>
  <c r="AW37" i="17"/>
  <c r="AU4" i="15"/>
  <c r="O4" i="15" s="1"/>
  <c r="AU15" i="15"/>
  <c r="AU16" i="15"/>
  <c r="AT17" i="15"/>
  <c r="O8" i="15"/>
  <c r="BN116" i="13" l="1"/>
  <c r="BN114" i="13" s="1"/>
  <c r="N32" i="21"/>
  <c r="BO116" i="13"/>
  <c r="BO114" i="13" s="1"/>
  <c r="AU51" i="17"/>
  <c r="AX7" i="17" s="1"/>
  <c r="AX15" i="17"/>
  <c r="AX30" i="17"/>
  <c r="O30" i="17"/>
  <c r="AW38" i="17"/>
  <c r="AX38" i="17"/>
  <c r="O38" i="17"/>
  <c r="AW51" i="17"/>
  <c r="AX43" i="17"/>
  <c r="AX42" i="17"/>
  <c r="AX46" i="17"/>
  <c r="AX45" i="17"/>
  <c r="O51" i="17"/>
  <c r="AX23" i="17"/>
  <c r="AU17" i="15"/>
  <c r="AU23" i="15" s="1"/>
  <c r="AX17" i="15" s="1"/>
  <c r="AT23" i="15"/>
  <c r="AW16" i="15"/>
  <c r="AW15" i="15"/>
  <c r="BP116" i="13" l="1"/>
  <c r="BP114" i="13" s="1"/>
  <c r="BR114" i="13" s="1"/>
  <c r="O32" i="21"/>
  <c r="O12" i="15"/>
  <c r="D4" i="21" l="1" a="1"/>
  <c r="D4" i="21" s="1"/>
  <c r="AX21" i="15"/>
  <c r="AX19" i="15"/>
  <c r="AX18" i="15"/>
  <c r="AX22" i="15"/>
  <c r="U39" i="13" l="1"/>
  <c r="C39" i="13" s="1"/>
  <c r="BL40" i="13"/>
  <c r="BM40" i="13"/>
  <c r="BN40" i="13"/>
  <c r="BO40" i="13"/>
  <c r="BP40" i="13"/>
  <c r="BK40" i="13"/>
  <c r="U30" i="13"/>
  <c r="AM85" i="13"/>
  <c r="BK33" i="13"/>
  <c r="BL33" i="13"/>
  <c r="BM33" i="13"/>
  <c r="U31" i="13"/>
  <c r="I33" i="13" l="1"/>
  <c r="J41" i="21"/>
  <c r="J33" i="13"/>
  <c r="K41" i="21"/>
  <c r="K33" i="13"/>
  <c r="L41" i="21"/>
  <c r="V29" i="13"/>
  <c r="W29" i="13"/>
  <c r="V33" i="13"/>
  <c r="U33" i="13"/>
  <c r="U32" i="13"/>
  <c r="AN88" i="13"/>
  <c r="AO88" i="13"/>
  <c r="AP88" i="13"/>
  <c r="AQ88" i="13"/>
  <c r="AR88" i="13"/>
  <c r="AS88" i="13"/>
  <c r="AT88" i="13"/>
  <c r="AU88" i="13"/>
  <c r="AV88" i="13"/>
  <c r="AW88" i="13"/>
  <c r="AX88" i="13"/>
  <c r="AM88" i="13"/>
  <c r="AN87" i="13"/>
  <c r="AO87" i="13"/>
  <c r="AP87" i="13"/>
  <c r="AQ87" i="13"/>
  <c r="AR87" i="13"/>
  <c r="AS87" i="13"/>
  <c r="AT87" i="13"/>
  <c r="AU87" i="13"/>
  <c r="AV87" i="13"/>
  <c r="AW87" i="13"/>
  <c r="AX87" i="13"/>
  <c r="AM87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AN85" i="13"/>
  <c r="AO85" i="13"/>
  <c r="AP85" i="13"/>
  <c r="AQ85" i="13"/>
  <c r="AR85" i="13"/>
  <c r="AS85" i="13"/>
  <c r="AT85" i="13"/>
  <c r="AU85" i="13"/>
  <c r="AV85" i="13"/>
  <c r="AW85" i="13"/>
  <c r="AX85" i="13"/>
  <c r="AP91" i="13"/>
  <c r="AO91" i="13"/>
  <c r="AN91" i="13"/>
  <c r="AM81" i="13"/>
  <c r="AM79" i="13"/>
  <c r="AM71" i="13"/>
  <c r="AM69" i="13"/>
  <c r="AY6" i="13"/>
  <c r="AY25" i="13"/>
  <c r="AO67" i="13"/>
  <c r="AY39" i="13"/>
  <c r="X31" i="13"/>
  <c r="Y31" i="13"/>
  <c r="Z31" i="13"/>
  <c r="AA31" i="13"/>
  <c r="AB31" i="13"/>
  <c r="AC31" i="13"/>
  <c r="AD31" i="13"/>
  <c r="AE31" i="13"/>
  <c r="AF31" i="13"/>
  <c r="AY31" i="13"/>
  <c r="AY30" i="13"/>
  <c r="W31" i="13"/>
  <c r="V31" i="13"/>
  <c r="BQ31" i="13"/>
  <c r="BU31" i="13" s="1"/>
  <c r="AM28" i="13"/>
  <c r="I14" i="18" l="1"/>
  <c r="F14" i="18"/>
  <c r="G14" i="18"/>
  <c r="H14" i="18"/>
  <c r="I15" i="18"/>
  <c r="F15" i="18"/>
  <c r="G15" i="18"/>
  <c r="H15" i="18"/>
  <c r="O31" i="13"/>
  <c r="AG31" i="13"/>
  <c r="AM76" i="13" l="1"/>
  <c r="AY76" i="13" s="1"/>
  <c r="BE85" i="13"/>
  <c r="BT34" i="13"/>
  <c r="F21" i="3"/>
  <c r="BE77" i="13"/>
  <c r="BM32" i="13"/>
  <c r="L39" i="21" s="1"/>
  <c r="BL32" i="13"/>
  <c r="BK32" i="13"/>
  <c r="BQ44" i="13"/>
  <c r="BK50" i="13"/>
  <c r="BK132" i="13" s="1"/>
  <c r="AY44" i="13"/>
  <c r="Q18" i="12"/>
  <c r="Q19" i="12"/>
  <c r="Q20" i="12"/>
  <c r="Q21" i="12"/>
  <c r="BE58" i="13"/>
  <c r="BE59" i="13"/>
  <c r="BE60" i="13"/>
  <c r="BE57" i="13"/>
  <c r="F14" i="2"/>
  <c r="F41" i="1"/>
  <c r="BF95" i="13"/>
  <c r="BG95" i="13" s="1"/>
  <c r="BH95" i="13" s="1"/>
  <c r="BI95" i="13" s="1"/>
  <c r="BJ95" i="13" s="1"/>
  <c r="BK95" i="13" s="1"/>
  <c r="BL95" i="13" s="1"/>
  <c r="BM95" i="13" s="1"/>
  <c r="BN95" i="13" s="1"/>
  <c r="BO95" i="13" s="1"/>
  <c r="BP95" i="13" s="1"/>
  <c r="BF96" i="13"/>
  <c r="BG96" i="13" s="1"/>
  <c r="BH96" i="13" s="1"/>
  <c r="BI96" i="13" s="1"/>
  <c r="BJ96" i="13" s="1"/>
  <c r="BK96" i="13" s="1"/>
  <c r="BL96" i="13" s="1"/>
  <c r="BM96" i="13" s="1"/>
  <c r="BN96" i="13" s="1"/>
  <c r="BO96" i="13" s="1"/>
  <c r="BP96" i="13" s="1"/>
  <c r="BF97" i="13"/>
  <c r="BG97" i="13" s="1"/>
  <c r="BH97" i="13" s="1"/>
  <c r="BI97" i="13" s="1"/>
  <c r="BJ97" i="13" s="1"/>
  <c r="BK97" i="13" s="1"/>
  <c r="BL97" i="13" s="1"/>
  <c r="BM97" i="13" s="1"/>
  <c r="BN97" i="13" s="1"/>
  <c r="BO97" i="13" s="1"/>
  <c r="BP97" i="13" s="1"/>
  <c r="BF94" i="13"/>
  <c r="F13" i="2"/>
  <c r="BE86" i="13"/>
  <c r="BE87" i="13"/>
  <c r="BF87" i="13" s="1"/>
  <c r="BG87" i="13" s="1"/>
  <c r="BH87" i="13" s="1"/>
  <c r="BI87" i="13" s="1"/>
  <c r="BJ87" i="13" s="1"/>
  <c r="BE88" i="13"/>
  <c r="BF88" i="13" s="1"/>
  <c r="BG88" i="13" s="1"/>
  <c r="BH88" i="13" s="1"/>
  <c r="BI88" i="13" s="1"/>
  <c r="BJ88" i="13" s="1"/>
  <c r="BK88" i="13" s="1"/>
  <c r="U84" i="13"/>
  <c r="C84" i="13" s="1"/>
  <c r="V84" i="13"/>
  <c r="D84" i="13" s="1"/>
  <c r="W84" i="13"/>
  <c r="E84" i="13" s="1"/>
  <c r="X84" i="13"/>
  <c r="F84" i="13" s="1"/>
  <c r="Y84" i="13"/>
  <c r="G84" i="13" s="1"/>
  <c r="Z84" i="13"/>
  <c r="H84" i="13" s="1"/>
  <c r="AA84" i="13"/>
  <c r="I84" i="13" s="1"/>
  <c r="AB84" i="13"/>
  <c r="J84" i="13" s="1"/>
  <c r="AC84" i="13"/>
  <c r="K84" i="13" s="1"/>
  <c r="AD84" i="13"/>
  <c r="L84" i="13" s="1"/>
  <c r="AE84" i="13"/>
  <c r="M84" i="13" s="1"/>
  <c r="AF84" i="13"/>
  <c r="N84" i="13" s="1"/>
  <c r="AG84" i="13"/>
  <c r="O84" i="13" s="1"/>
  <c r="AY24" i="13"/>
  <c r="AY26" i="13"/>
  <c r="AY27" i="13"/>
  <c r="AN28" i="13"/>
  <c r="AO28" i="13"/>
  <c r="AQ28" i="13"/>
  <c r="AR28" i="13"/>
  <c r="AT28" i="13"/>
  <c r="AU28" i="13"/>
  <c r="AV28" i="13"/>
  <c r="AW28" i="13"/>
  <c r="AX28" i="13"/>
  <c r="AY57" i="13"/>
  <c r="AY58" i="13"/>
  <c r="AY59" i="13"/>
  <c r="AY60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 s="1"/>
  <c r="AA87" i="13"/>
  <c r="I87" i="13" s="1"/>
  <c r="AY87" i="13"/>
  <c r="BL87" i="13"/>
  <c r="BM87" i="13" s="1"/>
  <c r="BN87" i="13" s="1"/>
  <c r="BO87" i="13" s="1"/>
  <c r="BP87" i="13" s="1"/>
  <c r="AY88" i="13"/>
  <c r="U89" i="13"/>
  <c r="C89" i="13" s="1"/>
  <c r="V89" i="13"/>
  <c r="D89" i="13" s="1"/>
  <c r="W89" i="13"/>
  <c r="E89" i="13" s="1"/>
  <c r="X89" i="13"/>
  <c r="F89" i="13" s="1"/>
  <c r="Y89" i="13"/>
  <c r="G89" i="13" s="1"/>
  <c r="Z89" i="13"/>
  <c r="H89" i="13" s="1"/>
  <c r="AA89" i="13"/>
  <c r="I89" i="13" s="1"/>
  <c r="AB89" i="13"/>
  <c r="J89" i="13" s="1"/>
  <c r="AC89" i="13"/>
  <c r="K89" i="13" s="1"/>
  <c r="AD89" i="13"/>
  <c r="L89" i="13" s="1"/>
  <c r="AE89" i="13"/>
  <c r="M89" i="13" s="1"/>
  <c r="AF89" i="13"/>
  <c r="N89" i="13" s="1"/>
  <c r="AG89" i="13"/>
  <c r="O89" i="13" s="1"/>
  <c r="BK78" i="13"/>
  <c r="AG90" i="13"/>
  <c r="O90" i="13" s="1"/>
  <c r="AF90" i="13"/>
  <c r="N90" i="13" s="1"/>
  <c r="AE90" i="13"/>
  <c r="M90" i="13" s="1"/>
  <c r="AD90" i="13"/>
  <c r="L90" i="13" s="1"/>
  <c r="AC90" i="13"/>
  <c r="K90" i="13" s="1"/>
  <c r="AB90" i="13"/>
  <c r="J90" i="13" s="1"/>
  <c r="AA90" i="13"/>
  <c r="I90" i="13" s="1"/>
  <c r="Z90" i="13"/>
  <c r="H90" i="13" s="1"/>
  <c r="Y90" i="13"/>
  <c r="G90" i="13" s="1"/>
  <c r="X90" i="13"/>
  <c r="F90" i="13" s="1"/>
  <c r="W90" i="13"/>
  <c r="E90" i="13" s="1"/>
  <c r="V90" i="13"/>
  <c r="D90" i="13" s="1"/>
  <c r="U90" i="13"/>
  <c r="C90" i="13" s="1"/>
  <c r="AG80" i="13"/>
  <c r="O80" i="13" s="1"/>
  <c r="AF80" i="13"/>
  <c r="N80" i="13" s="1"/>
  <c r="AE80" i="13"/>
  <c r="M80" i="13" s="1"/>
  <c r="AD80" i="13"/>
  <c r="L80" i="13" s="1"/>
  <c r="AC80" i="13"/>
  <c r="K80" i="13" s="1"/>
  <c r="AB80" i="13"/>
  <c r="J80" i="13" s="1"/>
  <c r="AA80" i="13"/>
  <c r="I80" i="13" s="1"/>
  <c r="Z80" i="13"/>
  <c r="H80" i="13" s="1"/>
  <c r="Y80" i="13"/>
  <c r="G80" i="13" s="1"/>
  <c r="X80" i="13"/>
  <c r="F80" i="13" s="1"/>
  <c r="W80" i="13"/>
  <c r="E80" i="13" s="1"/>
  <c r="V80" i="13"/>
  <c r="D80" i="13" s="1"/>
  <c r="U80" i="13"/>
  <c r="C80" i="13" s="1"/>
  <c r="AG75" i="13"/>
  <c r="O75" i="13" s="1"/>
  <c r="AF75" i="13"/>
  <c r="N75" i="13" s="1"/>
  <c r="AE75" i="13"/>
  <c r="M75" i="13" s="1"/>
  <c r="AD75" i="13"/>
  <c r="L75" i="13" s="1"/>
  <c r="AC75" i="13"/>
  <c r="K75" i="13" s="1"/>
  <c r="AB75" i="13"/>
  <c r="J75" i="13" s="1"/>
  <c r="AA75" i="13"/>
  <c r="I75" i="13" s="1"/>
  <c r="Z75" i="13"/>
  <c r="H75" i="13" s="1"/>
  <c r="Y75" i="13"/>
  <c r="G75" i="13" s="1"/>
  <c r="X75" i="13"/>
  <c r="F75" i="13" s="1"/>
  <c r="W75" i="13"/>
  <c r="E75" i="13" s="1"/>
  <c r="V75" i="13"/>
  <c r="D75" i="13" s="1"/>
  <c r="U75" i="13"/>
  <c r="C75" i="13" s="1"/>
  <c r="AG70" i="13"/>
  <c r="O70" i="13" s="1"/>
  <c r="AF70" i="13"/>
  <c r="N70" i="13" s="1"/>
  <c r="AE70" i="13"/>
  <c r="M70" i="13" s="1"/>
  <c r="AD70" i="13"/>
  <c r="L70" i="13" s="1"/>
  <c r="AC70" i="13"/>
  <c r="K70" i="13" s="1"/>
  <c r="AB70" i="13"/>
  <c r="J70" i="13" s="1"/>
  <c r="AA70" i="13"/>
  <c r="I70" i="13" s="1"/>
  <c r="Z70" i="13"/>
  <c r="H70" i="13" s="1"/>
  <c r="Y70" i="13"/>
  <c r="G70" i="13" s="1"/>
  <c r="X70" i="13"/>
  <c r="F70" i="13" s="1"/>
  <c r="W70" i="13"/>
  <c r="E70" i="13" s="1"/>
  <c r="V70" i="13"/>
  <c r="D70" i="13" s="1"/>
  <c r="U70" i="13"/>
  <c r="C70" i="13" s="1"/>
  <c r="AF62" i="13"/>
  <c r="N62" i="13" s="1"/>
  <c r="AE62" i="13"/>
  <c r="M62" i="13" s="1"/>
  <c r="AD62" i="13"/>
  <c r="L62" i="13" s="1"/>
  <c r="AC62" i="13"/>
  <c r="K62" i="13" s="1"/>
  <c r="AB62" i="13"/>
  <c r="J62" i="13" s="1"/>
  <c r="AA62" i="13"/>
  <c r="I62" i="13" s="1"/>
  <c r="Z62" i="13"/>
  <c r="H62" i="13" s="1"/>
  <c r="Y62" i="13"/>
  <c r="G62" i="13" s="1"/>
  <c r="X62" i="13"/>
  <c r="F62" i="13" s="1"/>
  <c r="W62" i="13"/>
  <c r="E62" i="13" s="1"/>
  <c r="V62" i="13"/>
  <c r="D62" i="13" s="1"/>
  <c r="U62" i="13"/>
  <c r="C62" i="13" s="1"/>
  <c r="AF55" i="13"/>
  <c r="N55" i="13" s="1"/>
  <c r="AE55" i="13"/>
  <c r="M55" i="13" s="1"/>
  <c r="AD55" i="13"/>
  <c r="L55" i="13" s="1"/>
  <c r="AC55" i="13"/>
  <c r="K55" i="13" s="1"/>
  <c r="AB55" i="13"/>
  <c r="J55" i="13" s="1"/>
  <c r="AA55" i="13"/>
  <c r="I55" i="13" s="1"/>
  <c r="Z55" i="13"/>
  <c r="H55" i="13" s="1"/>
  <c r="Y55" i="13"/>
  <c r="G55" i="13" s="1"/>
  <c r="X55" i="13"/>
  <c r="F55" i="13" s="1"/>
  <c r="W55" i="13"/>
  <c r="E55" i="13" s="1"/>
  <c r="V55" i="13"/>
  <c r="D55" i="13" s="1"/>
  <c r="U55" i="13"/>
  <c r="C55" i="13" s="1"/>
  <c r="AF54" i="13"/>
  <c r="N54" i="13" s="1"/>
  <c r="AE54" i="13"/>
  <c r="M54" i="13" s="1"/>
  <c r="AD54" i="13"/>
  <c r="L54" i="13" s="1"/>
  <c r="AC54" i="13"/>
  <c r="K54" i="13" s="1"/>
  <c r="AB54" i="13"/>
  <c r="J54" i="13" s="1"/>
  <c r="AA54" i="13"/>
  <c r="I54" i="13" s="1"/>
  <c r="Z54" i="13"/>
  <c r="H54" i="13" s="1"/>
  <c r="Y54" i="13"/>
  <c r="G54" i="13" s="1"/>
  <c r="X54" i="13"/>
  <c r="F54" i="13" s="1"/>
  <c r="W54" i="13"/>
  <c r="E54" i="13" s="1"/>
  <c r="V54" i="13"/>
  <c r="D54" i="13" s="1"/>
  <c r="U54" i="13"/>
  <c r="C54" i="13" s="1"/>
  <c r="AF53" i="13"/>
  <c r="N53" i="13" s="1"/>
  <c r="AE53" i="13"/>
  <c r="M53" i="13" s="1"/>
  <c r="AD53" i="13"/>
  <c r="L53" i="13" s="1"/>
  <c r="AC53" i="13"/>
  <c r="K53" i="13" s="1"/>
  <c r="AB53" i="13"/>
  <c r="J53" i="13" s="1"/>
  <c r="AA53" i="13"/>
  <c r="I53" i="13" s="1"/>
  <c r="Z53" i="13"/>
  <c r="H53" i="13" s="1"/>
  <c r="Y53" i="13"/>
  <c r="G53" i="13" s="1"/>
  <c r="X53" i="13"/>
  <c r="F53" i="13" s="1"/>
  <c r="W53" i="13"/>
  <c r="E53" i="13" s="1"/>
  <c r="V53" i="13"/>
  <c r="D53" i="13" s="1"/>
  <c r="U53" i="13"/>
  <c r="C53" i="13" s="1"/>
  <c r="AF51" i="13"/>
  <c r="N51" i="13" s="1"/>
  <c r="AE51" i="13"/>
  <c r="M51" i="13" s="1"/>
  <c r="AD51" i="13"/>
  <c r="L51" i="13" s="1"/>
  <c r="AC51" i="13"/>
  <c r="K51" i="13" s="1"/>
  <c r="AB51" i="13"/>
  <c r="J51" i="13" s="1"/>
  <c r="AA51" i="13"/>
  <c r="I51" i="13" s="1"/>
  <c r="Z51" i="13"/>
  <c r="H51" i="13" s="1"/>
  <c r="Y51" i="13"/>
  <c r="G51" i="13" s="1"/>
  <c r="X51" i="13"/>
  <c r="F51" i="13" s="1"/>
  <c r="W51" i="13"/>
  <c r="E51" i="13" s="1"/>
  <c r="V51" i="13"/>
  <c r="D51" i="13" s="1"/>
  <c r="U51" i="13"/>
  <c r="C51" i="13" s="1"/>
  <c r="Z50" i="13"/>
  <c r="H50" i="13" s="1"/>
  <c r="Y50" i="13"/>
  <c r="G50" i="13" s="1"/>
  <c r="X50" i="13"/>
  <c r="F50" i="13" s="1"/>
  <c r="W50" i="13"/>
  <c r="E50" i="13" s="1"/>
  <c r="V50" i="13"/>
  <c r="D50" i="13" s="1"/>
  <c r="U50" i="13"/>
  <c r="C50" i="13" s="1"/>
  <c r="AF49" i="13"/>
  <c r="N49" i="13" s="1"/>
  <c r="AE49" i="13"/>
  <c r="M49" i="13" s="1"/>
  <c r="AD49" i="13"/>
  <c r="L49" i="13" s="1"/>
  <c r="AC49" i="13"/>
  <c r="K49" i="13" s="1"/>
  <c r="AB49" i="13"/>
  <c r="J49" i="13" s="1"/>
  <c r="AA49" i="13"/>
  <c r="I49" i="13" s="1"/>
  <c r="Z49" i="13"/>
  <c r="H49" i="13" s="1"/>
  <c r="Y49" i="13"/>
  <c r="G49" i="13" s="1"/>
  <c r="X49" i="13"/>
  <c r="F49" i="13" s="1"/>
  <c r="W49" i="13"/>
  <c r="E49" i="13" s="1"/>
  <c r="V49" i="13"/>
  <c r="D49" i="13" s="1"/>
  <c r="U49" i="13"/>
  <c r="C49" i="13" s="1"/>
  <c r="AF48" i="13"/>
  <c r="N48" i="13" s="1"/>
  <c r="AE48" i="13"/>
  <c r="M48" i="13" s="1"/>
  <c r="AD48" i="13"/>
  <c r="L48" i="13" s="1"/>
  <c r="AC48" i="13"/>
  <c r="K48" i="13" s="1"/>
  <c r="AB48" i="13"/>
  <c r="J48" i="13" s="1"/>
  <c r="AA48" i="13"/>
  <c r="I48" i="13" s="1"/>
  <c r="Z48" i="13"/>
  <c r="H48" i="13" s="1"/>
  <c r="Y48" i="13"/>
  <c r="G48" i="13" s="1"/>
  <c r="X48" i="13"/>
  <c r="F48" i="13" s="1"/>
  <c r="W48" i="13"/>
  <c r="E48" i="13" s="1"/>
  <c r="V48" i="13"/>
  <c r="D48" i="13" s="1"/>
  <c r="U48" i="13"/>
  <c r="C48" i="13" s="1"/>
  <c r="Z46" i="13"/>
  <c r="H46" i="13" s="1"/>
  <c r="Y46" i="13"/>
  <c r="G46" i="13" s="1"/>
  <c r="X46" i="13"/>
  <c r="F46" i="13" s="1"/>
  <c r="W46" i="13"/>
  <c r="E46" i="13" s="1"/>
  <c r="V46" i="13"/>
  <c r="D46" i="13" s="1"/>
  <c r="U46" i="13"/>
  <c r="C46" i="13" s="1"/>
  <c r="Z45" i="13"/>
  <c r="H45" i="13" s="1"/>
  <c r="Y45" i="13"/>
  <c r="G45" i="13" s="1"/>
  <c r="X45" i="13"/>
  <c r="F45" i="13" s="1"/>
  <c r="W45" i="13"/>
  <c r="E45" i="13" s="1"/>
  <c r="V45" i="13"/>
  <c r="D45" i="13" s="1"/>
  <c r="U45" i="13"/>
  <c r="C45" i="13" s="1"/>
  <c r="AF44" i="13"/>
  <c r="N44" i="13" s="1"/>
  <c r="AE44" i="13"/>
  <c r="M44" i="13" s="1"/>
  <c r="AD44" i="13"/>
  <c r="L44" i="13" s="1"/>
  <c r="AC44" i="13"/>
  <c r="K44" i="13" s="1"/>
  <c r="AB44" i="13"/>
  <c r="J44" i="13" s="1"/>
  <c r="AA44" i="13"/>
  <c r="I44" i="13" s="1"/>
  <c r="Z44" i="13"/>
  <c r="H44" i="13" s="1"/>
  <c r="Y44" i="13"/>
  <c r="G44" i="13" s="1"/>
  <c r="X44" i="13"/>
  <c r="F44" i="13" s="1"/>
  <c r="W44" i="13"/>
  <c r="E44" i="13" s="1"/>
  <c r="V44" i="13"/>
  <c r="D44" i="13" s="1"/>
  <c r="U44" i="13"/>
  <c r="C44" i="13" s="1"/>
  <c r="AF43" i="13"/>
  <c r="N43" i="13" s="1"/>
  <c r="AE43" i="13"/>
  <c r="M43" i="13" s="1"/>
  <c r="AD43" i="13"/>
  <c r="L43" i="13" s="1"/>
  <c r="AC43" i="13"/>
  <c r="K43" i="13" s="1"/>
  <c r="AB43" i="13"/>
  <c r="J43" i="13" s="1"/>
  <c r="AA43" i="13"/>
  <c r="I43" i="13" s="1"/>
  <c r="Z43" i="13"/>
  <c r="H43" i="13" s="1"/>
  <c r="Y43" i="13"/>
  <c r="G43" i="13" s="1"/>
  <c r="X43" i="13"/>
  <c r="F43" i="13" s="1"/>
  <c r="W43" i="13"/>
  <c r="E43" i="13" s="1"/>
  <c r="V43" i="13"/>
  <c r="D43" i="13" s="1"/>
  <c r="U43" i="13"/>
  <c r="C43" i="13" s="1"/>
  <c r="Z41" i="13"/>
  <c r="H41" i="13" s="1"/>
  <c r="Y41" i="13"/>
  <c r="G41" i="13" s="1"/>
  <c r="X41" i="13"/>
  <c r="F41" i="13" s="1"/>
  <c r="W41" i="13"/>
  <c r="E41" i="13" s="1"/>
  <c r="V41" i="13"/>
  <c r="D41" i="13" s="1"/>
  <c r="U41" i="13"/>
  <c r="C41" i="13" s="1"/>
  <c r="Z40" i="13"/>
  <c r="H40" i="13" s="1"/>
  <c r="Y40" i="13"/>
  <c r="G40" i="13" s="1"/>
  <c r="X40" i="13"/>
  <c r="F40" i="13" s="1"/>
  <c r="W40" i="13"/>
  <c r="E40" i="13" s="1"/>
  <c r="V40" i="13"/>
  <c r="D40" i="13" s="1"/>
  <c r="U40" i="13"/>
  <c r="C40" i="13" s="1"/>
  <c r="AF39" i="13"/>
  <c r="N39" i="13" s="1"/>
  <c r="AE39" i="13"/>
  <c r="M39" i="13" s="1"/>
  <c r="AD39" i="13"/>
  <c r="L39" i="13" s="1"/>
  <c r="AC39" i="13"/>
  <c r="K39" i="13" s="1"/>
  <c r="AB39" i="13"/>
  <c r="J39" i="13" s="1"/>
  <c r="AA39" i="13"/>
  <c r="I39" i="13" s="1"/>
  <c r="Z39" i="13"/>
  <c r="H39" i="13" s="1"/>
  <c r="Y39" i="13"/>
  <c r="G39" i="13" s="1"/>
  <c r="X39" i="13"/>
  <c r="F39" i="13" s="1"/>
  <c r="W39" i="13"/>
  <c r="E39" i="13" s="1"/>
  <c r="V39" i="13"/>
  <c r="D39" i="13" s="1"/>
  <c r="AF38" i="13"/>
  <c r="N38" i="13" s="1"/>
  <c r="AE38" i="13"/>
  <c r="M38" i="13" s="1"/>
  <c r="AD38" i="13"/>
  <c r="L38" i="13" s="1"/>
  <c r="AC38" i="13"/>
  <c r="K38" i="13" s="1"/>
  <c r="AB38" i="13"/>
  <c r="J38" i="13" s="1"/>
  <c r="AA38" i="13"/>
  <c r="I38" i="13" s="1"/>
  <c r="Z38" i="13"/>
  <c r="H38" i="13" s="1"/>
  <c r="Y38" i="13"/>
  <c r="G38" i="13" s="1"/>
  <c r="X38" i="13"/>
  <c r="F38" i="13" s="1"/>
  <c r="W38" i="13"/>
  <c r="E38" i="13" s="1"/>
  <c r="V38" i="13"/>
  <c r="D38" i="13" s="1"/>
  <c r="U38" i="13"/>
  <c r="C38" i="13" s="1"/>
  <c r="AF33" i="13"/>
  <c r="AE33" i="13"/>
  <c r="AD33" i="13"/>
  <c r="AC33" i="13"/>
  <c r="AB33" i="13"/>
  <c r="AA33" i="13"/>
  <c r="Z33" i="13"/>
  <c r="Y33" i="13"/>
  <c r="X33" i="13"/>
  <c r="W33" i="13"/>
  <c r="AF32" i="13"/>
  <c r="AE32" i="13"/>
  <c r="AD32" i="13"/>
  <c r="Z32" i="13"/>
  <c r="Y32" i="13"/>
  <c r="X32" i="13"/>
  <c r="W32" i="13"/>
  <c r="V32" i="13"/>
  <c r="AF30" i="13"/>
  <c r="AE30" i="13"/>
  <c r="AD30" i="13"/>
  <c r="AC30" i="13"/>
  <c r="AB30" i="13"/>
  <c r="AA30" i="13"/>
  <c r="Z30" i="13"/>
  <c r="Y30" i="13"/>
  <c r="X30" i="13"/>
  <c r="W30" i="13"/>
  <c r="V30" i="13"/>
  <c r="AF29" i="13"/>
  <c r="AE29" i="13"/>
  <c r="AD29" i="13"/>
  <c r="AC29" i="13"/>
  <c r="AB29" i="13"/>
  <c r="AA29" i="13"/>
  <c r="Z29" i="13"/>
  <c r="Y29" i="13"/>
  <c r="X29" i="13"/>
  <c r="U29" i="13"/>
  <c r="AQ91" i="13"/>
  <c r="AR91" i="13"/>
  <c r="AS91" i="13"/>
  <c r="AT91" i="13"/>
  <c r="AU91" i="13"/>
  <c r="AV91" i="13"/>
  <c r="AW91" i="13"/>
  <c r="AX91" i="13"/>
  <c r="U91" i="13"/>
  <c r="C91" i="13" s="1"/>
  <c r="AN81" i="13"/>
  <c r="AO81" i="13"/>
  <c r="AP81" i="13"/>
  <c r="AQ81" i="13"/>
  <c r="AR81" i="13"/>
  <c r="AS81" i="13"/>
  <c r="AT81" i="13"/>
  <c r="AU81" i="13"/>
  <c r="AV81" i="13"/>
  <c r="AW81" i="13"/>
  <c r="AX81" i="13"/>
  <c r="AN82" i="13"/>
  <c r="AO82" i="13"/>
  <c r="AP82" i="13"/>
  <c r="AQ82" i="13"/>
  <c r="AR82" i="13"/>
  <c r="AS82" i="13"/>
  <c r="AT82" i="13"/>
  <c r="AU82" i="13"/>
  <c r="AV82" i="13"/>
  <c r="AW82" i="13"/>
  <c r="AX82" i="13"/>
  <c r="AN83" i="13"/>
  <c r="AO83" i="13"/>
  <c r="AP83" i="13"/>
  <c r="AQ83" i="13"/>
  <c r="AR83" i="13"/>
  <c r="AS83" i="13"/>
  <c r="AT83" i="13"/>
  <c r="AU83" i="13"/>
  <c r="AV83" i="13"/>
  <c r="AW83" i="13"/>
  <c r="AX83" i="13"/>
  <c r="AM82" i="13"/>
  <c r="U82" i="13" s="1"/>
  <c r="C82" i="13" s="1"/>
  <c r="AM83" i="13"/>
  <c r="U83" i="13" s="1"/>
  <c r="C83" i="13" s="1"/>
  <c r="AN66" i="13"/>
  <c r="AN94" i="13" s="1"/>
  <c r="AO66" i="13"/>
  <c r="AO94" i="13" s="1"/>
  <c r="AP66" i="13"/>
  <c r="AP94" i="13" s="1"/>
  <c r="AQ66" i="13"/>
  <c r="AQ94" i="13" s="1"/>
  <c r="AR66" i="13"/>
  <c r="AR94" i="13" s="1"/>
  <c r="AS66" i="13"/>
  <c r="AS94" i="13" s="1"/>
  <c r="AT66" i="13"/>
  <c r="AT94" i="13" s="1"/>
  <c r="AU66" i="13"/>
  <c r="AU94" i="13" s="1"/>
  <c r="AV66" i="13"/>
  <c r="AV94" i="13" s="1"/>
  <c r="AW66" i="13"/>
  <c r="AW94" i="13" s="1"/>
  <c r="AX66" i="13"/>
  <c r="AX94" i="13" s="1"/>
  <c r="AN67" i="13"/>
  <c r="AP67" i="13"/>
  <c r="AQ67" i="13"/>
  <c r="AR67" i="13"/>
  <c r="AS67" i="13"/>
  <c r="AT67" i="13"/>
  <c r="AU67" i="13"/>
  <c r="AV67" i="13"/>
  <c r="AW67" i="13"/>
  <c r="AX67" i="13"/>
  <c r="AN68" i="13"/>
  <c r="AN96" i="13" s="1"/>
  <c r="AO68" i="13"/>
  <c r="AO96" i="13" s="1"/>
  <c r="AP68" i="13"/>
  <c r="AP96" i="13" s="1"/>
  <c r="AR68" i="13"/>
  <c r="AS68" i="13"/>
  <c r="AT68" i="13"/>
  <c r="AT96" i="13" s="1"/>
  <c r="AU68" i="13"/>
  <c r="AU96" i="13" s="1"/>
  <c r="AV68" i="13"/>
  <c r="AV96" i="13" s="1"/>
  <c r="AW68" i="13"/>
  <c r="AW96" i="13" s="1"/>
  <c r="AX68" i="13"/>
  <c r="AX96" i="13" s="1"/>
  <c r="AN69" i="13"/>
  <c r="AO69" i="13"/>
  <c r="AP69" i="13"/>
  <c r="AQ69" i="13"/>
  <c r="AQ97" i="13" s="1"/>
  <c r="AR69" i="13"/>
  <c r="AR97" i="13" s="1"/>
  <c r="AS69" i="13"/>
  <c r="AS97" i="13" s="1"/>
  <c r="AT69" i="13"/>
  <c r="AT97" i="13" s="1"/>
  <c r="AU69" i="13"/>
  <c r="AU97" i="13" s="1"/>
  <c r="AV69" i="13"/>
  <c r="AV97" i="13" s="1"/>
  <c r="AW69" i="13"/>
  <c r="AW97" i="13" s="1"/>
  <c r="AX69" i="13"/>
  <c r="AX97" i="13" s="1"/>
  <c r="AN71" i="13"/>
  <c r="AO71" i="13"/>
  <c r="AP71" i="13"/>
  <c r="AQ71" i="13"/>
  <c r="AR71" i="13"/>
  <c r="AS71" i="13"/>
  <c r="AT71" i="13"/>
  <c r="AU71" i="13"/>
  <c r="AV71" i="13"/>
  <c r="AW71" i="13"/>
  <c r="AX71" i="13"/>
  <c r="AN72" i="13"/>
  <c r="AO72" i="13"/>
  <c r="AP72" i="13"/>
  <c r="AQ72" i="13"/>
  <c r="AR72" i="13"/>
  <c r="AS72" i="13"/>
  <c r="AT72" i="13"/>
  <c r="AU72" i="13"/>
  <c r="AV72" i="13"/>
  <c r="AW72" i="13"/>
  <c r="AX72" i="13"/>
  <c r="AN73" i="13"/>
  <c r="AO73" i="13"/>
  <c r="AP73" i="13"/>
  <c r="AR73" i="13"/>
  <c r="AS73" i="13"/>
  <c r="AA73" i="13" s="1"/>
  <c r="I73" i="13" s="1"/>
  <c r="AT73" i="13"/>
  <c r="AU73" i="13"/>
  <c r="AV73" i="13"/>
  <c r="AW73" i="13"/>
  <c r="AX73" i="13"/>
  <c r="AN74" i="13"/>
  <c r="AO74" i="13"/>
  <c r="AP74" i="13"/>
  <c r="AR74" i="13"/>
  <c r="AS74" i="13"/>
  <c r="AT74" i="13"/>
  <c r="AU74" i="13"/>
  <c r="AV74" i="13"/>
  <c r="AW74" i="13"/>
  <c r="AX74" i="13"/>
  <c r="AN76" i="13"/>
  <c r="AO76" i="13"/>
  <c r="AP76" i="13"/>
  <c r="AQ76" i="13"/>
  <c r="AR76" i="13"/>
  <c r="AS76" i="13"/>
  <c r="AT76" i="13"/>
  <c r="AU76" i="13"/>
  <c r="AV76" i="13"/>
  <c r="AW76" i="13"/>
  <c r="AX76" i="13"/>
  <c r="AN77" i="13"/>
  <c r="AO77" i="13"/>
  <c r="AP77" i="13"/>
  <c r="AQ77" i="13"/>
  <c r="AR77" i="13"/>
  <c r="AS77" i="13"/>
  <c r="AT77" i="13"/>
  <c r="AU77" i="13"/>
  <c r="AV77" i="13"/>
  <c r="AW77" i="13"/>
  <c r="AX77" i="13"/>
  <c r="AN78" i="13"/>
  <c r="AO78" i="13"/>
  <c r="AP78" i="13"/>
  <c r="AQ78" i="13"/>
  <c r="AR78" i="13"/>
  <c r="AS78" i="13"/>
  <c r="AT78" i="13"/>
  <c r="AU78" i="13"/>
  <c r="AV78" i="13"/>
  <c r="AW78" i="13"/>
  <c r="AX78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M78" i="13"/>
  <c r="AY78" i="13" s="1"/>
  <c r="AM77" i="13"/>
  <c r="AM74" i="13"/>
  <c r="AM73" i="13"/>
  <c r="AM72" i="13"/>
  <c r="AM96" i="13"/>
  <c r="AM94" i="13"/>
  <c r="AY62" i="13"/>
  <c r="AY56" i="13"/>
  <c r="AY55" i="13"/>
  <c r="AY54" i="13"/>
  <c r="AY53" i="13"/>
  <c r="AU52" i="13"/>
  <c r="AT52" i="13"/>
  <c r="AS52" i="13"/>
  <c r="AR52" i="13"/>
  <c r="AQ52" i="13"/>
  <c r="AP52" i="13"/>
  <c r="AO52" i="13"/>
  <c r="AN52" i="13"/>
  <c r="AM52" i="13"/>
  <c r="AY51" i="13"/>
  <c r="AX52" i="13"/>
  <c r="AW52" i="13"/>
  <c r="AV52" i="13"/>
  <c r="AY49" i="13"/>
  <c r="AY48" i="13"/>
  <c r="AS47" i="13"/>
  <c r="AR47" i="13"/>
  <c r="AQ47" i="13"/>
  <c r="AP47" i="13"/>
  <c r="AO47" i="13"/>
  <c r="AN47" i="13"/>
  <c r="AM47" i="13"/>
  <c r="AY45" i="13"/>
  <c r="AY43" i="13"/>
  <c r="AX42" i="13"/>
  <c r="AW42" i="13"/>
  <c r="AR42" i="13"/>
  <c r="AQ42" i="13"/>
  <c r="AP42" i="13"/>
  <c r="AO42" i="13"/>
  <c r="AN42" i="13"/>
  <c r="AM42" i="13"/>
  <c r="AY41" i="13"/>
  <c r="AV42" i="13"/>
  <c r="AS42" i="13"/>
  <c r="AY40" i="13"/>
  <c r="AY38" i="13"/>
  <c r="AY33" i="13"/>
  <c r="AY32" i="13"/>
  <c r="AY29" i="13"/>
  <c r="AY18" i="13"/>
  <c r="AY17" i="13"/>
  <c r="AY16" i="13"/>
  <c r="AN19" i="13"/>
  <c r="AY15" i="13"/>
  <c r="AM14" i="13"/>
  <c r="AY10" i="13"/>
  <c r="AY8" i="13"/>
  <c r="AY7" i="13"/>
  <c r="BE22" i="13"/>
  <c r="BQ55" i="13"/>
  <c r="BQ54" i="13"/>
  <c r="BF83" i="13"/>
  <c r="BG83" i="13" s="1"/>
  <c r="BF82" i="13"/>
  <c r="BG82" i="13" s="1"/>
  <c r="BH82" i="13" s="1"/>
  <c r="BI82" i="13" s="1"/>
  <c r="BJ82" i="13" s="1"/>
  <c r="BK82" i="13" s="1"/>
  <c r="BL82" i="13" s="1"/>
  <c r="BM82" i="13" s="1"/>
  <c r="BN82" i="13" s="1"/>
  <c r="BO82" i="13" s="1"/>
  <c r="BP82" i="13" s="1"/>
  <c r="BE79" i="13"/>
  <c r="BE78" i="13"/>
  <c r="BF78" i="13" s="1"/>
  <c r="BG78" i="13" s="1"/>
  <c r="BH78" i="13" s="1"/>
  <c r="BI78" i="13" s="1"/>
  <c r="BJ78" i="13" s="1"/>
  <c r="BE76" i="13"/>
  <c r="BF76" i="13" s="1"/>
  <c r="BG76" i="13" s="1"/>
  <c r="BH76" i="13" s="1"/>
  <c r="BI76" i="13" s="1"/>
  <c r="BJ76" i="13" s="1"/>
  <c r="BK76" i="13" s="1"/>
  <c r="BE74" i="13"/>
  <c r="BF74" i="13" s="1"/>
  <c r="BG74" i="13" s="1"/>
  <c r="BH74" i="13" s="1"/>
  <c r="BI74" i="13" s="1"/>
  <c r="BJ74" i="13" s="1"/>
  <c r="BK74" i="13" s="1"/>
  <c r="BL74" i="13" s="1"/>
  <c r="BM74" i="13" s="1"/>
  <c r="BN74" i="13" s="1"/>
  <c r="BO74" i="13" s="1"/>
  <c r="BP74" i="13" s="1"/>
  <c r="BE73" i="13"/>
  <c r="BF73" i="13" s="1"/>
  <c r="BG73" i="13" s="1"/>
  <c r="BH73" i="13" s="1"/>
  <c r="BI73" i="13" s="1"/>
  <c r="BJ73" i="13" s="1"/>
  <c r="BL73" i="13" s="1"/>
  <c r="BM73" i="13" s="1"/>
  <c r="BN73" i="13" s="1"/>
  <c r="BO73" i="13" s="1"/>
  <c r="BP73" i="13" s="1"/>
  <c r="BF72" i="13"/>
  <c r="BG72" i="13" s="1"/>
  <c r="BH72" i="13" s="1"/>
  <c r="BI72" i="13" s="1"/>
  <c r="BE71" i="13"/>
  <c r="BF71" i="13" s="1"/>
  <c r="BG71" i="13" s="1"/>
  <c r="BH71" i="13" s="1"/>
  <c r="BI71" i="13" s="1"/>
  <c r="BJ71" i="13" s="1"/>
  <c r="BK71" i="13" s="1"/>
  <c r="BL71" i="13" s="1"/>
  <c r="BM71" i="13" s="1"/>
  <c r="BN71" i="13" s="1"/>
  <c r="BO71" i="13" s="1"/>
  <c r="BP71" i="13" s="1"/>
  <c r="BE69" i="13"/>
  <c r="BF69" i="13" s="1"/>
  <c r="BG69" i="13" s="1"/>
  <c r="BH69" i="13" s="1"/>
  <c r="BI69" i="13" s="1"/>
  <c r="BJ69" i="13" s="1"/>
  <c r="BK69" i="13" s="1"/>
  <c r="BL69" i="13" s="1"/>
  <c r="BM69" i="13" s="1"/>
  <c r="BN69" i="13" s="1"/>
  <c r="BO69" i="13" s="1"/>
  <c r="BP69" i="13" s="1"/>
  <c r="BE68" i="13"/>
  <c r="BF68" i="13" s="1"/>
  <c r="BG68" i="13" s="1"/>
  <c r="BH68" i="13" s="1"/>
  <c r="BI68" i="13" s="1"/>
  <c r="BJ68" i="13" s="1"/>
  <c r="BL68" i="13" s="1"/>
  <c r="BM68" i="13" s="1"/>
  <c r="BN68" i="13" s="1"/>
  <c r="BO68" i="13" s="1"/>
  <c r="BP68" i="13" s="1"/>
  <c r="BE67" i="13"/>
  <c r="BF67" i="13" s="1"/>
  <c r="BE66" i="13"/>
  <c r="BF66" i="13" s="1"/>
  <c r="BG66" i="13" s="1"/>
  <c r="BH66" i="13" s="1"/>
  <c r="BI66" i="13" s="1"/>
  <c r="BJ66" i="13" s="1"/>
  <c r="BK66" i="13" s="1"/>
  <c r="BL66" i="13" s="1"/>
  <c r="BM66" i="13" s="1"/>
  <c r="BN66" i="13" s="1"/>
  <c r="BO66" i="13" s="1"/>
  <c r="BP66" i="13" s="1"/>
  <c r="BQ62" i="13"/>
  <c r="BQ53" i="13"/>
  <c r="BQ51" i="13"/>
  <c r="BQ49" i="13"/>
  <c r="BQ48" i="13"/>
  <c r="BQ43" i="13"/>
  <c r="BQ39" i="13"/>
  <c r="BQ38" i="13"/>
  <c r="G42" i="2"/>
  <c r="H42" i="2"/>
  <c r="I42" i="2"/>
  <c r="J42" i="2"/>
  <c r="K42" i="2"/>
  <c r="L42" i="2"/>
  <c r="M42" i="2"/>
  <c r="N42" i="2"/>
  <c r="O42" i="2"/>
  <c r="F42" i="2"/>
  <c r="BL45" i="13"/>
  <c r="BM45" i="13"/>
  <c r="BN45" i="13"/>
  <c r="BO45" i="13"/>
  <c r="BP45" i="13"/>
  <c r="BK45" i="13"/>
  <c r="BL50" i="13"/>
  <c r="BL132" i="13" s="1"/>
  <c r="BM50" i="13"/>
  <c r="BM132" i="13" s="1"/>
  <c r="BN50" i="13"/>
  <c r="BN132" i="13" s="1"/>
  <c r="BO50" i="13"/>
  <c r="BO132" i="13" s="1"/>
  <c r="BP50" i="13"/>
  <c r="BP132" i="13" s="1"/>
  <c r="O34" i="6"/>
  <c r="N34" i="6"/>
  <c r="M34" i="6"/>
  <c r="L34" i="6"/>
  <c r="K34" i="6"/>
  <c r="J34" i="6"/>
  <c r="I34" i="6"/>
  <c r="H34" i="6"/>
  <c r="G34" i="6"/>
  <c r="BF79" i="13" l="1"/>
  <c r="U85" i="13"/>
  <c r="C85" i="13" s="1"/>
  <c r="BG94" i="13"/>
  <c r="AZ47" i="13"/>
  <c r="AZ52" i="13"/>
  <c r="I32" i="13"/>
  <c r="J39" i="21"/>
  <c r="J32" i="13"/>
  <c r="K39" i="21"/>
  <c r="BJ72" i="13"/>
  <c r="BK72" i="13" s="1"/>
  <c r="BI11" i="13"/>
  <c r="BG67" i="13"/>
  <c r="W67" i="13" s="1"/>
  <c r="E67" i="13" s="1"/>
  <c r="BF6" i="13"/>
  <c r="BA61" i="13"/>
  <c r="BA52" i="13"/>
  <c r="BA47" i="13"/>
  <c r="BA42" i="13"/>
  <c r="BA28" i="13"/>
  <c r="BE25" i="13"/>
  <c r="AZ42" i="13"/>
  <c r="AZ61" i="13"/>
  <c r="AZ28" i="13"/>
  <c r="BF60" i="13"/>
  <c r="BG60" i="13" s="1"/>
  <c r="BG27" i="13" s="1"/>
  <c r="I17" i="18"/>
  <c r="F17" i="18"/>
  <c r="G17" i="18"/>
  <c r="H17" i="18"/>
  <c r="I13" i="18"/>
  <c r="F13" i="18"/>
  <c r="G13" i="18"/>
  <c r="C18" i="18"/>
  <c r="H13" i="18"/>
  <c r="U57" i="13"/>
  <c r="C57" i="13" s="1"/>
  <c r="F16" i="18"/>
  <c r="I16" i="18"/>
  <c r="H16" i="18"/>
  <c r="G16" i="18"/>
  <c r="AA32" i="13"/>
  <c r="AB32" i="13"/>
  <c r="AG44" i="13"/>
  <c r="O44" i="13" s="1"/>
  <c r="BF85" i="13"/>
  <c r="W94" i="13"/>
  <c r="E94" i="13" s="1"/>
  <c r="V94" i="13"/>
  <c r="D94" i="13" s="1"/>
  <c r="AD96" i="13"/>
  <c r="L96" i="13" s="1"/>
  <c r="AC96" i="13"/>
  <c r="K96" i="13" s="1"/>
  <c r="U22" i="13"/>
  <c r="C22" i="13"/>
  <c r="AB96" i="13"/>
  <c r="J96" i="13" s="1"/>
  <c r="AA50" i="13"/>
  <c r="I50" i="13" s="1"/>
  <c r="BF57" i="13"/>
  <c r="BE24" i="13"/>
  <c r="X96" i="13"/>
  <c r="F96" i="13" s="1"/>
  <c r="AC32" i="13"/>
  <c r="K32" i="13"/>
  <c r="W96" i="13"/>
  <c r="E96" i="13" s="1"/>
  <c r="AE50" i="13"/>
  <c r="M50" i="13" s="1"/>
  <c r="V96" i="13"/>
  <c r="D96" i="13" s="1"/>
  <c r="AD50" i="13"/>
  <c r="L50" i="13" s="1"/>
  <c r="AB50" i="13"/>
  <c r="J50" i="13" s="1"/>
  <c r="AF96" i="13"/>
  <c r="N96" i="13" s="1"/>
  <c r="AC50" i="13"/>
  <c r="K50" i="13" s="1"/>
  <c r="AE96" i="13"/>
  <c r="M96" i="13" s="1"/>
  <c r="AD97" i="13"/>
  <c r="L97" i="13" s="1"/>
  <c r="AC97" i="13"/>
  <c r="K97" i="13" s="1"/>
  <c r="AB97" i="13"/>
  <c r="J97" i="13" s="1"/>
  <c r="AA97" i="13"/>
  <c r="I97" i="13" s="1"/>
  <c r="Z97" i="13"/>
  <c r="H97" i="13" s="1"/>
  <c r="Y97" i="13"/>
  <c r="G97" i="13" s="1"/>
  <c r="BF58" i="13"/>
  <c r="BG58" i="13" s="1"/>
  <c r="BH58" i="13" s="1"/>
  <c r="AF97" i="13"/>
  <c r="N97" i="13" s="1"/>
  <c r="BQ95" i="13"/>
  <c r="AE97" i="13"/>
  <c r="M97" i="13" s="1"/>
  <c r="AY86" i="13"/>
  <c r="U58" i="13"/>
  <c r="C58" i="13" s="1"/>
  <c r="BE26" i="13"/>
  <c r="BL78" i="13"/>
  <c r="BM78" i="13" s="1"/>
  <c r="BN78" i="13" s="1"/>
  <c r="BO78" i="13" s="1"/>
  <c r="BP78" i="13" s="1"/>
  <c r="AF78" i="13" s="1"/>
  <c r="N78" i="13" s="1"/>
  <c r="U59" i="13"/>
  <c r="C59" i="13" s="1"/>
  <c r="BE27" i="13"/>
  <c r="BQ96" i="13"/>
  <c r="AA78" i="13"/>
  <c r="I78" i="13" s="1"/>
  <c r="BF86" i="13"/>
  <c r="BG86" i="13" s="1"/>
  <c r="BH86" i="13" s="1"/>
  <c r="X86" i="13" s="1"/>
  <c r="F86" i="13" s="1"/>
  <c r="BE61" i="13"/>
  <c r="U60" i="13"/>
  <c r="C60" i="13" s="1"/>
  <c r="BF59" i="13"/>
  <c r="BG59" i="13" s="1"/>
  <c r="BG26" i="13" s="1"/>
  <c r="BQ97" i="13"/>
  <c r="BQ87" i="13"/>
  <c r="AG87" i="13" s="1"/>
  <c r="O87" i="13" s="1"/>
  <c r="BL88" i="13"/>
  <c r="AB88" i="13" s="1"/>
  <c r="J88" i="13" s="1"/>
  <c r="AY28" i="13"/>
  <c r="BL76" i="13"/>
  <c r="BM76" i="13" s="1"/>
  <c r="BN76" i="13" s="1"/>
  <c r="BO76" i="13" s="1"/>
  <c r="BP76" i="13" s="1"/>
  <c r="AF76" i="13" s="1"/>
  <c r="N76" i="13" s="1"/>
  <c r="BK15" i="13"/>
  <c r="I15" i="13" s="1"/>
  <c r="BF77" i="13"/>
  <c r="BG77" i="13" s="1"/>
  <c r="BH77" i="13" s="1"/>
  <c r="BI77" i="13" s="1"/>
  <c r="BJ77" i="13" s="1"/>
  <c r="BK77" i="13" s="1"/>
  <c r="BL77" i="13" s="1"/>
  <c r="AB77" i="13" s="1"/>
  <c r="J77" i="13" s="1"/>
  <c r="BE16" i="13"/>
  <c r="U94" i="13"/>
  <c r="C94" i="13" s="1"/>
  <c r="AY94" i="13"/>
  <c r="U96" i="13"/>
  <c r="C96" i="13" s="1"/>
  <c r="AA68" i="13"/>
  <c r="I68" i="13" s="1"/>
  <c r="BQ50" i="13"/>
  <c r="AF50" i="13"/>
  <c r="N50" i="13" s="1"/>
  <c r="BK46" i="13"/>
  <c r="AA46" i="13" s="1"/>
  <c r="I46" i="13" s="1"/>
  <c r="AA45" i="13"/>
  <c r="I45" i="13" s="1"/>
  <c r="BQ45" i="13"/>
  <c r="AG45" i="13" s="1"/>
  <c r="O45" i="13" s="1"/>
  <c r="AF45" i="13"/>
  <c r="N45" i="13" s="1"/>
  <c r="BO46" i="13"/>
  <c r="AE46" i="13" s="1"/>
  <c r="M46" i="13" s="1"/>
  <c r="AE45" i="13"/>
  <c r="M45" i="13" s="1"/>
  <c r="BN46" i="13"/>
  <c r="AD46" i="13" s="1"/>
  <c r="L46" i="13" s="1"/>
  <c r="AD45" i="13"/>
  <c r="L45" i="13" s="1"/>
  <c r="BM46" i="13"/>
  <c r="AC46" i="13" s="1"/>
  <c r="K46" i="13" s="1"/>
  <c r="AC45" i="13"/>
  <c r="K45" i="13" s="1"/>
  <c r="BL46" i="13"/>
  <c r="AB46" i="13" s="1"/>
  <c r="J46" i="13" s="1"/>
  <c r="AB45" i="13"/>
  <c r="J45" i="13" s="1"/>
  <c r="BK41" i="13"/>
  <c r="BK110" i="13" s="1"/>
  <c r="AA40" i="13"/>
  <c r="I40" i="13" s="1"/>
  <c r="BL41" i="13"/>
  <c r="BL110" i="13" s="1"/>
  <c r="AB40" i="13"/>
  <c r="J40" i="13" s="1"/>
  <c r="BM41" i="13"/>
  <c r="BM110" i="13" s="1"/>
  <c r="AC40" i="13"/>
  <c r="K40" i="13" s="1"/>
  <c r="BN41" i="13"/>
  <c r="BN110" i="13" s="1"/>
  <c r="AD40" i="13"/>
  <c r="L40" i="13" s="1"/>
  <c r="BO41" i="13"/>
  <c r="BO110" i="13" s="1"/>
  <c r="AE40" i="13"/>
  <c r="M40" i="13" s="1"/>
  <c r="BQ40" i="13"/>
  <c r="AG40" i="13" s="1"/>
  <c r="O40" i="13" s="1"/>
  <c r="AF40" i="13"/>
  <c r="N40" i="13" s="1"/>
  <c r="AG38" i="13"/>
  <c r="O38" i="13" s="1"/>
  <c r="AG39" i="13"/>
  <c r="O39" i="13" s="1"/>
  <c r="AY42" i="13"/>
  <c r="AG43" i="13"/>
  <c r="O43" i="13" s="1"/>
  <c r="AG48" i="13"/>
  <c r="O48" i="13" s="1"/>
  <c r="AG49" i="13"/>
  <c r="O49" i="13" s="1"/>
  <c r="AY52" i="13"/>
  <c r="AG51" i="13"/>
  <c r="O51" i="13" s="1"/>
  <c r="AG53" i="13"/>
  <c r="O53" i="13" s="1"/>
  <c r="AG54" i="13"/>
  <c r="O54" i="13" s="1"/>
  <c r="AG55" i="13"/>
  <c r="O55" i="13" s="1"/>
  <c r="AG62" i="13"/>
  <c r="O62" i="13" s="1"/>
  <c r="AY66" i="13"/>
  <c r="U66" i="13"/>
  <c r="C66" i="13" s="1"/>
  <c r="AY67" i="13"/>
  <c r="U67" i="13"/>
  <c r="C67" i="13" s="1"/>
  <c r="AY68" i="13"/>
  <c r="U68" i="13"/>
  <c r="C68" i="13" s="1"/>
  <c r="AY69" i="13"/>
  <c r="U69" i="13"/>
  <c r="C69" i="13" s="1"/>
  <c r="U71" i="13"/>
  <c r="C71" i="13" s="1"/>
  <c r="U72" i="13"/>
  <c r="C72" i="13" s="1"/>
  <c r="U73" i="13"/>
  <c r="C73" i="13" s="1"/>
  <c r="U74" i="13"/>
  <c r="C74" i="13" s="1"/>
  <c r="U76" i="13"/>
  <c r="C76" i="13" s="1"/>
  <c r="U77" i="13"/>
  <c r="C77" i="13" s="1"/>
  <c r="U78" i="13"/>
  <c r="C78" i="13" s="1"/>
  <c r="U79" i="13"/>
  <c r="C79" i="13" s="1"/>
  <c r="V79" i="13"/>
  <c r="D79" i="13" s="1"/>
  <c r="Z78" i="13"/>
  <c r="H78" i="13" s="1"/>
  <c r="Y78" i="13"/>
  <c r="G78" i="13" s="1"/>
  <c r="X78" i="13"/>
  <c r="F78" i="13" s="1"/>
  <c r="W78" i="13"/>
  <c r="E78" i="13" s="1"/>
  <c r="V78" i="13"/>
  <c r="D78" i="13" s="1"/>
  <c r="AA76" i="13"/>
  <c r="I76" i="13" s="1"/>
  <c r="Z76" i="13"/>
  <c r="H76" i="13" s="1"/>
  <c r="Y76" i="13"/>
  <c r="G76" i="13" s="1"/>
  <c r="X76" i="13"/>
  <c r="F76" i="13" s="1"/>
  <c r="W76" i="13"/>
  <c r="E76" i="13" s="1"/>
  <c r="V76" i="13"/>
  <c r="D76" i="13" s="1"/>
  <c r="AF74" i="13"/>
  <c r="N74" i="13" s="1"/>
  <c r="AE74" i="13"/>
  <c r="M74" i="13" s="1"/>
  <c r="AD74" i="13"/>
  <c r="L74" i="13" s="1"/>
  <c r="AC74" i="13"/>
  <c r="K74" i="13" s="1"/>
  <c r="AB74" i="13"/>
  <c r="J74" i="13" s="1"/>
  <c r="AA74" i="13"/>
  <c r="I74" i="13" s="1"/>
  <c r="Z74" i="13"/>
  <c r="H74" i="13" s="1"/>
  <c r="Y74" i="13"/>
  <c r="G74" i="13" s="1"/>
  <c r="X74" i="13"/>
  <c r="F74" i="13" s="1"/>
  <c r="W74" i="13"/>
  <c r="E74" i="13" s="1"/>
  <c r="V74" i="13"/>
  <c r="D74" i="13" s="1"/>
  <c r="AF73" i="13"/>
  <c r="N73" i="13" s="1"/>
  <c r="AE73" i="13"/>
  <c r="M73" i="13" s="1"/>
  <c r="AD73" i="13"/>
  <c r="L73" i="13" s="1"/>
  <c r="AC73" i="13"/>
  <c r="K73" i="13" s="1"/>
  <c r="AB73" i="13"/>
  <c r="J73" i="13" s="1"/>
  <c r="Z73" i="13"/>
  <c r="H73" i="13" s="1"/>
  <c r="Y73" i="13"/>
  <c r="G73" i="13" s="1"/>
  <c r="X73" i="13"/>
  <c r="F73" i="13" s="1"/>
  <c r="W73" i="13"/>
  <c r="E73" i="13" s="1"/>
  <c r="V73" i="13"/>
  <c r="D73" i="13" s="1"/>
  <c r="Y72" i="13"/>
  <c r="G72" i="13" s="1"/>
  <c r="X72" i="13"/>
  <c r="F72" i="13" s="1"/>
  <c r="W72" i="13"/>
  <c r="E72" i="13" s="1"/>
  <c r="V72" i="13"/>
  <c r="D72" i="13" s="1"/>
  <c r="AF71" i="13"/>
  <c r="N71" i="13" s="1"/>
  <c r="AE71" i="13"/>
  <c r="M71" i="13" s="1"/>
  <c r="AD71" i="13"/>
  <c r="L71" i="13" s="1"/>
  <c r="AC71" i="13"/>
  <c r="K71" i="13" s="1"/>
  <c r="AB71" i="13"/>
  <c r="J71" i="13" s="1"/>
  <c r="AA71" i="13"/>
  <c r="I71" i="13" s="1"/>
  <c r="Z71" i="13"/>
  <c r="H71" i="13" s="1"/>
  <c r="Y71" i="13"/>
  <c r="G71" i="13" s="1"/>
  <c r="X71" i="13"/>
  <c r="F71" i="13" s="1"/>
  <c r="W71" i="13"/>
  <c r="E71" i="13" s="1"/>
  <c r="V71" i="13"/>
  <c r="D71" i="13" s="1"/>
  <c r="AF69" i="13"/>
  <c r="N69" i="13" s="1"/>
  <c r="AE69" i="13"/>
  <c r="M69" i="13" s="1"/>
  <c r="AD69" i="13"/>
  <c r="L69" i="13" s="1"/>
  <c r="AC69" i="13"/>
  <c r="K69" i="13" s="1"/>
  <c r="AB69" i="13"/>
  <c r="J69" i="13" s="1"/>
  <c r="AA69" i="13"/>
  <c r="I69" i="13" s="1"/>
  <c r="Z69" i="13"/>
  <c r="H69" i="13" s="1"/>
  <c r="Y69" i="13"/>
  <c r="G69" i="13" s="1"/>
  <c r="X69" i="13"/>
  <c r="F69" i="13" s="1"/>
  <c r="W69" i="13"/>
  <c r="E69" i="13" s="1"/>
  <c r="V69" i="13"/>
  <c r="D69" i="13" s="1"/>
  <c r="AF68" i="13"/>
  <c r="N68" i="13" s="1"/>
  <c r="AE68" i="13"/>
  <c r="M68" i="13" s="1"/>
  <c r="AD68" i="13"/>
  <c r="L68" i="13" s="1"/>
  <c r="AC68" i="13"/>
  <c r="K68" i="13" s="1"/>
  <c r="AB68" i="13"/>
  <c r="J68" i="13" s="1"/>
  <c r="Z68" i="13"/>
  <c r="H68" i="13" s="1"/>
  <c r="Y68" i="13"/>
  <c r="G68" i="13" s="1"/>
  <c r="X68" i="13"/>
  <c r="F68" i="13" s="1"/>
  <c r="W68" i="13"/>
  <c r="E68" i="13" s="1"/>
  <c r="V68" i="13"/>
  <c r="D68" i="13" s="1"/>
  <c r="V67" i="13"/>
  <c r="D67" i="13" s="1"/>
  <c r="AF66" i="13"/>
  <c r="N66" i="13" s="1"/>
  <c r="AE66" i="13"/>
  <c r="M66" i="13" s="1"/>
  <c r="AD66" i="13"/>
  <c r="L66" i="13" s="1"/>
  <c r="AC66" i="13"/>
  <c r="K66" i="13" s="1"/>
  <c r="AB66" i="13"/>
  <c r="J66" i="13" s="1"/>
  <c r="AA66" i="13"/>
  <c r="I66" i="13" s="1"/>
  <c r="Z66" i="13"/>
  <c r="H66" i="13" s="1"/>
  <c r="Y66" i="13"/>
  <c r="G66" i="13" s="1"/>
  <c r="X66" i="13"/>
  <c r="F66" i="13" s="1"/>
  <c r="W66" i="13"/>
  <c r="E66" i="13" s="1"/>
  <c r="V66" i="13"/>
  <c r="D66" i="13" s="1"/>
  <c r="W83" i="13"/>
  <c r="E83" i="13" s="1"/>
  <c r="V83" i="13"/>
  <c r="D83" i="13" s="1"/>
  <c r="AF82" i="13"/>
  <c r="N82" i="13" s="1"/>
  <c r="AE82" i="13"/>
  <c r="M82" i="13" s="1"/>
  <c r="AD82" i="13"/>
  <c r="L82" i="13" s="1"/>
  <c r="AC82" i="13"/>
  <c r="K82" i="13" s="1"/>
  <c r="AB82" i="13"/>
  <c r="J82" i="13" s="1"/>
  <c r="AA82" i="13"/>
  <c r="I82" i="13" s="1"/>
  <c r="Z82" i="13"/>
  <c r="H82" i="13" s="1"/>
  <c r="Y82" i="13"/>
  <c r="G82" i="13" s="1"/>
  <c r="X82" i="13"/>
  <c r="F82" i="13" s="1"/>
  <c r="W82" i="13"/>
  <c r="E82" i="13" s="1"/>
  <c r="V82" i="13"/>
  <c r="D82" i="13" s="1"/>
  <c r="AA88" i="13"/>
  <c r="I88" i="13" s="1"/>
  <c r="Z88" i="13"/>
  <c r="H88" i="13" s="1"/>
  <c r="Y88" i="13"/>
  <c r="G88" i="13" s="1"/>
  <c r="X88" i="13"/>
  <c r="F88" i="13" s="1"/>
  <c r="W88" i="13"/>
  <c r="E88" i="13" s="1"/>
  <c r="V88" i="13"/>
  <c r="D88" i="13" s="1"/>
  <c r="U88" i="13"/>
  <c r="C88" i="13" s="1"/>
  <c r="AF87" i="13"/>
  <c r="N87" i="13" s="1"/>
  <c r="AE87" i="13"/>
  <c r="M87" i="13" s="1"/>
  <c r="AD87" i="13"/>
  <c r="L87" i="13" s="1"/>
  <c r="AC87" i="13"/>
  <c r="K87" i="13" s="1"/>
  <c r="AB87" i="13"/>
  <c r="J87" i="13" s="1"/>
  <c r="Z87" i="13"/>
  <c r="H87" i="13" s="1"/>
  <c r="Y87" i="13"/>
  <c r="G87" i="13" s="1"/>
  <c r="X87" i="13"/>
  <c r="F87" i="13" s="1"/>
  <c r="W87" i="13"/>
  <c r="E87" i="13" s="1"/>
  <c r="V87" i="13"/>
  <c r="D87" i="13" s="1"/>
  <c r="U87" i="13"/>
  <c r="C87" i="13" s="1"/>
  <c r="U86" i="13"/>
  <c r="C86" i="13" s="1"/>
  <c r="AY71" i="13"/>
  <c r="AO14" i="13"/>
  <c r="AT42" i="13"/>
  <c r="AY46" i="13"/>
  <c r="AX47" i="13"/>
  <c r="AN23" i="13"/>
  <c r="AY20" i="13"/>
  <c r="AM23" i="13"/>
  <c r="AV47" i="13"/>
  <c r="AO23" i="13"/>
  <c r="AO19" i="13"/>
  <c r="AU42" i="13"/>
  <c r="AY91" i="13"/>
  <c r="AN14" i="13"/>
  <c r="AY11" i="13"/>
  <c r="AU47" i="13"/>
  <c r="AY81" i="13"/>
  <c r="AY12" i="13"/>
  <c r="AW47" i="13"/>
  <c r="AY50" i="13"/>
  <c r="AY13" i="13"/>
  <c r="AY72" i="13"/>
  <c r="AY73" i="13"/>
  <c r="AY74" i="13"/>
  <c r="AY77" i="13"/>
  <c r="AM19" i="13"/>
  <c r="BH83" i="13"/>
  <c r="X83" i="13" s="1"/>
  <c r="F83" i="13" s="1"/>
  <c r="BG22" i="13"/>
  <c r="BQ66" i="13"/>
  <c r="BP41" i="13"/>
  <c r="BP110" i="13" s="1"/>
  <c r="BF22" i="13"/>
  <c r="BL21" i="13"/>
  <c r="BP46" i="13"/>
  <c r="BP123" i="13" s="1"/>
  <c r="BF56" i="13"/>
  <c r="V56" i="13" s="1"/>
  <c r="D56" i="13" s="1"/>
  <c r="BG56" i="13"/>
  <c r="W56" i="13" s="1"/>
  <c r="E56" i="13" s="1"/>
  <c r="BH56" i="13"/>
  <c r="BI56" i="13"/>
  <c r="Y56" i="13" s="1"/>
  <c r="G56" i="13" s="1"/>
  <c r="BJ56" i="13"/>
  <c r="Z56" i="13" s="1"/>
  <c r="H56" i="13" s="1"/>
  <c r="BK56" i="13"/>
  <c r="AA56" i="13" s="1"/>
  <c r="I56" i="13" s="1"/>
  <c r="BL56" i="13"/>
  <c r="AB56" i="13" s="1"/>
  <c r="J56" i="13" s="1"/>
  <c r="BM56" i="13"/>
  <c r="AC56" i="13" s="1"/>
  <c r="K56" i="13" s="1"/>
  <c r="BN56" i="13"/>
  <c r="AD56" i="13" s="1"/>
  <c r="L56" i="13" s="1"/>
  <c r="BO56" i="13"/>
  <c r="AE56" i="13" s="1"/>
  <c r="M56" i="13" s="1"/>
  <c r="BP56" i="13"/>
  <c r="BE56" i="13"/>
  <c r="BE52" i="13"/>
  <c r="BQ29" i="13"/>
  <c r="O29" i="13" s="1"/>
  <c r="BQ30" i="13"/>
  <c r="BQ32" i="13"/>
  <c r="O32" i="13" s="1"/>
  <c r="BQ33" i="13"/>
  <c r="O33" i="13" s="1"/>
  <c r="BF91" i="13"/>
  <c r="F20" i="3"/>
  <c r="F25" i="3"/>
  <c r="BE21" i="13"/>
  <c r="BF21" i="13"/>
  <c r="BG21" i="13"/>
  <c r="BH21" i="13"/>
  <c r="BI21" i="13"/>
  <c r="BJ21" i="13"/>
  <c r="BF42" i="13"/>
  <c r="V42" i="13" s="1"/>
  <c r="D42" i="13" s="1"/>
  <c r="BG42" i="13"/>
  <c r="W42" i="13" s="1"/>
  <c r="E42" i="13" s="1"/>
  <c r="BH42" i="13"/>
  <c r="BI42" i="13"/>
  <c r="Y42" i="13" s="1"/>
  <c r="G42" i="13" s="1"/>
  <c r="BJ42" i="13"/>
  <c r="Z42" i="13" s="1"/>
  <c r="H42" i="13" s="1"/>
  <c r="BF47" i="13"/>
  <c r="V47" i="13" s="1"/>
  <c r="D47" i="13" s="1"/>
  <c r="BG47" i="13"/>
  <c r="W47" i="13" s="1"/>
  <c r="E47" i="13" s="1"/>
  <c r="BH47" i="13"/>
  <c r="BI47" i="13"/>
  <c r="Y47" i="13" s="1"/>
  <c r="G47" i="13" s="1"/>
  <c r="BJ47" i="13"/>
  <c r="Z47" i="13" s="1"/>
  <c r="H47" i="13" s="1"/>
  <c r="BF52" i="13"/>
  <c r="V52" i="13" s="1"/>
  <c r="D52" i="13" s="1"/>
  <c r="BG52" i="13"/>
  <c r="W52" i="13" s="1"/>
  <c r="E52" i="13" s="1"/>
  <c r="BH52" i="13"/>
  <c r="BI52" i="13"/>
  <c r="Y52" i="13" s="1"/>
  <c r="G52" i="13" s="1"/>
  <c r="BJ52" i="13"/>
  <c r="Z52" i="13" s="1"/>
  <c r="H52" i="13" s="1"/>
  <c r="BK52" i="13"/>
  <c r="AA52" i="13" s="1"/>
  <c r="I52" i="13" s="1"/>
  <c r="BL52" i="13"/>
  <c r="AB52" i="13" s="1"/>
  <c r="J52" i="13" s="1"/>
  <c r="BM52" i="13"/>
  <c r="AC52" i="13" s="1"/>
  <c r="K52" i="13" s="1"/>
  <c r="BN52" i="13"/>
  <c r="AD52" i="13" s="1"/>
  <c r="L52" i="13" s="1"/>
  <c r="BO52" i="13"/>
  <c r="AE52" i="13" s="1"/>
  <c r="M52" i="13" s="1"/>
  <c r="BP52" i="13"/>
  <c r="BE47" i="13"/>
  <c r="BE42" i="13"/>
  <c r="BG10" i="13"/>
  <c r="BE18" i="13"/>
  <c r="BF15" i="13"/>
  <c r="BG13" i="13"/>
  <c r="BG12" i="13"/>
  <c r="BE11" i="13"/>
  <c r="BE10" i="13"/>
  <c r="BE6" i="13"/>
  <c r="BE7" i="13"/>
  <c r="BE8" i="13"/>
  <c r="BE5" i="13"/>
  <c r="BK21" i="13"/>
  <c r="BM21" i="13"/>
  <c r="BN21" i="13"/>
  <c r="BO21" i="13"/>
  <c r="BP2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BQ82" i="13"/>
  <c r="K4" i="12"/>
  <c r="K6" i="12"/>
  <c r="K7" i="12"/>
  <c r="R26" i="12"/>
  <c r="R28" i="12"/>
  <c r="L12" i="12"/>
  <c r="M12" i="12"/>
  <c r="K12" i="12"/>
  <c r="P11" i="12"/>
  <c r="O11" i="12"/>
  <c r="L11" i="12"/>
  <c r="M11" i="12"/>
  <c r="N11" i="12"/>
  <c r="K11" i="12"/>
  <c r="P9" i="12"/>
  <c r="O9" i="12"/>
  <c r="N9" i="12"/>
  <c r="M9" i="12"/>
  <c r="L9" i="12"/>
  <c r="K9" i="12"/>
  <c r="F26" i="12"/>
  <c r="E26" i="12"/>
  <c r="Q26" i="12" s="1"/>
  <c r="S26" i="12" s="1"/>
  <c r="C11" i="18" l="1"/>
  <c r="H11" i="18" s="1"/>
  <c r="CP28" i="13"/>
  <c r="K11" i="18"/>
  <c r="P11" i="18" s="1"/>
  <c r="CQ28" i="13"/>
  <c r="BG85" i="13"/>
  <c r="BH94" i="13"/>
  <c r="BG79" i="13"/>
  <c r="Z72" i="13"/>
  <c r="H72" i="13" s="1"/>
  <c r="BL72" i="13"/>
  <c r="AA72" i="13"/>
  <c r="I72" i="13" s="1"/>
  <c r="BS21" i="13"/>
  <c r="BH67" i="13"/>
  <c r="BG6" i="13"/>
  <c r="X52" i="13"/>
  <c r="F52" i="13" s="1"/>
  <c r="BS52" i="13"/>
  <c r="X47" i="13"/>
  <c r="F47" i="13" s="1"/>
  <c r="BS47" i="13"/>
  <c r="X42" i="13"/>
  <c r="F42" i="13" s="1"/>
  <c r="BS42" i="13"/>
  <c r="X56" i="13"/>
  <c r="F56" i="13" s="1"/>
  <c r="BS56" i="13"/>
  <c r="BI58" i="13"/>
  <c r="BJ58" i="13" s="1"/>
  <c r="BS58" i="13" s="1"/>
  <c r="BE28" i="13"/>
  <c r="BF27" i="13"/>
  <c r="V60" i="13"/>
  <c r="D60" i="13" s="1"/>
  <c r="I18" i="18"/>
  <c r="F18" i="18"/>
  <c r="G18" i="18"/>
  <c r="H18" i="18"/>
  <c r="C26" i="13"/>
  <c r="C25" i="13"/>
  <c r="U42" i="13"/>
  <c r="C42" i="13" s="1"/>
  <c r="BR42" i="13"/>
  <c r="U52" i="13"/>
  <c r="C52" i="13" s="1"/>
  <c r="BR52" i="13"/>
  <c r="BR21" i="13"/>
  <c r="C16" i="13"/>
  <c r="U61" i="13"/>
  <c r="C61" i="13" s="1"/>
  <c r="U47" i="13"/>
  <c r="C47" i="13" s="1"/>
  <c r="BR47" i="13"/>
  <c r="U56" i="13"/>
  <c r="C56" i="13" s="1"/>
  <c r="BR56" i="13"/>
  <c r="BF24" i="13"/>
  <c r="D24" i="13" s="1"/>
  <c r="U25" i="13"/>
  <c r="BK47" i="13"/>
  <c r="AA47" i="13" s="1"/>
  <c r="I47" i="13" s="1"/>
  <c r="BN123" i="13"/>
  <c r="AD78" i="13"/>
  <c r="L78" i="13" s="1"/>
  <c r="BM123" i="13"/>
  <c r="AE78" i="13"/>
  <c r="M78" i="13" s="1"/>
  <c r="BK123" i="13"/>
  <c r="BL47" i="13"/>
  <c r="BL123" i="13"/>
  <c r="BO123" i="13"/>
  <c r="U26" i="13"/>
  <c r="V86" i="13"/>
  <c r="D86" i="13" s="1"/>
  <c r="W86" i="13"/>
  <c r="E86" i="13" s="1"/>
  <c r="BI86" i="13"/>
  <c r="Y86" i="13" s="1"/>
  <c r="G86" i="13" s="1"/>
  <c r="AD21" i="13"/>
  <c r="L21" i="13"/>
  <c r="AE41" i="13"/>
  <c r="M41" i="13" s="1"/>
  <c r="U5" i="13"/>
  <c r="C5" i="13"/>
  <c r="W10" i="13"/>
  <c r="E10" i="13"/>
  <c r="AD41" i="13"/>
  <c r="L41" i="13" s="1"/>
  <c r="BU30" i="13"/>
  <c r="O30" i="13"/>
  <c r="U8" i="13"/>
  <c r="C8" i="13"/>
  <c r="Z21" i="13"/>
  <c r="H21" i="13"/>
  <c r="AC41" i="13"/>
  <c r="K41" i="13" s="1"/>
  <c r="V57" i="13"/>
  <c r="D57" i="13" s="1"/>
  <c r="U18" i="13"/>
  <c r="C18" i="13"/>
  <c r="U7" i="13"/>
  <c r="C7" i="13"/>
  <c r="Y21" i="13"/>
  <c r="G21" i="13"/>
  <c r="BG57" i="13"/>
  <c r="BG24" i="13" s="1"/>
  <c r="E24" i="13" s="1"/>
  <c r="U6" i="13"/>
  <c r="C6" i="13"/>
  <c r="X21" i="13"/>
  <c r="F21" i="13"/>
  <c r="AB41" i="13"/>
  <c r="J41" i="13" s="1"/>
  <c r="U10" i="13"/>
  <c r="C10" i="13"/>
  <c r="W21" i="13"/>
  <c r="E21" i="13"/>
  <c r="AB21" i="13"/>
  <c r="J21" i="13"/>
  <c r="U27" i="13"/>
  <c r="C27" i="13"/>
  <c r="U11" i="13"/>
  <c r="C11" i="13"/>
  <c r="V21" i="13"/>
  <c r="D21" i="13"/>
  <c r="V22" i="13"/>
  <c r="D22" i="13"/>
  <c r="V15" i="13"/>
  <c r="D15" i="13"/>
  <c r="W27" i="13"/>
  <c r="E27" i="13"/>
  <c r="AA21" i="13"/>
  <c r="I21" i="13"/>
  <c r="W12" i="13"/>
  <c r="E12" i="13"/>
  <c r="U21" i="13"/>
  <c r="C21" i="13"/>
  <c r="AE21" i="13"/>
  <c r="M21" i="13"/>
  <c r="AC21" i="13"/>
  <c r="K21" i="13"/>
  <c r="AF21" i="13"/>
  <c r="N21" i="13"/>
  <c r="W13" i="13"/>
  <c r="E13" i="13"/>
  <c r="BO42" i="13"/>
  <c r="AE42" i="13" s="1"/>
  <c r="M42" i="13" s="1"/>
  <c r="W22" i="13"/>
  <c r="E22" i="13"/>
  <c r="W26" i="13"/>
  <c r="E26" i="13"/>
  <c r="C24" i="13"/>
  <c r="U24" i="13"/>
  <c r="AA41" i="13"/>
  <c r="I41" i="13" s="1"/>
  <c r="BK8" i="13"/>
  <c r="I8" i="13" s="1"/>
  <c r="AC78" i="13"/>
  <c r="K78" i="13" s="1"/>
  <c r="BF61" i="13"/>
  <c r="V61" i="13" s="1"/>
  <c r="D61" i="13" s="1"/>
  <c r="BH25" i="13"/>
  <c r="Y58" i="13"/>
  <c r="G58" i="13" s="1"/>
  <c r="V58" i="13"/>
  <c r="D58" i="13" s="1"/>
  <c r="W58" i="13"/>
  <c r="E58" i="13" s="1"/>
  <c r="W77" i="13"/>
  <c r="E77" i="13" s="1"/>
  <c r="X58" i="13"/>
  <c r="F58" i="13" s="1"/>
  <c r="AG50" i="13"/>
  <c r="O50" i="13" s="1"/>
  <c r="AB78" i="13"/>
  <c r="J78" i="13" s="1"/>
  <c r="BG25" i="13"/>
  <c r="BF26" i="13"/>
  <c r="V59" i="13"/>
  <c r="D59" i="13" s="1"/>
  <c r="AB76" i="13"/>
  <c r="J76" i="13" s="1"/>
  <c r="AD76" i="13"/>
  <c r="L76" i="13" s="1"/>
  <c r="BF25" i="13"/>
  <c r="V77" i="13"/>
  <c r="D77" i="13" s="1"/>
  <c r="X77" i="13"/>
  <c r="F77" i="13" s="1"/>
  <c r="BN42" i="13"/>
  <c r="AD42" i="13" s="1"/>
  <c r="L42" i="13" s="1"/>
  <c r="Z77" i="13"/>
  <c r="H77" i="13" s="1"/>
  <c r="AA77" i="13"/>
  <c r="I77" i="13" s="1"/>
  <c r="BN47" i="13"/>
  <c r="AD47" i="13" s="1"/>
  <c r="L47" i="13" s="1"/>
  <c r="AC76" i="13"/>
  <c r="K76" i="13" s="1"/>
  <c r="AE76" i="13"/>
  <c r="M76" i="13" s="1"/>
  <c r="BH59" i="13"/>
  <c r="W59" i="13"/>
  <c r="E59" i="13" s="1"/>
  <c r="BK58" i="13"/>
  <c r="AG33" i="13"/>
  <c r="BU33" i="13"/>
  <c r="AG29" i="13"/>
  <c r="BU29" i="13"/>
  <c r="BM88" i="13"/>
  <c r="AG32" i="13"/>
  <c r="BU32" i="13"/>
  <c r="BM42" i="13"/>
  <c r="AC42" i="13" s="1"/>
  <c r="K42" i="13" s="1"/>
  <c r="BH60" i="13"/>
  <c r="W60" i="13"/>
  <c r="E60" i="13" s="1"/>
  <c r="AG30" i="13"/>
  <c r="BO47" i="13"/>
  <c r="AE47" i="13" s="1"/>
  <c r="M47" i="13" s="1"/>
  <c r="BL42" i="13"/>
  <c r="AB42" i="13" s="1"/>
  <c r="J42" i="13" s="1"/>
  <c r="BM47" i="13"/>
  <c r="AC47" i="13" s="1"/>
  <c r="K47" i="13" s="1"/>
  <c r="BK42" i="13"/>
  <c r="AA42" i="13" s="1"/>
  <c r="I42" i="13" s="1"/>
  <c r="Y77" i="13"/>
  <c r="G77" i="13" s="1"/>
  <c r="BM77" i="13"/>
  <c r="AF81" i="13"/>
  <c r="N81" i="13" s="1"/>
  <c r="AE81" i="13"/>
  <c r="M81" i="13" s="1"/>
  <c r="AD81" i="13"/>
  <c r="L81" i="13" s="1"/>
  <c r="AC81" i="13"/>
  <c r="K81" i="13" s="1"/>
  <c r="AB81" i="13"/>
  <c r="J81" i="13" s="1"/>
  <c r="AA20" i="13"/>
  <c r="AA81" i="13"/>
  <c r="I81" i="13" s="1"/>
  <c r="BJ20" i="13"/>
  <c r="Z81" i="13"/>
  <c r="H81" i="13" s="1"/>
  <c r="BI20" i="13"/>
  <c r="Y81" i="13"/>
  <c r="G81" i="13" s="1"/>
  <c r="BH20" i="13"/>
  <c r="X81" i="13"/>
  <c r="F81" i="13" s="1"/>
  <c r="BG20" i="13"/>
  <c r="W81" i="13"/>
  <c r="E81" i="13" s="1"/>
  <c r="BF20" i="13"/>
  <c r="V81" i="13"/>
  <c r="D81" i="13" s="1"/>
  <c r="BE20" i="13"/>
  <c r="U81" i="13"/>
  <c r="C81" i="13" s="1"/>
  <c r="BQ52" i="13"/>
  <c r="AG52" i="13" s="1"/>
  <c r="O52" i="13" s="1"/>
  <c r="AF52" i="13"/>
  <c r="N52" i="13" s="1"/>
  <c r="BG91" i="13"/>
  <c r="V91" i="13"/>
  <c r="D91" i="13" s="1"/>
  <c r="BQ56" i="13"/>
  <c r="AG56" i="13" s="1"/>
  <c r="O56" i="13" s="1"/>
  <c r="AF56" i="13"/>
  <c r="N56" i="13" s="1"/>
  <c r="BQ46" i="13"/>
  <c r="AG46" i="13" s="1"/>
  <c r="O46" i="13" s="1"/>
  <c r="AF46" i="13"/>
  <c r="N46" i="13" s="1"/>
  <c r="BQ41" i="13"/>
  <c r="AG41" i="13" s="1"/>
  <c r="O41" i="13" s="1"/>
  <c r="AF41" i="13"/>
  <c r="N41" i="13" s="1"/>
  <c r="W85" i="13"/>
  <c r="E85" i="13" s="1"/>
  <c r="V85" i="13"/>
  <c r="D85" i="13" s="1"/>
  <c r="AY47" i="13"/>
  <c r="AG66" i="13"/>
  <c r="O66" i="13" s="1"/>
  <c r="AP19" i="13"/>
  <c r="AP23" i="13"/>
  <c r="AT47" i="13"/>
  <c r="BP42" i="13"/>
  <c r="BI83" i="13"/>
  <c r="Y83" i="13" s="1"/>
  <c r="G83" i="13" s="1"/>
  <c r="BH22" i="13"/>
  <c r="BE9" i="13"/>
  <c r="BP47" i="13"/>
  <c r="BF13" i="13"/>
  <c r="BH7" i="13"/>
  <c r="BE13" i="13"/>
  <c r="BQ21" i="13"/>
  <c r="BK5" i="13"/>
  <c r="BI16" i="13"/>
  <c r="BJ17" i="13"/>
  <c r="BG17" i="13"/>
  <c r="BJ16" i="13"/>
  <c r="BH16" i="13"/>
  <c r="BH17" i="13"/>
  <c r="BF17" i="13"/>
  <c r="BF12" i="13"/>
  <c r="BF10" i="13"/>
  <c r="BF5" i="13"/>
  <c r="BE17" i="13"/>
  <c r="BE15" i="13"/>
  <c r="BE12" i="13"/>
  <c r="BG16" i="13"/>
  <c r="BF16" i="13"/>
  <c r="BF8" i="13"/>
  <c r="BH8" i="13"/>
  <c r="BG8" i="13"/>
  <c r="U16" i="13"/>
  <c r="BI17" i="13"/>
  <c r="BK16" i="13"/>
  <c r="BK17" i="13"/>
  <c r="BQ81" i="13"/>
  <c r="AG81" i="13" s="1"/>
  <c r="O81" i="13" s="1"/>
  <c r="Q11" i="12"/>
  <c r="S11" i="12" s="1"/>
  <c r="Q17" i="12"/>
  <c r="P7" i="12"/>
  <c r="O7" i="12"/>
  <c r="N7" i="12"/>
  <c r="M7" i="12"/>
  <c r="L7" i="12"/>
  <c r="Q7" i="12" s="1"/>
  <c r="P6" i="12"/>
  <c r="O6" i="12"/>
  <c r="N6" i="12"/>
  <c r="M6" i="12"/>
  <c r="L6" i="12"/>
  <c r="Q6" i="12" s="1"/>
  <c r="E5" i="3"/>
  <c r="N4" i="12"/>
  <c r="P4" i="12"/>
  <c r="O4" i="12"/>
  <c r="M4" i="12"/>
  <c r="L4" i="12"/>
  <c r="Q4" i="12" s="1"/>
  <c r="F12" i="3"/>
  <c r="F16" i="3"/>
  <c r="I11" i="18" l="1"/>
  <c r="Q11" i="18"/>
  <c r="BR58" i="13"/>
  <c r="Z58" i="13"/>
  <c r="H58" i="13" s="1"/>
  <c r="BH79" i="13"/>
  <c r="W79" i="13"/>
  <c r="E79" i="13" s="1"/>
  <c r="BI94" i="13"/>
  <c r="X94" i="13"/>
  <c r="F94" i="13" s="1"/>
  <c r="BH85" i="13"/>
  <c r="X85" i="13" s="1"/>
  <c r="F85" i="13" s="1"/>
  <c r="BS16" i="13"/>
  <c r="BM72" i="13"/>
  <c r="AB72" i="13"/>
  <c r="J72" i="13" s="1"/>
  <c r="BS17" i="13"/>
  <c r="BS20" i="13"/>
  <c r="BE14" i="13"/>
  <c r="BI67" i="13"/>
  <c r="X67" i="13"/>
  <c r="F67" i="13" s="1"/>
  <c r="F22" i="13"/>
  <c r="BR16" i="13"/>
  <c r="V27" i="13"/>
  <c r="D27" i="13"/>
  <c r="BR20" i="13"/>
  <c r="C28" i="13"/>
  <c r="BR17" i="13"/>
  <c r="V24" i="13"/>
  <c r="BI25" i="13"/>
  <c r="Y25" i="13" s="1"/>
  <c r="AB47" i="13"/>
  <c r="J47" i="13" s="1"/>
  <c r="BJ86" i="13"/>
  <c r="Z86" i="13" s="1"/>
  <c r="H86" i="13" s="1"/>
  <c r="BG61" i="13"/>
  <c r="W57" i="13"/>
  <c r="E57" i="13" s="1"/>
  <c r="W16" i="13"/>
  <c r="E16" i="13"/>
  <c r="Y16" i="13"/>
  <c r="G16" i="13"/>
  <c r="U15" i="13"/>
  <c r="C15" i="13"/>
  <c r="AA5" i="13"/>
  <c r="I5" i="13"/>
  <c r="U17" i="13"/>
  <c r="C17" i="13"/>
  <c r="Y20" i="13"/>
  <c r="G20" i="13"/>
  <c r="W25" i="13"/>
  <c r="E25" i="13"/>
  <c r="X20" i="13"/>
  <c r="F20" i="13"/>
  <c r="V5" i="13"/>
  <c r="D5" i="13"/>
  <c r="U13" i="13"/>
  <c r="C13" i="13"/>
  <c r="X7" i="13"/>
  <c r="F7" i="13"/>
  <c r="Z20" i="13"/>
  <c r="H20" i="13"/>
  <c r="V16" i="13"/>
  <c r="D16" i="13"/>
  <c r="W20" i="13"/>
  <c r="E20" i="13"/>
  <c r="V26" i="13"/>
  <c r="D26" i="13"/>
  <c r="BH57" i="13"/>
  <c r="AA17" i="13"/>
  <c r="I17" i="13"/>
  <c r="V12" i="13"/>
  <c r="D12" i="13"/>
  <c r="Z17" i="13"/>
  <c r="H17" i="13"/>
  <c r="AA16" i="13"/>
  <c r="I16" i="13"/>
  <c r="V10" i="13"/>
  <c r="D10" i="13"/>
  <c r="Y17" i="13"/>
  <c r="G17" i="13"/>
  <c r="V13" i="13"/>
  <c r="D13" i="13"/>
  <c r="V17" i="13"/>
  <c r="D17" i="13"/>
  <c r="U20" i="13"/>
  <c r="C20" i="13"/>
  <c r="V25" i="13"/>
  <c r="D25" i="13"/>
  <c r="W17" i="13"/>
  <c r="E17" i="13"/>
  <c r="U12" i="13"/>
  <c r="C12" i="13"/>
  <c r="X17" i="13"/>
  <c r="F17" i="13"/>
  <c r="W8" i="13"/>
  <c r="E8" i="13"/>
  <c r="X8" i="13"/>
  <c r="F8" i="13"/>
  <c r="X16" i="13"/>
  <c r="F16" i="13"/>
  <c r="V20" i="13"/>
  <c r="D20" i="13"/>
  <c r="X25" i="13"/>
  <c r="F25" i="13"/>
  <c r="V8" i="13"/>
  <c r="D8" i="13"/>
  <c r="Z16" i="13"/>
  <c r="H16" i="13"/>
  <c r="U28" i="13"/>
  <c r="BF28" i="13"/>
  <c r="D28" i="13" s="1"/>
  <c r="BE23" i="13"/>
  <c r="BG23" i="13"/>
  <c r="BL58" i="13"/>
  <c r="AA58" i="13"/>
  <c r="I58" i="13" s="1"/>
  <c r="BI59" i="13"/>
  <c r="X59" i="13"/>
  <c r="F59" i="13" s="1"/>
  <c r="BH26" i="13"/>
  <c r="W24" i="13"/>
  <c r="BG28" i="13"/>
  <c r="E28" i="13" s="1"/>
  <c r="BN88" i="13"/>
  <c r="AC88" i="13"/>
  <c r="K88" i="13" s="1"/>
  <c r="BI60" i="13"/>
  <c r="X60" i="13"/>
  <c r="F60" i="13" s="1"/>
  <c r="BH27" i="13"/>
  <c r="BF23" i="13"/>
  <c r="AC77" i="13"/>
  <c r="K77" i="13" s="1"/>
  <c r="BN77" i="13"/>
  <c r="BQ47" i="13"/>
  <c r="AG47" i="13" s="1"/>
  <c r="O47" i="13" s="1"/>
  <c r="AF47" i="13"/>
  <c r="N47" i="13" s="1"/>
  <c r="BH23" i="13"/>
  <c r="X22" i="13"/>
  <c r="BQ42" i="13"/>
  <c r="AG42" i="13" s="1"/>
  <c r="O42" i="13" s="1"/>
  <c r="AF42" i="13"/>
  <c r="N42" i="13" s="1"/>
  <c r="AY85" i="13"/>
  <c r="BH91" i="13"/>
  <c r="W91" i="13"/>
  <c r="E91" i="13" s="1"/>
  <c r="AQ23" i="13"/>
  <c r="AQ19" i="13"/>
  <c r="BJ83" i="13"/>
  <c r="Z83" i="13" s="1"/>
  <c r="H83" i="13" s="1"/>
  <c r="BI22" i="13"/>
  <c r="BF7" i="13"/>
  <c r="BJ5" i="13"/>
  <c r="BH5" i="13"/>
  <c r="BI7" i="13"/>
  <c r="BI5" i="13"/>
  <c r="BG5" i="13"/>
  <c r="BG7" i="13"/>
  <c r="BI8" i="13"/>
  <c r="BF18" i="13"/>
  <c r="BG15" i="13"/>
  <c r="BH13" i="13"/>
  <c r="BH10" i="13"/>
  <c r="BF11" i="13"/>
  <c r="BH12" i="13"/>
  <c r="BE19" i="13"/>
  <c r="BL5" i="13"/>
  <c r="BL17" i="13"/>
  <c r="BL16" i="13"/>
  <c r="F8" i="3"/>
  <c r="F14" i="3"/>
  <c r="F19" i="3"/>
  <c r="E17" i="1"/>
  <c r="F44" i="1"/>
  <c r="K13" i="12"/>
  <c r="S4" i="12"/>
  <c r="D35" i="12"/>
  <c r="R27" i="12"/>
  <c r="R29" i="12" s="1"/>
  <c r="S20" i="12"/>
  <c r="BI85" i="13" l="1"/>
  <c r="BJ94" i="13"/>
  <c r="Y94" i="13"/>
  <c r="G94" i="13" s="1"/>
  <c r="BI79" i="13"/>
  <c r="X79" i="13"/>
  <c r="F79" i="13" s="1"/>
  <c r="BN72" i="13"/>
  <c r="AC72" i="13"/>
  <c r="K72" i="13" s="1"/>
  <c r="BS5" i="13"/>
  <c r="BJ67" i="13"/>
  <c r="Y67" i="13"/>
  <c r="G67" i="13" s="1"/>
  <c r="X23" i="13"/>
  <c r="F27" i="13"/>
  <c r="F26" i="13"/>
  <c r="BH24" i="13"/>
  <c r="X24" i="13" s="1"/>
  <c r="C14" i="13"/>
  <c r="C19" i="13"/>
  <c r="W61" i="13"/>
  <c r="E61" i="13" s="1"/>
  <c r="G25" i="13"/>
  <c r="BK86" i="13"/>
  <c r="BK25" i="13" s="1"/>
  <c r="BJ25" i="13"/>
  <c r="BR25" i="13" s="1"/>
  <c r="F23" i="13"/>
  <c r="U23" i="13"/>
  <c r="C23" i="13"/>
  <c r="X13" i="13"/>
  <c r="F13" i="13"/>
  <c r="W15" i="13"/>
  <c r="E15" i="13"/>
  <c r="AB17" i="13"/>
  <c r="J17" i="13"/>
  <c r="W7" i="13"/>
  <c r="E7" i="13"/>
  <c r="Y5" i="13"/>
  <c r="G5" i="13"/>
  <c r="Y8" i="13"/>
  <c r="G8" i="13"/>
  <c r="Y7" i="13"/>
  <c r="G7" i="13"/>
  <c r="W23" i="13"/>
  <c r="E23" i="13"/>
  <c r="V18" i="13"/>
  <c r="D18" i="13"/>
  <c r="V23" i="13"/>
  <c r="D23" i="13"/>
  <c r="X5" i="13"/>
  <c r="F5" i="13"/>
  <c r="AB5" i="13"/>
  <c r="J5" i="13"/>
  <c r="Z5" i="13"/>
  <c r="H5" i="13"/>
  <c r="AB16" i="13"/>
  <c r="J16" i="13"/>
  <c r="W5" i="13"/>
  <c r="E5" i="13"/>
  <c r="BH61" i="13"/>
  <c r="X57" i="13"/>
  <c r="F57" i="13" s="1"/>
  <c r="X12" i="13"/>
  <c r="F12" i="13"/>
  <c r="V6" i="13"/>
  <c r="D6" i="13"/>
  <c r="V11" i="13"/>
  <c r="D11" i="13"/>
  <c r="V7" i="13"/>
  <c r="D7" i="13"/>
  <c r="X10" i="13"/>
  <c r="F10" i="13"/>
  <c r="Y22" i="13"/>
  <c r="G22" i="13"/>
  <c r="BI57" i="13"/>
  <c r="BJ57" i="13" s="1"/>
  <c r="BS57" i="13" s="1"/>
  <c r="W28" i="13"/>
  <c r="V28" i="13"/>
  <c r="X26" i="13"/>
  <c r="BJ59" i="13"/>
  <c r="Y59" i="13"/>
  <c r="G59" i="13" s="1"/>
  <c r="BI26" i="13"/>
  <c r="BM58" i="13"/>
  <c r="AB58" i="13"/>
  <c r="J58" i="13" s="1"/>
  <c r="BO88" i="13"/>
  <c r="AD88" i="13"/>
  <c r="L88" i="13" s="1"/>
  <c r="X27" i="13"/>
  <c r="BJ60" i="13"/>
  <c r="BS60" i="13" s="1"/>
  <c r="Y60" i="13"/>
  <c r="G60" i="13" s="1"/>
  <c r="BI27" i="13"/>
  <c r="U19" i="13"/>
  <c r="BO77" i="13"/>
  <c r="AD77" i="13"/>
  <c r="L77" i="13" s="1"/>
  <c r="U14" i="13"/>
  <c r="Y85" i="13"/>
  <c r="G85" i="13" s="1"/>
  <c r="X91" i="13"/>
  <c r="F91" i="13" s="1"/>
  <c r="BI91" i="13"/>
  <c r="AR19" i="13"/>
  <c r="AR14" i="13"/>
  <c r="AZ14" i="13" s="1"/>
  <c r="BK83" i="13"/>
  <c r="AA83" i="13" s="1"/>
  <c r="I83" i="13" s="1"/>
  <c r="BJ22" i="13"/>
  <c r="BI23" i="13"/>
  <c r="Y23" i="13" s="1"/>
  <c r="BF9" i="13"/>
  <c r="BJ8" i="13"/>
  <c r="BI13" i="13"/>
  <c r="E6" i="13"/>
  <c r="BH15" i="13"/>
  <c r="BI12" i="13"/>
  <c r="BG11" i="13"/>
  <c r="BI10" i="13"/>
  <c r="BJ7" i="13"/>
  <c r="BS7" i="13" s="1"/>
  <c r="BF14" i="13"/>
  <c r="BG18" i="13"/>
  <c r="E18" i="13" s="1"/>
  <c r="BF19" i="13"/>
  <c r="D19" i="13" s="1"/>
  <c r="BM5" i="13"/>
  <c r="BM17" i="13"/>
  <c r="BM16" i="13"/>
  <c r="L27" i="12"/>
  <c r="M27" i="12"/>
  <c r="N27" i="12"/>
  <c r="O27" i="12"/>
  <c r="P27" i="12"/>
  <c r="K27" i="12"/>
  <c r="D75" i="12"/>
  <c r="E75" i="12"/>
  <c r="F75" i="12"/>
  <c r="G75" i="12"/>
  <c r="H75" i="12"/>
  <c r="I75" i="12"/>
  <c r="J75" i="12"/>
  <c r="K75" i="12"/>
  <c r="L75" i="12"/>
  <c r="M75" i="12"/>
  <c r="N75" i="12"/>
  <c r="C75" i="12"/>
  <c r="D71" i="12"/>
  <c r="E71" i="12"/>
  <c r="F71" i="12"/>
  <c r="G71" i="12"/>
  <c r="H71" i="12"/>
  <c r="I71" i="12"/>
  <c r="J71" i="12"/>
  <c r="K71" i="12"/>
  <c r="L71" i="12"/>
  <c r="M71" i="12"/>
  <c r="N71" i="12"/>
  <c r="C71" i="12"/>
  <c r="O68" i="12"/>
  <c r="O69" i="12"/>
  <c r="O70" i="12"/>
  <c r="O67" i="12"/>
  <c r="D63" i="12"/>
  <c r="E63" i="12"/>
  <c r="F63" i="12"/>
  <c r="G63" i="12"/>
  <c r="H63" i="12"/>
  <c r="I63" i="12"/>
  <c r="J63" i="12"/>
  <c r="K63" i="12"/>
  <c r="L63" i="12"/>
  <c r="M63" i="12"/>
  <c r="N63" i="12"/>
  <c r="C63" i="12"/>
  <c r="O62" i="12"/>
  <c r="O61" i="12"/>
  <c r="O63" i="12" s="1"/>
  <c r="D57" i="12"/>
  <c r="E57" i="12"/>
  <c r="F57" i="12"/>
  <c r="G57" i="12"/>
  <c r="H57" i="12"/>
  <c r="I57" i="12"/>
  <c r="J57" i="12"/>
  <c r="K57" i="12"/>
  <c r="L57" i="12"/>
  <c r="M57" i="12"/>
  <c r="N57" i="12"/>
  <c r="C57" i="12"/>
  <c r="D56" i="12"/>
  <c r="E56" i="12"/>
  <c r="F56" i="12"/>
  <c r="G56" i="12"/>
  <c r="H56" i="12"/>
  <c r="I56" i="12"/>
  <c r="J56" i="12"/>
  <c r="K56" i="12"/>
  <c r="L56" i="12"/>
  <c r="M56" i="12"/>
  <c r="N56" i="12"/>
  <c r="C56" i="12"/>
  <c r="O52" i="12"/>
  <c r="O53" i="12"/>
  <c r="O54" i="12"/>
  <c r="O55" i="12"/>
  <c r="C7" i="18" l="1"/>
  <c r="CP14" i="13"/>
  <c r="AZ19" i="13"/>
  <c r="AR34" i="13"/>
  <c r="AR35" i="13" s="1"/>
  <c r="AR96" i="13" s="1"/>
  <c r="Z96" i="13" s="1"/>
  <c r="H96" i="13" s="1"/>
  <c r="BJ79" i="13"/>
  <c r="Y79" i="13"/>
  <c r="G79" i="13" s="1"/>
  <c r="BK94" i="13"/>
  <c r="Z94" i="13"/>
  <c r="H94" i="13" s="1"/>
  <c r="BJ85" i="13"/>
  <c r="BJ24" i="13" s="1"/>
  <c r="H24" i="13" s="1"/>
  <c r="BH28" i="13"/>
  <c r="F28" i="13" s="1"/>
  <c r="BA19" i="13"/>
  <c r="BR7" i="13"/>
  <c r="BO72" i="13"/>
  <c r="AD72" i="13"/>
  <c r="L72" i="13" s="1"/>
  <c r="BA14" i="13"/>
  <c r="BR57" i="13"/>
  <c r="BS8" i="13"/>
  <c r="BR8" i="13"/>
  <c r="H22" i="13"/>
  <c r="BS22" i="13"/>
  <c r="BS59" i="13"/>
  <c r="BR59" i="13"/>
  <c r="BK67" i="13"/>
  <c r="Z67" i="13"/>
  <c r="H67" i="13" s="1"/>
  <c r="BR60" i="13"/>
  <c r="Z25" i="13"/>
  <c r="BS25" i="13"/>
  <c r="BR22" i="13"/>
  <c r="X61" i="13"/>
  <c r="F61" i="13" s="1"/>
  <c r="F24" i="13"/>
  <c r="AA86" i="13"/>
  <c r="I86" i="13" s="1"/>
  <c r="Y57" i="13"/>
  <c r="G57" i="13" s="1"/>
  <c r="BI61" i="13"/>
  <c r="Y61" i="13" s="1"/>
  <c r="G61" i="13" s="1"/>
  <c r="BI24" i="13"/>
  <c r="G24" i="13" s="1"/>
  <c r="BL86" i="13"/>
  <c r="BM86" i="13" s="1"/>
  <c r="BM25" i="13" s="1"/>
  <c r="H25" i="13"/>
  <c r="Y13" i="13"/>
  <c r="G13" i="13"/>
  <c r="AC16" i="13"/>
  <c r="K16" i="13"/>
  <c r="AC5" i="13"/>
  <c r="K5" i="13"/>
  <c r="X15" i="13"/>
  <c r="F15" i="13"/>
  <c r="AC17" i="13"/>
  <c r="K17" i="13"/>
  <c r="Z8" i="13"/>
  <c r="H8" i="13"/>
  <c r="Y26" i="13"/>
  <c r="G26" i="13"/>
  <c r="Y27" i="13"/>
  <c r="G27" i="13"/>
  <c r="Y10" i="13"/>
  <c r="G10" i="13"/>
  <c r="V14" i="13"/>
  <c r="D14" i="13"/>
  <c r="Z7" i="13"/>
  <c r="H7" i="13"/>
  <c r="AA25" i="13"/>
  <c r="I25" i="13"/>
  <c r="W11" i="13"/>
  <c r="E11" i="13"/>
  <c r="Y12" i="13"/>
  <c r="G12" i="13"/>
  <c r="G23" i="13"/>
  <c r="BN58" i="13"/>
  <c r="AC58" i="13"/>
  <c r="K58" i="13" s="1"/>
  <c r="BK59" i="13"/>
  <c r="Z59" i="13"/>
  <c r="H59" i="13" s="1"/>
  <c r="BJ26" i="13"/>
  <c r="BS26" i="13" s="1"/>
  <c r="BP88" i="13"/>
  <c r="BQ88" i="13" s="1"/>
  <c r="AG88" i="13" s="1"/>
  <c r="O88" i="13" s="1"/>
  <c r="AE88" i="13"/>
  <c r="M88" i="13" s="1"/>
  <c r="BK57" i="13"/>
  <c r="Z57" i="13"/>
  <c r="H57" i="13" s="1"/>
  <c r="BJ61" i="13"/>
  <c r="Z61" i="13" s="1"/>
  <c r="H61" i="13" s="1"/>
  <c r="BK60" i="13"/>
  <c r="Z60" i="13"/>
  <c r="H60" i="13" s="1"/>
  <c r="BJ27" i="13"/>
  <c r="V19" i="13"/>
  <c r="BF34" i="13"/>
  <c r="BP77" i="13"/>
  <c r="AF77" i="13" s="1"/>
  <c r="N77" i="13" s="1"/>
  <c r="AE77" i="13"/>
  <c r="M77" i="13" s="1"/>
  <c r="BG19" i="13"/>
  <c r="E19" i="13" s="1"/>
  <c r="W18" i="13"/>
  <c r="BG14" i="13"/>
  <c r="BG9" i="13"/>
  <c r="W6" i="13"/>
  <c r="BJ23" i="13"/>
  <c r="Z22" i="13"/>
  <c r="BJ91" i="13"/>
  <c r="Y91" i="13"/>
  <c r="G91" i="13" s="1"/>
  <c r="AS19" i="13"/>
  <c r="AS14" i="13"/>
  <c r="AR23" i="13"/>
  <c r="AS23" i="13"/>
  <c r="BL83" i="13"/>
  <c r="AB83" i="13" s="1"/>
  <c r="J83" i="13" s="1"/>
  <c r="BK22" i="13"/>
  <c r="AA8" i="13"/>
  <c r="BJ12" i="13"/>
  <c r="BS12" i="13" s="1"/>
  <c r="BK7" i="13"/>
  <c r="BJ10" i="13"/>
  <c r="BS10" i="13" s="1"/>
  <c r="BJ13" i="13"/>
  <c r="BS13" i="13" s="1"/>
  <c r="BI15" i="13"/>
  <c r="BH6" i="13"/>
  <c r="BH11" i="13"/>
  <c r="BH18" i="13"/>
  <c r="BN5" i="13"/>
  <c r="BN17" i="13"/>
  <c r="BN16" i="13"/>
  <c r="O71" i="12"/>
  <c r="O75" i="12"/>
  <c r="O57" i="12"/>
  <c r="O56" i="12"/>
  <c r="C8" i="18" l="1"/>
  <c r="CP19" i="13"/>
  <c r="K8" i="18"/>
  <c r="Q8" i="18" s="1"/>
  <c r="CQ19" i="13"/>
  <c r="K7" i="18"/>
  <c r="P7" i="18" s="1"/>
  <c r="CQ14" i="13"/>
  <c r="X28" i="13"/>
  <c r="BK85" i="13"/>
  <c r="BL94" i="13"/>
  <c r="AA94" i="13"/>
  <c r="I94" i="13" s="1"/>
  <c r="BK79" i="13"/>
  <c r="Z79" i="13"/>
  <c r="H79" i="13" s="1"/>
  <c r="BR13" i="13"/>
  <c r="BR10" i="13"/>
  <c r="AE72" i="13"/>
  <c r="M72" i="13" s="1"/>
  <c r="BP72" i="13"/>
  <c r="AF72" i="13" s="1"/>
  <c r="N72" i="13" s="1"/>
  <c r="BO11" i="13"/>
  <c r="BR61" i="13"/>
  <c r="AZ23" i="13"/>
  <c r="BA23" i="13"/>
  <c r="BS23" i="13"/>
  <c r="L10" i="18" s="1"/>
  <c r="BR23" i="13"/>
  <c r="D10" i="18" s="1"/>
  <c r="BS61" i="13"/>
  <c r="BR12" i="13"/>
  <c r="BR24" i="13"/>
  <c r="BS24" i="13"/>
  <c r="BL67" i="13"/>
  <c r="AA67" i="13"/>
  <c r="I67" i="13" s="1"/>
  <c r="BS27" i="13"/>
  <c r="BR27" i="13"/>
  <c r="BR26" i="13"/>
  <c r="F18" i="13"/>
  <c r="F6" i="13"/>
  <c r="BI28" i="13"/>
  <c r="Y24" i="13"/>
  <c r="BL25" i="13"/>
  <c r="J25" i="13" s="1"/>
  <c r="AB86" i="13"/>
  <c r="J86" i="13" s="1"/>
  <c r="H23" i="13"/>
  <c r="AC25" i="13"/>
  <c r="K25" i="13"/>
  <c r="AD5" i="13"/>
  <c r="L5" i="13"/>
  <c r="Y15" i="13"/>
  <c r="G15" i="13"/>
  <c r="AA7" i="13"/>
  <c r="I7" i="13"/>
  <c r="AD17" i="13"/>
  <c r="L17" i="13"/>
  <c r="Z27" i="13"/>
  <c r="H27" i="13"/>
  <c r="X11" i="13"/>
  <c r="F11" i="13"/>
  <c r="Z13" i="13"/>
  <c r="H13" i="13"/>
  <c r="Z10" i="13"/>
  <c r="H10" i="13"/>
  <c r="Z26" i="13"/>
  <c r="H26" i="13"/>
  <c r="Z12" i="13"/>
  <c r="H12" i="13"/>
  <c r="AD16" i="13"/>
  <c r="L16" i="13"/>
  <c r="AA22" i="13"/>
  <c r="I22" i="13"/>
  <c r="W14" i="13"/>
  <c r="E14" i="13"/>
  <c r="BO58" i="13"/>
  <c r="AD58" i="13"/>
  <c r="L58" i="13" s="1"/>
  <c r="BL59" i="13"/>
  <c r="BK26" i="13"/>
  <c r="AA59" i="13"/>
  <c r="I59" i="13" s="1"/>
  <c r="AC86" i="13"/>
  <c r="K86" i="13" s="1"/>
  <c r="BN86" i="13"/>
  <c r="Z24" i="13"/>
  <c r="BJ28" i="13"/>
  <c r="BS28" i="13" s="1"/>
  <c r="L11" i="18" s="1"/>
  <c r="N11" i="18" s="1"/>
  <c r="BL60" i="13"/>
  <c r="AA60" i="13"/>
  <c r="I60" i="13" s="1"/>
  <c r="BK27" i="13"/>
  <c r="I27" i="13" s="1"/>
  <c r="BL57" i="13"/>
  <c r="AA57" i="13"/>
  <c r="I57" i="13" s="1"/>
  <c r="BK61" i="13"/>
  <c r="AA61" i="13" s="1"/>
  <c r="I61" i="13" s="1"/>
  <c r="BK24" i="13"/>
  <c r="I24" i="13" s="1"/>
  <c r="AF88" i="13"/>
  <c r="N88" i="13" s="1"/>
  <c r="W19" i="13"/>
  <c r="BG34" i="13"/>
  <c r="BH19" i="13"/>
  <c r="X18" i="13"/>
  <c r="BH9" i="13"/>
  <c r="X6" i="13"/>
  <c r="AA85" i="13"/>
  <c r="I85" i="13" s="1"/>
  <c r="Z85" i="13"/>
  <c r="H85" i="13" s="1"/>
  <c r="Z23" i="13"/>
  <c r="BK91" i="13"/>
  <c r="Z91" i="13"/>
  <c r="H91" i="13" s="1"/>
  <c r="AT19" i="13"/>
  <c r="AT23" i="13"/>
  <c r="AT14" i="13"/>
  <c r="BM83" i="13"/>
  <c r="AC83" i="13" s="1"/>
  <c r="K83" i="13" s="1"/>
  <c r="BL22" i="13"/>
  <c r="J22" i="13" s="1"/>
  <c r="BK23" i="13"/>
  <c r="BL8" i="13"/>
  <c r="BK13" i="13"/>
  <c r="BI18" i="13"/>
  <c r="G18" i="13" s="1"/>
  <c r="G11" i="13"/>
  <c r="BL7" i="13"/>
  <c r="BK12" i="13"/>
  <c r="BH14" i="13"/>
  <c r="BK10" i="13"/>
  <c r="BI6" i="13"/>
  <c r="G6" i="13" s="1"/>
  <c r="BJ15" i="13"/>
  <c r="BS15" i="13" s="1"/>
  <c r="BP5" i="13"/>
  <c r="BR5" i="13" s="1"/>
  <c r="BO5" i="13"/>
  <c r="BO17" i="13"/>
  <c r="BO16" i="13"/>
  <c r="BP16" i="13"/>
  <c r="BQ77" i="13"/>
  <c r="AG77" i="13" s="1"/>
  <c r="O77" i="13" s="1"/>
  <c r="Q24" i="12"/>
  <c r="S24" i="12" s="1"/>
  <c r="Q23" i="12"/>
  <c r="S23" i="12" s="1"/>
  <c r="Q22" i="12"/>
  <c r="S22" i="12" s="1"/>
  <c r="S21" i="12"/>
  <c r="Q15" i="12"/>
  <c r="S15" i="12" s="1"/>
  <c r="Q16" i="12"/>
  <c r="S16" i="12" s="1"/>
  <c r="S17" i="12"/>
  <c r="Q14" i="12"/>
  <c r="S14" i="12" s="1"/>
  <c r="Q5" i="12"/>
  <c r="S5" i="12" s="1"/>
  <c r="S6" i="12"/>
  <c r="S7" i="12"/>
  <c r="Q12" i="12"/>
  <c r="S12" i="12" s="1"/>
  <c r="Q10" i="12"/>
  <c r="S10" i="12" s="1"/>
  <c r="Q9" i="12"/>
  <c r="S9" i="12" s="1"/>
  <c r="C10" i="18" l="1"/>
  <c r="CP23" i="13"/>
  <c r="K10" i="18"/>
  <c r="P10" i="18" s="1"/>
  <c r="CQ23" i="13"/>
  <c r="Q7" i="18"/>
  <c r="P8" i="18"/>
  <c r="BL79" i="13"/>
  <c r="AA79" i="13"/>
  <c r="I79" i="13" s="1"/>
  <c r="BM94" i="13"/>
  <c r="AB94" i="13"/>
  <c r="J94" i="13" s="1"/>
  <c r="BL85" i="13"/>
  <c r="BL24" i="13" s="1"/>
  <c r="J24" i="13" s="1"/>
  <c r="Y28" i="13"/>
  <c r="BR28" i="13"/>
  <c r="D11" i="18" s="1"/>
  <c r="O11" i="18"/>
  <c r="L12" i="18"/>
  <c r="BM67" i="13"/>
  <c r="AB67" i="13"/>
  <c r="J67" i="13" s="1"/>
  <c r="BR15" i="13"/>
  <c r="F14" i="13"/>
  <c r="F19" i="13"/>
  <c r="AB25" i="13"/>
  <c r="G28" i="13"/>
  <c r="AA13" i="13"/>
  <c r="I13" i="13"/>
  <c r="AE5" i="13"/>
  <c r="M5" i="13"/>
  <c r="AE17" i="13"/>
  <c r="M17" i="13"/>
  <c r="AF16" i="13"/>
  <c r="N16" i="13"/>
  <c r="AE16" i="13"/>
  <c r="M16" i="13"/>
  <c r="AF5" i="13"/>
  <c r="N5" i="13"/>
  <c r="Z15" i="13"/>
  <c r="H15" i="13"/>
  <c r="Z28" i="13"/>
  <c r="H28" i="13"/>
  <c r="AA10" i="13"/>
  <c r="I10" i="13"/>
  <c r="AA12" i="13"/>
  <c r="I12" i="13"/>
  <c r="AB7" i="13"/>
  <c r="J7" i="13"/>
  <c r="AA26" i="13"/>
  <c r="I26" i="13"/>
  <c r="AB8" i="13"/>
  <c r="J8" i="13"/>
  <c r="AA23" i="13"/>
  <c r="I23" i="13"/>
  <c r="AD86" i="13"/>
  <c r="L86" i="13" s="1"/>
  <c r="BN25" i="13"/>
  <c r="BO86" i="13"/>
  <c r="BM59" i="13"/>
  <c r="BL26" i="13"/>
  <c r="J26" i="13" s="1"/>
  <c r="AB59" i="13"/>
  <c r="J59" i="13" s="1"/>
  <c r="BP58" i="13"/>
  <c r="AE58" i="13"/>
  <c r="M58" i="13" s="1"/>
  <c r="AA24" i="13"/>
  <c r="BK28" i="13"/>
  <c r="AA27" i="13"/>
  <c r="BM57" i="13"/>
  <c r="AB57" i="13"/>
  <c r="J57" i="13" s="1"/>
  <c r="BL61" i="13"/>
  <c r="AB61" i="13" s="1"/>
  <c r="J61" i="13" s="1"/>
  <c r="BM60" i="13"/>
  <c r="AB60" i="13"/>
  <c r="J60" i="13" s="1"/>
  <c r="BL27" i="13"/>
  <c r="X19" i="13"/>
  <c r="BH34" i="13"/>
  <c r="BI9" i="13"/>
  <c r="Y6" i="13"/>
  <c r="X14" i="13"/>
  <c r="BI14" i="13"/>
  <c r="Y11" i="13"/>
  <c r="BI19" i="13"/>
  <c r="G19" i="13" s="1"/>
  <c r="Y18" i="13"/>
  <c r="AB22" i="13"/>
  <c r="BL91" i="13"/>
  <c r="AA91" i="13"/>
  <c r="I91" i="13" s="1"/>
  <c r="Q27" i="12"/>
  <c r="S27" i="12" s="1"/>
  <c r="S19" i="12"/>
  <c r="AU14" i="13"/>
  <c r="AU19" i="13"/>
  <c r="BN83" i="13"/>
  <c r="AD83" i="13" s="1"/>
  <c r="L83" i="13" s="1"/>
  <c r="BM22" i="13"/>
  <c r="BM8" i="13"/>
  <c r="BQ16" i="13"/>
  <c r="AA15" i="13"/>
  <c r="BJ11" i="13"/>
  <c r="BJ6" i="13"/>
  <c r="BL10" i="13"/>
  <c r="BM7" i="13"/>
  <c r="BJ18" i="13"/>
  <c r="BL13" i="13"/>
  <c r="BL12" i="13"/>
  <c r="BQ5" i="13"/>
  <c r="BP17" i="13"/>
  <c r="N17" i="13" s="1"/>
  <c r="BQ78" i="13"/>
  <c r="AG78" i="13" s="1"/>
  <c r="O78" i="13" s="1"/>
  <c r="Q25" i="12"/>
  <c r="S25" i="12" s="1"/>
  <c r="K12" i="18" l="1"/>
  <c r="O10" i="18"/>
  <c r="Q10" i="18"/>
  <c r="N10" i="18"/>
  <c r="AB85" i="13"/>
  <c r="J85" i="13" s="1"/>
  <c r="BM85" i="13"/>
  <c r="BN94" i="13"/>
  <c r="AC94" i="13"/>
  <c r="K94" i="13" s="1"/>
  <c r="BM79" i="13"/>
  <c r="AB79" i="13"/>
  <c r="J79" i="13" s="1"/>
  <c r="H6" i="13"/>
  <c r="BS6" i="13"/>
  <c r="BR6" i="13"/>
  <c r="H18" i="13"/>
  <c r="BS18" i="13"/>
  <c r="Q12" i="18"/>
  <c r="N12" i="18"/>
  <c r="O12" i="18"/>
  <c r="P12" i="18"/>
  <c r="BN67" i="13"/>
  <c r="AC67" i="13"/>
  <c r="K67" i="13" s="1"/>
  <c r="H11" i="13"/>
  <c r="BR11" i="13"/>
  <c r="BS11" i="13"/>
  <c r="G11" i="18"/>
  <c r="D12" i="18"/>
  <c r="F11" i="18"/>
  <c r="AB27" i="13"/>
  <c r="J27" i="13"/>
  <c r="AA28" i="13"/>
  <c r="I28" i="13"/>
  <c r="AC8" i="13"/>
  <c r="K8" i="13"/>
  <c r="AC22" i="13"/>
  <c r="K22" i="13"/>
  <c r="AB13" i="13"/>
  <c r="J13" i="13"/>
  <c r="AG16" i="13"/>
  <c r="O16" i="13"/>
  <c r="AB12" i="13"/>
  <c r="J12" i="13"/>
  <c r="AD25" i="13"/>
  <c r="L25" i="13"/>
  <c r="Y14" i="13"/>
  <c r="G14" i="13"/>
  <c r="AC7" i="13"/>
  <c r="K7" i="13"/>
  <c r="AB10" i="13"/>
  <c r="J10" i="13"/>
  <c r="BQ58" i="13"/>
  <c r="AG58" i="13" s="1"/>
  <c r="O58" i="13" s="1"/>
  <c r="AF58" i="13"/>
  <c r="N58" i="13" s="1"/>
  <c r="AB26" i="13"/>
  <c r="BN59" i="13"/>
  <c r="BM26" i="13"/>
  <c r="AC59" i="13"/>
  <c r="K59" i="13" s="1"/>
  <c r="BO25" i="13"/>
  <c r="BP86" i="13"/>
  <c r="BP25" i="13" s="1"/>
  <c r="AE86" i="13"/>
  <c r="M86" i="13" s="1"/>
  <c r="BN57" i="13"/>
  <c r="AC57" i="13"/>
  <c r="K57" i="13" s="1"/>
  <c r="BM61" i="13"/>
  <c r="AC61" i="13" s="1"/>
  <c r="K61" i="13" s="1"/>
  <c r="AB24" i="13"/>
  <c r="BL28" i="13"/>
  <c r="BN60" i="13"/>
  <c r="AC60" i="13"/>
  <c r="K60" i="13" s="1"/>
  <c r="BM27" i="13"/>
  <c r="K27" i="13" s="1"/>
  <c r="Y19" i="13"/>
  <c r="BI34" i="13"/>
  <c r="BQ17" i="13"/>
  <c r="AF17" i="13"/>
  <c r="BJ19" i="13"/>
  <c r="Z18" i="13"/>
  <c r="BJ9" i="13"/>
  <c r="BS9" i="13" s="1"/>
  <c r="L6" i="18" s="1"/>
  <c r="Z6" i="13"/>
  <c r="BJ14" i="13"/>
  <c r="Z11" i="13"/>
  <c r="BM91" i="13"/>
  <c r="AB91" i="13"/>
  <c r="J91" i="13" s="1"/>
  <c r="AV14" i="13"/>
  <c r="AV19" i="13"/>
  <c r="AU23" i="13"/>
  <c r="BO83" i="13"/>
  <c r="AE83" i="13" s="1"/>
  <c r="M83" i="13" s="1"/>
  <c r="BN22" i="13"/>
  <c r="L22" i="13" s="1"/>
  <c r="BN8" i="13"/>
  <c r="BN7" i="13"/>
  <c r="BM10" i="13"/>
  <c r="BM12" i="13"/>
  <c r="BM13" i="13"/>
  <c r="BK6" i="13"/>
  <c r="I6" i="13" s="1"/>
  <c r="BK11" i="13"/>
  <c r="I11" i="13" s="1"/>
  <c r="BL15" i="13"/>
  <c r="BK18" i="13"/>
  <c r="I18" i="13" s="1"/>
  <c r="D36" i="12"/>
  <c r="D37" i="12"/>
  <c r="D38" i="12"/>
  <c r="F37" i="2"/>
  <c r="F35" i="1"/>
  <c r="C39" i="12"/>
  <c r="BN79" i="13" l="1"/>
  <c r="AC79" i="13"/>
  <c r="K79" i="13" s="1"/>
  <c r="BO94" i="13"/>
  <c r="AD94" i="13"/>
  <c r="L94" i="13" s="1"/>
  <c r="BN85" i="13"/>
  <c r="BR14" i="13"/>
  <c r="D7" i="18" s="1"/>
  <c r="BS14" i="13"/>
  <c r="L7" i="18" s="1"/>
  <c r="BO67" i="13"/>
  <c r="AD67" i="13"/>
  <c r="L67" i="13" s="1"/>
  <c r="H19" i="13"/>
  <c r="BS19" i="13"/>
  <c r="L8" i="18" s="1"/>
  <c r="BR19" i="13"/>
  <c r="D8" i="18" s="1"/>
  <c r="AF25" i="13"/>
  <c r="N25" i="13"/>
  <c r="Z14" i="13"/>
  <c r="H14" i="13"/>
  <c r="AC10" i="13"/>
  <c r="K10" i="13"/>
  <c r="AC26" i="13"/>
  <c r="K26" i="13"/>
  <c r="AC12" i="13"/>
  <c r="K12" i="13"/>
  <c r="AD7" i="13"/>
  <c r="L7" i="13"/>
  <c r="AG17" i="13"/>
  <c r="O17" i="13"/>
  <c r="AB15" i="13"/>
  <c r="J15" i="13"/>
  <c r="AE25" i="13"/>
  <c r="M25" i="13"/>
  <c r="AC13" i="13"/>
  <c r="K13" i="13"/>
  <c r="AB28" i="13"/>
  <c r="J28" i="13"/>
  <c r="AD8" i="13"/>
  <c r="L8" i="13"/>
  <c r="AF86" i="13"/>
  <c r="N86" i="13" s="1"/>
  <c r="BQ86" i="13"/>
  <c r="AG86" i="13" s="1"/>
  <c r="O86" i="13" s="1"/>
  <c r="BO59" i="13"/>
  <c r="BN26" i="13"/>
  <c r="AD59" i="13"/>
  <c r="L59" i="13" s="1"/>
  <c r="BQ25" i="13"/>
  <c r="O25" i="13" s="1"/>
  <c r="AC27" i="13"/>
  <c r="BO60" i="13"/>
  <c r="AD60" i="13"/>
  <c r="L60" i="13" s="1"/>
  <c r="BN27" i="13"/>
  <c r="BM28" i="13"/>
  <c r="AC24" i="13"/>
  <c r="BO57" i="13"/>
  <c r="AD57" i="13"/>
  <c r="L57" i="13" s="1"/>
  <c r="BN61" i="13"/>
  <c r="AD61" i="13" s="1"/>
  <c r="L61" i="13" s="1"/>
  <c r="Z19" i="13"/>
  <c r="BS34" i="13"/>
  <c r="BK19" i="13"/>
  <c r="I19" i="13" s="1"/>
  <c r="AA18" i="13"/>
  <c r="BK14" i="13"/>
  <c r="AA11" i="13"/>
  <c r="BK9" i="13"/>
  <c r="AA6" i="13"/>
  <c r="AD22" i="13"/>
  <c r="AC85" i="13"/>
  <c r="K85" i="13" s="1"/>
  <c r="BN91" i="13"/>
  <c r="AC91" i="13"/>
  <c r="K91" i="13" s="1"/>
  <c r="AW14" i="13"/>
  <c r="AX14" i="13"/>
  <c r="AV23" i="13"/>
  <c r="AX19" i="13"/>
  <c r="AW19" i="13"/>
  <c r="BP83" i="13"/>
  <c r="AF83" i="13" s="1"/>
  <c r="N83" i="13" s="1"/>
  <c r="BO22" i="13"/>
  <c r="M22" i="13" s="1"/>
  <c r="BO8" i="13"/>
  <c r="BP8" i="13"/>
  <c r="BQ69" i="13"/>
  <c r="AG69" i="13" s="1"/>
  <c r="O69" i="13" s="1"/>
  <c r="BM15" i="13"/>
  <c r="BN13" i="13"/>
  <c r="BL6" i="13"/>
  <c r="J6" i="13" s="1"/>
  <c r="BL18" i="13"/>
  <c r="J18" i="13" s="1"/>
  <c r="BN12" i="13"/>
  <c r="BN10" i="13"/>
  <c r="BL11" i="13"/>
  <c r="J11" i="13" s="1"/>
  <c r="BO7" i="13"/>
  <c r="D39" i="12"/>
  <c r="BO85" i="13" l="1"/>
  <c r="BP94" i="13"/>
  <c r="AF94" i="13" s="1"/>
  <c r="N94" i="13" s="1"/>
  <c r="AE94" i="13"/>
  <c r="M94" i="13" s="1"/>
  <c r="BQ94" i="13"/>
  <c r="AG94" i="13" s="1"/>
  <c r="O94" i="13" s="1"/>
  <c r="BO79" i="13"/>
  <c r="AD79" i="13"/>
  <c r="L79" i="13" s="1"/>
  <c r="BU25" i="13"/>
  <c r="O8" i="18"/>
  <c r="N8" i="18"/>
  <c r="AG25" i="13"/>
  <c r="BP67" i="13"/>
  <c r="AE67" i="13"/>
  <c r="M67" i="13" s="1"/>
  <c r="N7" i="18"/>
  <c r="O7" i="18"/>
  <c r="L9" i="18"/>
  <c r="L19" i="18" s="1"/>
  <c r="AF8" i="13"/>
  <c r="N8" i="13"/>
  <c r="AD13" i="13"/>
  <c r="L13" i="13"/>
  <c r="AC15" i="13"/>
  <c r="K15" i="13"/>
  <c r="AD26" i="13"/>
  <c r="L26" i="13"/>
  <c r="AE8" i="13"/>
  <c r="M8" i="13"/>
  <c r="AE7" i="13"/>
  <c r="M7" i="13"/>
  <c r="AC28" i="13"/>
  <c r="K28" i="13"/>
  <c r="AD10" i="13"/>
  <c r="L10" i="13"/>
  <c r="AD27" i="13"/>
  <c r="L27" i="13"/>
  <c r="AD12" i="13"/>
  <c r="L12" i="13"/>
  <c r="AA14" i="13"/>
  <c r="I14" i="13"/>
  <c r="BP59" i="13"/>
  <c r="BO26" i="13"/>
  <c r="AE59" i="13"/>
  <c r="M59" i="13" s="1"/>
  <c r="BP57" i="13"/>
  <c r="AE57" i="13"/>
  <c r="M57" i="13" s="1"/>
  <c r="BO61" i="13"/>
  <c r="AE61" i="13" s="1"/>
  <c r="M61" i="13" s="1"/>
  <c r="BP60" i="13"/>
  <c r="AE60" i="13"/>
  <c r="M60" i="13" s="1"/>
  <c r="BO27" i="13"/>
  <c r="AD24" i="13"/>
  <c r="BN28" i="13"/>
  <c r="AA19" i="13"/>
  <c r="BK34" i="13"/>
  <c r="BL14" i="13"/>
  <c r="AB11" i="13"/>
  <c r="BL19" i="13"/>
  <c r="J19" i="13" s="1"/>
  <c r="AB18" i="13"/>
  <c r="BL9" i="13"/>
  <c r="AB6" i="13"/>
  <c r="AE22" i="13"/>
  <c r="AD85" i="13"/>
  <c r="L85" i="13" s="1"/>
  <c r="AY14" i="13"/>
  <c r="BO91" i="13"/>
  <c r="AD91" i="13"/>
  <c r="L91" i="13" s="1"/>
  <c r="AY19" i="13"/>
  <c r="AY82" i="13"/>
  <c r="AG82" i="13" s="1"/>
  <c r="O82" i="13" s="1"/>
  <c r="AY22" i="13"/>
  <c r="AY83" i="13"/>
  <c r="AW23" i="13"/>
  <c r="BP22" i="13"/>
  <c r="BQ83" i="13"/>
  <c r="BQ8" i="13"/>
  <c r="BP7" i="13"/>
  <c r="N7" i="13" s="1"/>
  <c r="BQ68" i="13"/>
  <c r="AG68" i="13" s="1"/>
  <c r="O68" i="13" s="1"/>
  <c r="BO12" i="13"/>
  <c r="BP12" i="13"/>
  <c r="BM11" i="13"/>
  <c r="K11" i="13" s="1"/>
  <c r="BM18" i="13"/>
  <c r="K18" i="13" s="1"/>
  <c r="BQ73" i="13"/>
  <c r="AG73" i="13" s="1"/>
  <c r="O73" i="13" s="1"/>
  <c r="BM6" i="13"/>
  <c r="K6" i="13" s="1"/>
  <c r="BP13" i="13"/>
  <c r="BO13" i="13"/>
  <c r="BQ74" i="13"/>
  <c r="AG74" i="13" s="1"/>
  <c r="O74" i="13" s="1"/>
  <c r="BO10" i="13"/>
  <c r="BN15" i="13"/>
  <c r="D17" i="12"/>
  <c r="D15" i="12"/>
  <c r="D10" i="12"/>
  <c r="D5" i="12"/>
  <c r="G16" i="3"/>
  <c r="BP79" i="13" l="1"/>
  <c r="AE79" i="13"/>
  <c r="M79" i="13" s="1"/>
  <c r="BP85" i="13"/>
  <c r="BP6" i="13"/>
  <c r="AF67" i="13"/>
  <c r="N67" i="13" s="1"/>
  <c r="H8" i="18"/>
  <c r="I8" i="18"/>
  <c r="G8" i="18"/>
  <c r="F8" i="18"/>
  <c r="G7" i="18"/>
  <c r="F7" i="18"/>
  <c r="H7" i="18"/>
  <c r="I7" i="18"/>
  <c r="AE27" i="13"/>
  <c r="M27" i="13"/>
  <c r="AE10" i="13"/>
  <c r="M10" i="13"/>
  <c r="BQ22" i="13"/>
  <c r="AG22" i="13" s="1"/>
  <c r="N22" i="13"/>
  <c r="AE13" i="13"/>
  <c r="M13" i="13"/>
  <c r="AF13" i="13"/>
  <c r="N13" i="13"/>
  <c r="AG8" i="13"/>
  <c r="O8" i="13"/>
  <c r="AE12" i="13"/>
  <c r="M12" i="13"/>
  <c r="AF12" i="13"/>
  <c r="N12" i="13"/>
  <c r="AB14" i="13"/>
  <c r="J14" i="13"/>
  <c r="AE26" i="13"/>
  <c r="M26" i="13"/>
  <c r="AD15" i="13"/>
  <c r="L15" i="13"/>
  <c r="AD28" i="13"/>
  <c r="L28" i="13"/>
  <c r="BQ59" i="13"/>
  <c r="AG59" i="13" s="1"/>
  <c r="O59" i="13" s="1"/>
  <c r="BP26" i="13"/>
  <c r="N26" i="13" s="1"/>
  <c r="AF59" i="13"/>
  <c r="N59" i="13" s="1"/>
  <c r="AF60" i="13"/>
  <c r="N60" i="13" s="1"/>
  <c r="BQ60" i="13"/>
  <c r="AG60" i="13" s="1"/>
  <c r="O60" i="13" s="1"/>
  <c r="BP27" i="13"/>
  <c r="N27" i="13" s="1"/>
  <c r="BO28" i="13"/>
  <c r="AE24" i="13"/>
  <c r="AF57" i="13"/>
  <c r="N57" i="13" s="1"/>
  <c r="BQ57" i="13"/>
  <c r="AG57" i="13" s="1"/>
  <c r="O57" i="13" s="1"/>
  <c r="BP61" i="13"/>
  <c r="BQ24" i="13"/>
  <c r="O24" i="13" s="1"/>
  <c r="AB19" i="13"/>
  <c r="BM9" i="13"/>
  <c r="AC6" i="13"/>
  <c r="BM19" i="13"/>
  <c r="K19" i="13" s="1"/>
  <c r="AC18" i="13"/>
  <c r="BM14" i="13"/>
  <c r="AC11" i="13"/>
  <c r="BQ7" i="13"/>
  <c r="AF7" i="13"/>
  <c r="AF22" i="13"/>
  <c r="AE85" i="13"/>
  <c r="M85" i="13" s="1"/>
  <c r="AG83" i="13"/>
  <c r="O83" i="13" s="1"/>
  <c r="BP91" i="13"/>
  <c r="AE91" i="13"/>
  <c r="M91" i="13" s="1"/>
  <c r="AX23" i="13"/>
  <c r="AY21" i="13"/>
  <c r="BQ12" i="13"/>
  <c r="BO15" i="13"/>
  <c r="BP15" i="13"/>
  <c r="BQ76" i="13"/>
  <c r="AG76" i="13" s="1"/>
  <c r="O76" i="13" s="1"/>
  <c r="BN18" i="13"/>
  <c r="L18" i="13" s="1"/>
  <c r="BP10" i="13"/>
  <c r="BQ71" i="13"/>
  <c r="AG71" i="13" s="1"/>
  <c r="O71" i="13" s="1"/>
  <c r="BN11" i="13"/>
  <c r="L11" i="13" s="1"/>
  <c r="BQ13" i="13"/>
  <c r="BN6" i="13"/>
  <c r="L6" i="13" s="1"/>
  <c r="BQ85" i="13" l="1"/>
  <c r="AG85" i="13" s="1"/>
  <c r="O85" i="13" s="1"/>
  <c r="AF91" i="13"/>
  <c r="N91" i="13" s="1"/>
  <c r="AF79" i="13"/>
  <c r="N79" i="13" s="1"/>
  <c r="BQ91" i="13"/>
  <c r="AG91" i="13" s="1"/>
  <c r="O91" i="13" s="1"/>
  <c r="O22" i="13"/>
  <c r="AC14" i="13"/>
  <c r="K14" i="13"/>
  <c r="AF15" i="13"/>
  <c r="N15" i="13"/>
  <c r="AF10" i="13"/>
  <c r="N10" i="13"/>
  <c r="AE15" i="13"/>
  <c r="M15" i="13"/>
  <c r="AG13" i="13"/>
  <c r="O13" i="13"/>
  <c r="AG12" i="13"/>
  <c r="O12" i="13"/>
  <c r="AE28" i="13"/>
  <c r="M28" i="13"/>
  <c r="AG21" i="13"/>
  <c r="O21" i="13"/>
  <c r="AG7" i="13"/>
  <c r="O7" i="13"/>
  <c r="AF26" i="13"/>
  <c r="BQ26" i="13"/>
  <c r="O26" i="13" s="1"/>
  <c r="BU24" i="13"/>
  <c r="AG24" i="13"/>
  <c r="AF24" i="13"/>
  <c r="BP28" i="13"/>
  <c r="N28" i="13" s="1"/>
  <c r="AF27" i="13"/>
  <c r="BQ27" i="13"/>
  <c r="O27" i="13" s="1"/>
  <c r="BQ61" i="13"/>
  <c r="AG61" i="13" s="1"/>
  <c r="O61" i="13" s="1"/>
  <c r="AF61" i="13"/>
  <c r="N61" i="13" s="1"/>
  <c r="AC19" i="13"/>
  <c r="BN9" i="13"/>
  <c r="AD6" i="13"/>
  <c r="BN14" i="13"/>
  <c r="AD11" i="13"/>
  <c r="BN19" i="13"/>
  <c r="L19" i="13" s="1"/>
  <c r="AD18" i="13"/>
  <c r="AY23" i="13"/>
  <c r="AF85" i="13"/>
  <c r="N85" i="13" s="1"/>
  <c r="M11" i="13"/>
  <c r="BQ10" i="13"/>
  <c r="BO18" i="13"/>
  <c r="BO6" i="13"/>
  <c r="BQ6" i="13" s="1"/>
  <c r="BQ15" i="13"/>
  <c r="G8" i="12"/>
  <c r="H8" i="12"/>
  <c r="I8" i="12"/>
  <c r="J8" i="12"/>
  <c r="K8" i="12"/>
  <c r="L8" i="12"/>
  <c r="M8" i="12"/>
  <c r="N8" i="12"/>
  <c r="O8" i="12"/>
  <c r="P8" i="12"/>
  <c r="F8" i="12"/>
  <c r="E8" i="12"/>
  <c r="G18" i="12"/>
  <c r="H18" i="12"/>
  <c r="I18" i="12"/>
  <c r="J18" i="12"/>
  <c r="K18" i="12"/>
  <c r="L18" i="12"/>
  <c r="M18" i="12"/>
  <c r="N18" i="12"/>
  <c r="O18" i="12"/>
  <c r="P18" i="12"/>
  <c r="F18" i="12"/>
  <c r="E18" i="12"/>
  <c r="G13" i="12"/>
  <c r="H13" i="12"/>
  <c r="I13" i="12"/>
  <c r="J13" i="12"/>
  <c r="L13" i="12"/>
  <c r="M13" i="12"/>
  <c r="N13" i="12"/>
  <c r="O13" i="12"/>
  <c r="P13" i="12"/>
  <c r="F13" i="12"/>
  <c r="E13" i="12"/>
  <c r="E6" i="3"/>
  <c r="F6" i="3"/>
  <c r="F18" i="3"/>
  <c r="E12" i="2"/>
  <c r="D84" i="12"/>
  <c r="E84" i="12"/>
  <c r="F84" i="12"/>
  <c r="G84" i="12"/>
  <c r="H84" i="12"/>
  <c r="I84" i="12"/>
  <c r="J84" i="12"/>
  <c r="K84" i="12"/>
  <c r="L84" i="12"/>
  <c r="M84" i="12"/>
  <c r="N84" i="12"/>
  <c r="C84" i="12"/>
  <c r="H10" i="18" l="1"/>
  <c r="C12" i="18"/>
  <c r="F10" i="18"/>
  <c r="I10" i="18"/>
  <c r="G10" i="18"/>
  <c r="AD14" i="13"/>
  <c r="L14" i="13"/>
  <c r="AG10" i="13"/>
  <c r="O10" i="13"/>
  <c r="AE6" i="13"/>
  <c r="M6" i="13"/>
  <c r="AE18" i="13"/>
  <c r="M18" i="13"/>
  <c r="AG15" i="13"/>
  <c r="O15" i="13"/>
  <c r="AG26" i="13"/>
  <c r="BU26" i="13"/>
  <c r="AF28" i="13"/>
  <c r="BQ28" i="13"/>
  <c r="O28" i="13" s="1"/>
  <c r="BU27" i="13"/>
  <c r="AG27" i="13"/>
  <c r="BO19" i="13"/>
  <c r="M19" i="13" s="1"/>
  <c r="AD19" i="13"/>
  <c r="BO14" i="13"/>
  <c r="AE11" i="13"/>
  <c r="E28" i="12"/>
  <c r="Q8" i="12"/>
  <c r="BO9" i="13"/>
  <c r="N6" i="13"/>
  <c r="BQ67" i="13"/>
  <c r="AG67" i="13" s="1"/>
  <c r="O67" i="13" s="1"/>
  <c r="BP18" i="13"/>
  <c r="BR18" i="13" s="1"/>
  <c r="BQ79" i="13"/>
  <c r="AG79" i="13" s="1"/>
  <c r="O79" i="13" s="1"/>
  <c r="BP11" i="13"/>
  <c r="BQ72" i="13"/>
  <c r="AG72" i="13" s="1"/>
  <c r="O72" i="13" s="1"/>
  <c r="L28" i="12"/>
  <c r="S18" i="12"/>
  <c r="P28" i="12"/>
  <c r="M28" i="12"/>
  <c r="K28" i="12"/>
  <c r="Q13" i="12"/>
  <c r="S13" i="12" s="1"/>
  <c r="S8" i="12"/>
  <c r="O28" i="12"/>
  <c r="O84" i="12"/>
  <c r="J28" i="12"/>
  <c r="G28" i="12"/>
  <c r="H28" i="12"/>
  <c r="I28" i="12"/>
  <c r="F28" i="12"/>
  <c r="N28" i="12"/>
  <c r="H12" i="18" l="1"/>
  <c r="I12" i="18"/>
  <c r="F12" i="18"/>
  <c r="G12" i="18"/>
  <c r="AE19" i="13"/>
  <c r="AE14" i="13"/>
  <c r="M14" i="13"/>
  <c r="AF11" i="13"/>
  <c r="N11" i="13"/>
  <c r="AF18" i="13"/>
  <c r="N18" i="13"/>
  <c r="AG28" i="13"/>
  <c r="BU28" i="13"/>
  <c r="BP9" i="13"/>
  <c r="AF6" i="13"/>
  <c r="BQ11" i="13"/>
  <c r="BP14" i="13"/>
  <c r="N14" i="13" s="1"/>
  <c r="BQ18" i="13"/>
  <c r="BP19" i="13"/>
  <c r="Q28" i="12"/>
  <c r="S28" i="12" s="1"/>
  <c r="O81" i="12"/>
  <c r="O82" i="12"/>
  <c r="O83" i="12"/>
  <c r="O85" i="12"/>
  <c r="O80" i="12"/>
  <c r="BQ9" i="13" l="1"/>
  <c r="BR9" i="13"/>
  <c r="D6" i="18" s="1"/>
  <c r="AG6" i="13"/>
  <c r="O6" i="13"/>
  <c r="AG11" i="13"/>
  <c r="O11" i="13"/>
  <c r="N19" i="13"/>
  <c r="AG18" i="13"/>
  <c r="O18" i="13"/>
  <c r="BQ19" i="13"/>
  <c r="O19" i="13" s="1"/>
  <c r="AF19" i="13"/>
  <c r="BQ14" i="13"/>
  <c r="AF14" i="13"/>
  <c r="E102" i="7"/>
  <c r="F102" i="7"/>
  <c r="G102" i="7"/>
  <c r="M102" i="7"/>
  <c r="E103" i="7"/>
  <c r="F103" i="7"/>
  <c r="G103" i="7"/>
  <c r="H103" i="7"/>
  <c r="I103" i="7"/>
  <c r="J103" i="7"/>
  <c r="K103" i="7"/>
  <c r="L103" i="7"/>
  <c r="M103" i="7"/>
  <c r="N103" i="7"/>
  <c r="E105" i="7"/>
  <c r="F105" i="7"/>
  <c r="G105" i="7"/>
  <c r="H105" i="7"/>
  <c r="I105" i="7"/>
  <c r="J105" i="7"/>
  <c r="K105" i="7"/>
  <c r="L105" i="7"/>
  <c r="M105" i="7"/>
  <c r="N105" i="7"/>
  <c r="E106" i="7"/>
  <c r="F106" i="7"/>
  <c r="G106" i="7"/>
  <c r="H106" i="7"/>
  <c r="I106" i="7"/>
  <c r="J106" i="7"/>
  <c r="K106" i="7"/>
  <c r="L106" i="7"/>
  <c r="M106" i="7"/>
  <c r="N106" i="7"/>
  <c r="E107" i="7"/>
  <c r="F107" i="7"/>
  <c r="G107" i="7"/>
  <c r="H107" i="7"/>
  <c r="I107" i="7"/>
  <c r="J107" i="7"/>
  <c r="K107" i="7"/>
  <c r="L107" i="7"/>
  <c r="M107" i="7"/>
  <c r="N107" i="7"/>
  <c r="E108" i="7"/>
  <c r="F108" i="7"/>
  <c r="G108" i="7"/>
  <c r="H108" i="7"/>
  <c r="I108" i="7"/>
  <c r="J108" i="7"/>
  <c r="K108" i="7"/>
  <c r="L108" i="7"/>
  <c r="M108" i="7"/>
  <c r="N108" i="7"/>
  <c r="E109" i="7"/>
  <c r="F109" i="7"/>
  <c r="G109" i="7"/>
  <c r="H109" i="7"/>
  <c r="I109" i="7"/>
  <c r="J109" i="7"/>
  <c r="K109" i="7"/>
  <c r="L109" i="7"/>
  <c r="M109" i="7"/>
  <c r="N109" i="7"/>
  <c r="D109" i="7"/>
  <c r="D108" i="7"/>
  <c r="D107" i="7"/>
  <c r="D106" i="7"/>
  <c r="D105" i="7"/>
  <c r="D104" i="7"/>
  <c r="D103" i="7"/>
  <c r="D102" i="7"/>
  <c r="E90" i="6"/>
  <c r="E87" i="6"/>
  <c r="F78" i="6"/>
  <c r="E78" i="6" s="1"/>
  <c r="F6" i="6"/>
  <c r="G6" i="6"/>
  <c r="H6" i="6"/>
  <c r="I6" i="6"/>
  <c r="H102" i="7" s="1"/>
  <c r="J6" i="6"/>
  <c r="I102" i="7" s="1"/>
  <c r="K6" i="6"/>
  <c r="J102" i="7" s="1"/>
  <c r="L6" i="6"/>
  <c r="K102" i="7" s="1"/>
  <c r="M6" i="6"/>
  <c r="L102" i="7" s="1"/>
  <c r="N6" i="6"/>
  <c r="O6" i="6"/>
  <c r="N102" i="7" s="1"/>
  <c r="F7" i="6"/>
  <c r="G7" i="6"/>
  <c r="H7" i="6"/>
  <c r="I7" i="6"/>
  <c r="J7" i="6"/>
  <c r="K7" i="6"/>
  <c r="L7" i="6"/>
  <c r="M7" i="6"/>
  <c r="N7" i="6"/>
  <c r="O7" i="6"/>
  <c r="F9" i="6"/>
  <c r="G9" i="6"/>
  <c r="H9" i="6"/>
  <c r="I9" i="6"/>
  <c r="J9" i="6"/>
  <c r="K9" i="6"/>
  <c r="L9" i="6"/>
  <c r="M9" i="6"/>
  <c r="N9" i="6"/>
  <c r="O9" i="6"/>
  <c r="F10" i="6"/>
  <c r="G10" i="6"/>
  <c r="H10" i="6"/>
  <c r="I10" i="6"/>
  <c r="J10" i="6"/>
  <c r="K10" i="6"/>
  <c r="L10" i="6"/>
  <c r="M10" i="6"/>
  <c r="N10" i="6"/>
  <c r="O10" i="6"/>
  <c r="F11" i="6"/>
  <c r="G11" i="6"/>
  <c r="H11" i="6"/>
  <c r="I11" i="6"/>
  <c r="J11" i="6"/>
  <c r="K11" i="6"/>
  <c r="L11" i="6"/>
  <c r="M11" i="6"/>
  <c r="N11" i="6"/>
  <c r="O11" i="6"/>
  <c r="F12" i="6"/>
  <c r="G12" i="6"/>
  <c r="H12" i="6"/>
  <c r="I12" i="6"/>
  <c r="J12" i="6"/>
  <c r="K12" i="6"/>
  <c r="L12" i="6"/>
  <c r="M12" i="6"/>
  <c r="N12" i="6"/>
  <c r="O12" i="6"/>
  <c r="F13" i="6"/>
  <c r="G13" i="6"/>
  <c r="H13" i="6"/>
  <c r="I13" i="6"/>
  <c r="J13" i="6"/>
  <c r="K13" i="6"/>
  <c r="L13" i="6"/>
  <c r="M13" i="6"/>
  <c r="N13" i="6"/>
  <c r="O13" i="6"/>
  <c r="E13" i="6"/>
  <c r="E12" i="6"/>
  <c r="E11" i="6"/>
  <c r="E10" i="6"/>
  <c r="E9" i="6"/>
  <c r="E8" i="6"/>
  <c r="E7" i="6"/>
  <c r="E6" i="6"/>
  <c r="D91" i="7"/>
  <c r="D90" i="7"/>
  <c r="D89" i="7"/>
  <c r="D88" i="7"/>
  <c r="D87" i="7"/>
  <c r="D86" i="7"/>
  <c r="D85" i="7"/>
  <c r="D84" i="7"/>
  <c r="D83" i="7"/>
  <c r="E13" i="5"/>
  <c r="E12" i="5"/>
  <c r="E11" i="5"/>
  <c r="E10" i="5"/>
  <c r="E9" i="5"/>
  <c r="E8" i="5"/>
  <c r="E7" i="5"/>
  <c r="E6" i="5"/>
  <c r="E5" i="5"/>
  <c r="O69" i="6"/>
  <c r="N69" i="6"/>
  <c r="M69" i="6"/>
  <c r="L69" i="6"/>
  <c r="K69" i="6"/>
  <c r="J69" i="6"/>
  <c r="I69" i="6"/>
  <c r="H69" i="6"/>
  <c r="G69" i="6"/>
  <c r="F69" i="6"/>
  <c r="E69" i="6"/>
  <c r="G60" i="6"/>
  <c r="H60" i="6" s="1"/>
  <c r="I60" i="6" s="1"/>
  <c r="J60" i="6" s="1"/>
  <c r="K60" i="6" s="1"/>
  <c r="L60" i="6" s="1"/>
  <c r="M60" i="6" s="1"/>
  <c r="N60" i="6" s="1"/>
  <c r="O60" i="6" s="1"/>
  <c r="G51" i="6"/>
  <c r="H51" i="6" s="1"/>
  <c r="I51" i="6" s="1"/>
  <c r="J51" i="6" s="1"/>
  <c r="K51" i="6" s="1"/>
  <c r="L51" i="6" s="1"/>
  <c r="M51" i="6" s="1"/>
  <c r="N51" i="6" s="1"/>
  <c r="O51" i="6" s="1"/>
  <c r="G43" i="6"/>
  <c r="H43" i="6" s="1"/>
  <c r="F42" i="6"/>
  <c r="E42" i="6"/>
  <c r="O33" i="6"/>
  <c r="N33" i="6"/>
  <c r="M33" i="6"/>
  <c r="L33" i="6"/>
  <c r="K33" i="6"/>
  <c r="J33" i="6"/>
  <c r="I33" i="6"/>
  <c r="H33" i="6"/>
  <c r="G33" i="6"/>
  <c r="F34" i="6"/>
  <c r="F33" i="6" s="1"/>
  <c r="E33" i="6"/>
  <c r="H29" i="6"/>
  <c r="I29" i="6" s="1"/>
  <c r="G24" i="6"/>
  <c r="F24" i="6"/>
  <c r="E24" i="6"/>
  <c r="O20" i="6"/>
  <c r="O15" i="6" s="1"/>
  <c r="N20" i="6"/>
  <c r="N15" i="6" s="1"/>
  <c r="M20" i="6"/>
  <c r="M15" i="6" s="1"/>
  <c r="L20" i="6"/>
  <c r="K20" i="6"/>
  <c r="K15" i="6" s="1"/>
  <c r="J20" i="6"/>
  <c r="J15" i="6" s="1"/>
  <c r="I20" i="6"/>
  <c r="I15" i="6" s="1"/>
  <c r="H20" i="6"/>
  <c r="H15" i="6" s="1"/>
  <c r="G20" i="6"/>
  <c r="G15" i="6" s="1"/>
  <c r="F20" i="6"/>
  <c r="F15" i="6" s="1"/>
  <c r="L15" i="6"/>
  <c r="E15" i="6"/>
  <c r="H150" i="5"/>
  <c r="I150" i="5" s="1"/>
  <c r="J150" i="5" s="1"/>
  <c r="K150" i="5" s="1"/>
  <c r="L150" i="5" s="1"/>
  <c r="M150" i="5" s="1"/>
  <c r="N150" i="5" s="1"/>
  <c r="O150" i="5" s="1"/>
  <c r="H159" i="5"/>
  <c r="I159" i="5" s="1"/>
  <c r="J159" i="5" s="1"/>
  <c r="K159" i="5" s="1"/>
  <c r="L159" i="5" s="1"/>
  <c r="M159" i="5" s="1"/>
  <c r="N159" i="5" s="1"/>
  <c r="O159" i="5" s="1"/>
  <c r="H168" i="5"/>
  <c r="I168" i="5" s="1"/>
  <c r="J168" i="5" s="1"/>
  <c r="K168" i="5" s="1"/>
  <c r="L168" i="5" s="1"/>
  <c r="M168" i="5" s="1"/>
  <c r="N168" i="5" s="1"/>
  <c r="O168" i="5" s="1"/>
  <c r="F178" i="5"/>
  <c r="G178" i="5" s="1"/>
  <c r="H178" i="5" s="1"/>
  <c r="I178" i="5" s="1"/>
  <c r="J178" i="5" s="1"/>
  <c r="K178" i="5" s="1"/>
  <c r="L178" i="5" s="1"/>
  <c r="M178" i="5" s="1"/>
  <c r="N178" i="5" s="1"/>
  <c r="O178" i="5" s="1"/>
  <c r="H187" i="5"/>
  <c r="I187" i="5" s="1"/>
  <c r="J187" i="5" s="1"/>
  <c r="K187" i="5" s="1"/>
  <c r="L187" i="5" s="1"/>
  <c r="M187" i="5" s="1"/>
  <c r="N187" i="5" s="1"/>
  <c r="O187" i="5" s="1"/>
  <c r="H196" i="5"/>
  <c r="I196" i="5" s="1"/>
  <c r="J196" i="5" s="1"/>
  <c r="K196" i="5" s="1"/>
  <c r="L196" i="5" s="1"/>
  <c r="M196" i="5" s="1"/>
  <c r="N196" i="5" s="1"/>
  <c r="O196" i="5" s="1"/>
  <c r="D9" i="18" l="1"/>
  <c r="D19" i="18" s="1"/>
  <c r="O14" i="13"/>
  <c r="AG14" i="13"/>
  <c r="AG19" i="13"/>
  <c r="E5" i="6"/>
  <c r="D101" i="7" s="1"/>
  <c r="H24" i="6"/>
  <c r="G42" i="6"/>
  <c r="J29" i="6"/>
  <c r="I24" i="6"/>
  <c r="I43" i="6"/>
  <c r="H42" i="6"/>
  <c r="I42" i="6" l="1"/>
  <c r="J43" i="6"/>
  <c r="K29" i="6"/>
  <c r="J24" i="6"/>
  <c r="L29" i="6" l="1"/>
  <c r="K24" i="6"/>
  <c r="J42" i="6"/>
  <c r="K43" i="6"/>
  <c r="L24" i="6" l="1"/>
  <c r="M29" i="6"/>
  <c r="K42" i="6"/>
  <c r="L43" i="6"/>
  <c r="L42" i="6" l="1"/>
  <c r="M43" i="6"/>
  <c r="M24" i="6"/>
  <c r="N29" i="6"/>
  <c r="M42" i="6" l="1"/>
  <c r="N43" i="6"/>
  <c r="O29" i="6"/>
  <c r="O24" i="6" s="1"/>
  <c r="N24" i="6"/>
  <c r="O43" i="6" l="1"/>
  <c r="O42" i="6" s="1"/>
  <c r="N42" i="6"/>
  <c r="E217" i="5" l="1"/>
  <c r="E213" i="5" s="1"/>
  <c r="G223" i="5"/>
  <c r="H223" i="5"/>
  <c r="I223" i="5"/>
  <c r="J223" i="5"/>
  <c r="K223" i="5"/>
  <c r="L223" i="5"/>
  <c r="M223" i="5"/>
  <c r="N223" i="5"/>
  <c r="O223" i="5"/>
  <c r="E223" i="5"/>
  <c r="F224" i="5"/>
  <c r="G224" i="5"/>
  <c r="H224" i="5"/>
  <c r="I224" i="5"/>
  <c r="J224" i="5"/>
  <c r="K224" i="5"/>
  <c r="L224" i="5"/>
  <c r="M224" i="5"/>
  <c r="N224" i="5"/>
  <c r="O224" i="5"/>
  <c r="F225" i="5"/>
  <c r="G225" i="5"/>
  <c r="H225" i="5"/>
  <c r="H222" i="5" s="1"/>
  <c r="I225" i="5"/>
  <c r="J225" i="5"/>
  <c r="K225" i="5"/>
  <c r="L225" i="5"/>
  <c r="M225" i="5"/>
  <c r="N225" i="5"/>
  <c r="O225" i="5"/>
  <c r="F226" i="5"/>
  <c r="G226" i="5"/>
  <c r="H226" i="5"/>
  <c r="I226" i="5"/>
  <c r="J226" i="5"/>
  <c r="K226" i="5"/>
  <c r="L226" i="5"/>
  <c r="M226" i="5"/>
  <c r="N226" i="5"/>
  <c r="O226" i="5"/>
  <c r="E225" i="5"/>
  <c r="E226" i="5"/>
  <c r="E224" i="5"/>
  <c r="O204" i="5"/>
  <c r="N204" i="5"/>
  <c r="M204" i="5"/>
  <c r="L204" i="5"/>
  <c r="K204" i="5"/>
  <c r="J204" i="5"/>
  <c r="I204" i="5"/>
  <c r="H204" i="5"/>
  <c r="G204" i="5"/>
  <c r="F204" i="5"/>
  <c r="E204" i="5"/>
  <c r="O195" i="5"/>
  <c r="N195" i="5"/>
  <c r="M195" i="5"/>
  <c r="L195" i="5"/>
  <c r="K195" i="5"/>
  <c r="J195" i="5"/>
  <c r="I195" i="5"/>
  <c r="H195" i="5"/>
  <c r="G195" i="5"/>
  <c r="F195" i="5"/>
  <c r="E195" i="5"/>
  <c r="O186" i="5"/>
  <c r="N186" i="5"/>
  <c r="M186" i="5"/>
  <c r="L186" i="5"/>
  <c r="K186" i="5"/>
  <c r="J186" i="5"/>
  <c r="I186" i="5"/>
  <c r="H186" i="5"/>
  <c r="G186" i="5"/>
  <c r="F186" i="5"/>
  <c r="E186" i="5"/>
  <c r="O177" i="5"/>
  <c r="N177" i="5"/>
  <c r="M177" i="5"/>
  <c r="L177" i="5"/>
  <c r="K177" i="5"/>
  <c r="J177" i="5"/>
  <c r="I177" i="5"/>
  <c r="H177" i="5"/>
  <c r="G177" i="5"/>
  <c r="F177" i="5"/>
  <c r="E177" i="5"/>
  <c r="E168" i="5"/>
  <c r="E159" i="5"/>
  <c r="E150" i="5"/>
  <c r="E141" i="5"/>
  <c r="E132" i="5"/>
  <c r="E123" i="5"/>
  <c r="E114" i="5"/>
  <c r="E105" i="5"/>
  <c r="E96" i="5"/>
  <c r="E87" i="5"/>
  <c r="E78" i="5"/>
  <c r="E69" i="5"/>
  <c r="E60" i="5"/>
  <c r="O51" i="5"/>
  <c r="N51" i="5"/>
  <c r="M51" i="5"/>
  <c r="L51" i="5"/>
  <c r="K51" i="5"/>
  <c r="J51" i="5"/>
  <c r="I51" i="5"/>
  <c r="H51" i="5"/>
  <c r="G51" i="5"/>
  <c r="F51" i="5"/>
  <c r="E51" i="5"/>
  <c r="G45" i="5"/>
  <c r="H45" i="5"/>
  <c r="I45" i="5"/>
  <c r="J45" i="5"/>
  <c r="K45" i="5"/>
  <c r="L45" i="5"/>
  <c r="M45" i="5"/>
  <c r="N45" i="5"/>
  <c r="O45" i="5"/>
  <c r="G36" i="5"/>
  <c r="H36" i="5"/>
  <c r="I36" i="5"/>
  <c r="J36" i="5"/>
  <c r="K36" i="5"/>
  <c r="L36" i="5"/>
  <c r="M36" i="5"/>
  <c r="N36" i="5"/>
  <c r="O36" i="5"/>
  <c r="G27" i="5"/>
  <c r="H27" i="5"/>
  <c r="I27" i="5"/>
  <c r="J27" i="5"/>
  <c r="K27" i="5"/>
  <c r="L27" i="5"/>
  <c r="M27" i="5"/>
  <c r="N27" i="5"/>
  <c r="O27" i="5"/>
  <c r="G18" i="5"/>
  <c r="H18" i="5"/>
  <c r="I18" i="5"/>
  <c r="J18" i="5"/>
  <c r="K18" i="5"/>
  <c r="L18" i="5"/>
  <c r="M18" i="5"/>
  <c r="N18" i="5"/>
  <c r="O18" i="5"/>
  <c r="F15" i="4"/>
  <c r="G15" i="4"/>
  <c r="H15" i="4"/>
  <c r="I15" i="4"/>
  <c r="J15" i="4"/>
  <c r="K15" i="4"/>
  <c r="L15" i="4"/>
  <c r="M15" i="4"/>
  <c r="N15" i="4"/>
  <c r="O15" i="4"/>
  <c r="F16" i="4"/>
  <c r="G16" i="4"/>
  <c r="H16" i="4"/>
  <c r="I16" i="4"/>
  <c r="J16" i="4"/>
  <c r="K16" i="4"/>
  <c r="L16" i="4"/>
  <c r="M16" i="4"/>
  <c r="N16" i="4"/>
  <c r="O16" i="4"/>
  <c r="F17" i="4"/>
  <c r="G17" i="4"/>
  <c r="H17" i="4"/>
  <c r="I17" i="4"/>
  <c r="J17" i="4"/>
  <c r="K17" i="4"/>
  <c r="L17" i="4"/>
  <c r="M17" i="4"/>
  <c r="N17" i="4"/>
  <c r="O17" i="4"/>
  <c r="F18" i="4"/>
  <c r="G18" i="4"/>
  <c r="H18" i="4"/>
  <c r="I18" i="4"/>
  <c r="J18" i="4"/>
  <c r="K18" i="4"/>
  <c r="L18" i="4"/>
  <c r="M18" i="4"/>
  <c r="N18" i="4"/>
  <c r="O18" i="4"/>
  <c r="F19" i="4"/>
  <c r="G19" i="4"/>
  <c r="H19" i="4"/>
  <c r="I19" i="4"/>
  <c r="J19" i="4"/>
  <c r="K19" i="4"/>
  <c r="L19" i="4"/>
  <c r="M19" i="4"/>
  <c r="N19" i="4"/>
  <c r="O19" i="4"/>
  <c r="F20" i="4"/>
  <c r="G20" i="4"/>
  <c r="H20" i="4"/>
  <c r="I20" i="4"/>
  <c r="J20" i="4"/>
  <c r="K20" i="4"/>
  <c r="L20" i="4"/>
  <c r="M20" i="4"/>
  <c r="N20" i="4"/>
  <c r="O20" i="4"/>
  <c r="F21" i="4"/>
  <c r="G21" i="4"/>
  <c r="H21" i="4"/>
  <c r="I21" i="4"/>
  <c r="J21" i="4"/>
  <c r="K21" i="4"/>
  <c r="L21" i="4"/>
  <c r="M21" i="4"/>
  <c r="N21" i="4"/>
  <c r="O21" i="4"/>
  <c r="F22" i="4"/>
  <c r="G22" i="4"/>
  <c r="H22" i="4"/>
  <c r="I22" i="4"/>
  <c r="J22" i="4"/>
  <c r="K22" i="4"/>
  <c r="L22" i="4"/>
  <c r="M22" i="4"/>
  <c r="N22" i="4"/>
  <c r="O22" i="4"/>
  <c r="E16" i="4"/>
  <c r="E17" i="4"/>
  <c r="E18" i="4"/>
  <c r="E19" i="4"/>
  <c r="E20" i="4"/>
  <c r="E21" i="4"/>
  <c r="E22" i="4"/>
  <c r="E15" i="4"/>
  <c r="F17" i="2"/>
  <c r="F45" i="1" s="1"/>
  <c r="G41" i="2"/>
  <c r="H41" i="2"/>
  <c r="I41" i="2"/>
  <c r="J41" i="2"/>
  <c r="K41" i="2"/>
  <c r="L41" i="2"/>
  <c r="M41" i="2"/>
  <c r="N41" i="2"/>
  <c r="O41" i="2"/>
  <c r="F36" i="2"/>
  <c r="L222" i="5" l="1"/>
  <c r="I222" i="5"/>
  <c r="G222" i="5"/>
  <c r="K222" i="5"/>
  <c r="J222" i="5"/>
  <c r="N222" i="5"/>
  <c r="O222" i="5"/>
  <c r="M222" i="5"/>
  <c r="E222" i="5"/>
  <c r="D25" i="7"/>
  <c r="G22" i="3"/>
  <c r="H22" i="3"/>
  <c r="I22" i="3"/>
  <c r="J22" i="3"/>
  <c r="K22" i="3"/>
  <c r="L22" i="3"/>
  <c r="M22" i="3"/>
  <c r="N22" i="3"/>
  <c r="O22" i="3"/>
  <c r="G23" i="3"/>
  <c r="H23" i="3"/>
  <c r="I23" i="3"/>
  <c r="J23" i="3"/>
  <c r="K23" i="3"/>
  <c r="L23" i="3"/>
  <c r="M23" i="3"/>
  <c r="N23" i="3"/>
  <c r="O23" i="3"/>
  <c r="G24" i="3"/>
  <c r="H24" i="3"/>
  <c r="I24" i="3"/>
  <c r="J24" i="3"/>
  <c r="K24" i="3"/>
  <c r="L24" i="3"/>
  <c r="M24" i="3"/>
  <c r="N24" i="3"/>
  <c r="O24" i="3"/>
  <c r="G25" i="3"/>
  <c r="H25" i="3"/>
  <c r="I25" i="3"/>
  <c r="J25" i="3"/>
  <c r="K25" i="3"/>
  <c r="L25" i="3"/>
  <c r="M25" i="3"/>
  <c r="N25" i="3"/>
  <c r="O25" i="3"/>
  <c r="F23" i="3"/>
  <c r="F24" i="3"/>
  <c r="G37" i="1"/>
  <c r="H37" i="1" s="1"/>
  <c r="I37" i="1" s="1"/>
  <c r="J37" i="1" s="1"/>
  <c r="K37" i="1" s="1"/>
  <c r="L37" i="1" s="1"/>
  <c r="M37" i="1" s="1"/>
  <c r="N37" i="1" s="1"/>
  <c r="O37" i="1" s="1"/>
  <c r="G38" i="1"/>
  <c r="H38" i="1" s="1"/>
  <c r="I38" i="1" s="1"/>
  <c r="J38" i="1" s="1"/>
  <c r="K38" i="1" s="1"/>
  <c r="L38" i="1" s="1"/>
  <c r="M38" i="1" s="1"/>
  <c r="N38" i="1" s="1"/>
  <c r="O38" i="1" s="1"/>
  <c r="G39" i="1"/>
  <c r="H39" i="1"/>
  <c r="I39" i="1"/>
  <c r="J39" i="1" s="1"/>
  <c r="K39" i="1" s="1"/>
  <c r="L39" i="1" s="1"/>
  <c r="M39" i="1" s="1"/>
  <c r="N39" i="1" s="1"/>
  <c r="O39" i="1" s="1"/>
  <c r="F39" i="1"/>
  <c r="F38" i="1"/>
  <c r="F37" i="1"/>
  <c r="F77" i="1" l="1"/>
  <c r="F223" i="5" s="1"/>
  <c r="F222" i="5" s="1"/>
  <c r="G77" i="1"/>
  <c r="H77" i="1"/>
  <c r="I77" i="1"/>
  <c r="J77" i="1"/>
  <c r="K77" i="1"/>
  <c r="L77" i="1"/>
  <c r="M77" i="1"/>
  <c r="N77" i="1"/>
  <c r="O77" i="1"/>
  <c r="G78" i="1"/>
  <c r="H78" i="1"/>
  <c r="I78" i="1"/>
  <c r="J78" i="1"/>
  <c r="K78" i="1"/>
  <c r="L78" i="1"/>
  <c r="M78" i="1"/>
  <c r="N78" i="1"/>
  <c r="O78" i="1"/>
  <c r="F79" i="1"/>
  <c r="G79" i="1"/>
  <c r="H79" i="1"/>
  <c r="N79" i="1"/>
  <c r="O79" i="1"/>
  <c r="F80" i="1"/>
  <c r="G80" i="1"/>
  <c r="H80" i="1"/>
  <c r="I80" i="1"/>
  <c r="J80" i="1"/>
  <c r="K80" i="1"/>
  <c r="L80" i="1"/>
  <c r="M80" i="1"/>
  <c r="N80" i="1"/>
  <c r="O80" i="1"/>
  <c r="F81" i="1"/>
  <c r="G81" i="1"/>
  <c r="H81" i="1"/>
  <c r="I81" i="1"/>
  <c r="J81" i="1"/>
  <c r="K81" i="1"/>
  <c r="L81" i="1"/>
  <c r="M81" i="1"/>
  <c r="N81" i="1"/>
  <c r="O81" i="1"/>
  <c r="E78" i="1"/>
  <c r="E79" i="1"/>
  <c r="E80" i="1"/>
  <c r="E81" i="1"/>
  <c r="E77" i="1"/>
  <c r="F71" i="1"/>
  <c r="G71" i="1"/>
  <c r="G72" i="1"/>
  <c r="H72" i="1"/>
  <c r="I72" i="1"/>
  <c r="J72" i="1"/>
  <c r="K72" i="1"/>
  <c r="L72" i="1"/>
  <c r="M72" i="1"/>
  <c r="N72" i="1"/>
  <c r="O72" i="1"/>
  <c r="F73" i="1"/>
  <c r="G73" i="1"/>
  <c r="H73" i="1"/>
  <c r="I73" i="1"/>
  <c r="J73" i="1"/>
  <c r="K73" i="1"/>
  <c r="L73" i="1"/>
  <c r="M73" i="1"/>
  <c r="N73" i="1"/>
  <c r="O73" i="1"/>
  <c r="F74" i="1"/>
  <c r="G74" i="1"/>
  <c r="H74" i="1"/>
  <c r="K74" i="1"/>
  <c r="M74" i="1"/>
  <c r="N74" i="1"/>
  <c r="O74" i="1"/>
  <c r="F75" i="1"/>
  <c r="G75" i="1"/>
  <c r="H75" i="1"/>
  <c r="I75" i="1"/>
  <c r="J75" i="1"/>
  <c r="K75" i="1"/>
  <c r="L75" i="1"/>
  <c r="M75" i="1"/>
  <c r="N75" i="1"/>
  <c r="O75" i="1"/>
  <c r="E72" i="1"/>
  <c r="E73" i="1"/>
  <c r="E74" i="1"/>
  <c r="E75" i="1"/>
  <c r="E71" i="1"/>
  <c r="G53" i="1"/>
  <c r="H53" i="1"/>
  <c r="I53" i="1"/>
  <c r="G54" i="1"/>
  <c r="H54" i="1"/>
  <c r="I54" i="1"/>
  <c r="J54" i="1"/>
  <c r="K54" i="1"/>
  <c r="L54" i="1"/>
  <c r="M54" i="1"/>
  <c r="N54" i="1"/>
  <c r="O54" i="1"/>
  <c r="G55" i="1"/>
  <c r="H55" i="1"/>
  <c r="I55" i="1"/>
  <c r="G56" i="1"/>
  <c r="H56" i="1"/>
  <c r="I56" i="1"/>
  <c r="J56" i="1"/>
  <c r="K56" i="1"/>
  <c r="L56" i="1"/>
  <c r="M56" i="1"/>
  <c r="N56" i="1"/>
  <c r="O56" i="1"/>
  <c r="F55" i="1"/>
  <c r="F34" i="1" s="1"/>
  <c r="F56" i="1"/>
  <c r="F53" i="1"/>
  <c r="F32" i="1" s="1"/>
  <c r="F47" i="1"/>
  <c r="G48" i="1"/>
  <c r="H48" i="1"/>
  <c r="I48" i="1"/>
  <c r="J48" i="1"/>
  <c r="K48" i="1"/>
  <c r="L48" i="1"/>
  <c r="M48" i="1"/>
  <c r="N48" i="1"/>
  <c r="O48" i="1"/>
  <c r="F49" i="1"/>
  <c r="F50" i="1"/>
  <c r="F42" i="1"/>
  <c r="F43" i="1"/>
  <c r="G46" i="2"/>
  <c r="H46" i="2"/>
  <c r="I46" i="2"/>
  <c r="I79" i="1" s="1"/>
  <c r="J46" i="2"/>
  <c r="J79" i="1" s="1"/>
  <c r="K46" i="2"/>
  <c r="K79" i="1" s="1"/>
  <c r="L46" i="2"/>
  <c r="L79" i="1" s="1"/>
  <c r="M46" i="2"/>
  <c r="M79" i="1" s="1"/>
  <c r="N46" i="2"/>
  <c r="O46" i="2"/>
  <c r="F46" i="2"/>
  <c r="I74" i="1"/>
  <c r="J74" i="1"/>
  <c r="L74" i="1"/>
  <c r="G36" i="2"/>
  <c r="H36" i="2"/>
  <c r="I36" i="2"/>
  <c r="J36" i="2"/>
  <c r="K36" i="2"/>
  <c r="L36" i="2"/>
  <c r="M36" i="2"/>
  <c r="N36" i="2"/>
  <c r="O36" i="2"/>
  <c r="G37" i="2"/>
  <c r="H37" i="2"/>
  <c r="I37" i="2"/>
  <c r="J37" i="2"/>
  <c r="K37" i="2"/>
  <c r="L37" i="2"/>
  <c r="M37" i="2"/>
  <c r="N37" i="2"/>
  <c r="O37" i="2"/>
  <c r="E70" i="1" l="1"/>
  <c r="E40" i="1"/>
  <c r="H26" i="1"/>
  <c r="F26" i="1"/>
  <c r="E26" i="1"/>
  <c r="E24" i="1"/>
  <c r="E23" i="1"/>
  <c r="E21" i="1"/>
  <c r="E12" i="1"/>
  <c r="E4" i="2"/>
  <c r="E6" i="2"/>
  <c r="E5" i="2"/>
  <c r="E28" i="2"/>
  <c r="F29" i="2"/>
  <c r="G29" i="2"/>
  <c r="H29" i="2"/>
  <c r="I29" i="2"/>
  <c r="J29" i="2"/>
  <c r="K29" i="2"/>
  <c r="L29" i="2"/>
  <c r="M29" i="2"/>
  <c r="N29" i="2"/>
  <c r="O29" i="2"/>
  <c r="E29" i="2"/>
  <c r="O33" i="2"/>
  <c r="N33" i="2"/>
  <c r="M33" i="2"/>
  <c r="L33" i="2"/>
  <c r="K33" i="2"/>
  <c r="J33" i="2"/>
  <c r="I33" i="2"/>
  <c r="H33" i="2"/>
  <c r="G33" i="2"/>
  <c r="F33" i="2"/>
  <c r="E33" i="2"/>
  <c r="O32" i="2"/>
  <c r="N32" i="2"/>
  <c r="M32" i="2"/>
  <c r="L32" i="2"/>
  <c r="K32" i="2"/>
  <c r="J32" i="2"/>
  <c r="I32" i="2"/>
  <c r="H32" i="2"/>
  <c r="G32" i="2"/>
  <c r="F32" i="2"/>
  <c r="E32" i="2"/>
  <c r="O31" i="2"/>
  <c r="N31" i="2"/>
  <c r="M31" i="2"/>
  <c r="L31" i="2"/>
  <c r="K31" i="2"/>
  <c r="J31" i="2"/>
  <c r="I31" i="2"/>
  <c r="H31" i="2"/>
  <c r="G31" i="2"/>
  <c r="F31" i="2"/>
  <c r="E31" i="2"/>
  <c r="O30" i="2"/>
  <c r="N30" i="2"/>
  <c r="M30" i="2"/>
  <c r="L30" i="2"/>
  <c r="K30" i="2"/>
  <c r="J30" i="2"/>
  <c r="I30" i="2"/>
  <c r="H30" i="2"/>
  <c r="G30" i="2"/>
  <c r="F30" i="2"/>
  <c r="E30" i="2"/>
  <c r="F9" i="2"/>
  <c r="E9" i="2"/>
  <c r="E10" i="2"/>
  <c r="E7" i="2" s="1"/>
  <c r="E11" i="2"/>
  <c r="E8" i="2"/>
  <c r="G23" i="2"/>
  <c r="H23" i="2"/>
  <c r="I23" i="2" s="1"/>
  <c r="J23" i="2" s="1"/>
  <c r="G26" i="2"/>
  <c r="H26" i="2"/>
  <c r="I26" i="2"/>
  <c r="J26" i="2" s="1"/>
  <c r="K26" i="2" s="1"/>
  <c r="L26" i="2" s="1"/>
  <c r="M26" i="2" s="1"/>
  <c r="N26" i="2" s="1"/>
  <c r="O26" i="2" s="1"/>
  <c r="G27" i="2"/>
  <c r="F24" i="2"/>
  <c r="G24" i="2" s="1"/>
  <c r="H24" i="2" s="1"/>
  <c r="I24" i="2" s="1"/>
  <c r="J24" i="2" s="1"/>
  <c r="K24" i="2" s="1"/>
  <c r="L24" i="2" s="1"/>
  <c r="M24" i="2" s="1"/>
  <c r="N24" i="2" s="1"/>
  <c r="O24" i="2" s="1"/>
  <c r="F25" i="2"/>
  <c r="G25" i="2" s="1"/>
  <c r="H25" i="2" s="1"/>
  <c r="I25" i="2" s="1"/>
  <c r="J25" i="2" s="1"/>
  <c r="F26" i="2"/>
  <c r="F27" i="2"/>
  <c r="F57" i="1" s="1"/>
  <c r="F23" i="2"/>
  <c r="G20" i="2"/>
  <c r="F19" i="2"/>
  <c r="G19" i="2" s="1"/>
  <c r="F20" i="2"/>
  <c r="F10" i="2" s="1"/>
  <c r="F21" i="2"/>
  <c r="G21" i="2" s="1"/>
  <c r="F22" i="2"/>
  <c r="F18" i="2"/>
  <c r="G18" i="2" s="1"/>
  <c r="F8" i="2"/>
  <c r="G13" i="2"/>
  <c r="H13" i="2" s="1"/>
  <c r="H41" i="1" s="1"/>
  <c r="G14" i="2"/>
  <c r="G15" i="2"/>
  <c r="G43" i="1" s="1"/>
  <c r="G17" i="2"/>
  <c r="G45" i="1" s="1"/>
  <c r="F15" i="2"/>
  <c r="F16" i="2"/>
  <c r="F11" i="2" s="1"/>
  <c r="F12" i="2"/>
  <c r="F6" i="2" s="1"/>
  <c r="E11" i="1"/>
  <c r="E10" i="1"/>
  <c r="E52" i="1"/>
  <c r="E46" i="1"/>
  <c r="F40" i="1"/>
  <c r="G26" i="1"/>
  <c r="H16" i="3"/>
  <c r="H71" i="1" s="1"/>
  <c r="I16" i="3"/>
  <c r="I71" i="1" s="1"/>
  <c r="J16" i="3"/>
  <c r="J71" i="1" s="1"/>
  <c r="K16" i="3"/>
  <c r="K71" i="1" s="1"/>
  <c r="L16" i="3"/>
  <c r="L71" i="1" s="1"/>
  <c r="M16" i="3"/>
  <c r="M71" i="1" s="1"/>
  <c r="N16" i="3"/>
  <c r="N71" i="1" s="1"/>
  <c r="O16" i="3"/>
  <c r="O71" i="1" s="1"/>
  <c r="F20" i="1"/>
  <c r="H21" i="3"/>
  <c r="I21" i="3"/>
  <c r="I26" i="1" s="1"/>
  <c r="J21" i="3"/>
  <c r="K21" i="3"/>
  <c r="L21" i="3"/>
  <c r="M21" i="3"/>
  <c r="N21" i="3"/>
  <c r="O21" i="3"/>
  <c r="G21" i="3"/>
  <c r="E22" i="1"/>
  <c r="E20" i="1"/>
  <c r="E27" i="1"/>
  <c r="E28" i="1"/>
  <c r="E29" i="1"/>
  <c r="E30" i="1"/>
  <c r="Q74" i="4"/>
  <c r="H14" i="2" l="1"/>
  <c r="G42" i="1"/>
  <c r="G33" i="1" s="1"/>
  <c r="F133" i="5"/>
  <c r="F132" i="5" s="1"/>
  <c r="F18" i="5"/>
  <c r="F45" i="5"/>
  <c r="F27" i="5"/>
  <c r="F36" i="5"/>
  <c r="H21" i="2"/>
  <c r="G50" i="1"/>
  <c r="H18" i="2"/>
  <c r="H8" i="2" s="1"/>
  <c r="H133" i="5" s="1"/>
  <c r="G78" i="6"/>
  <c r="G47" i="1"/>
  <c r="G20" i="1" s="1"/>
  <c r="K23" i="2"/>
  <c r="J53" i="1"/>
  <c r="J26" i="1" s="1"/>
  <c r="K25" i="2"/>
  <c r="J55" i="1"/>
  <c r="G22" i="2"/>
  <c r="F51" i="1"/>
  <c r="H17" i="2"/>
  <c r="H27" i="2"/>
  <c r="G57" i="1"/>
  <c r="G52" i="1" s="1"/>
  <c r="H20" i="2"/>
  <c r="G49" i="1"/>
  <c r="G34" i="1"/>
  <c r="I13" i="2"/>
  <c r="I41" i="1" s="1"/>
  <c r="H15" i="2"/>
  <c r="G8" i="2"/>
  <c r="G133" i="5" s="1"/>
  <c r="G41" i="1"/>
  <c r="F11" i="1"/>
  <c r="G28" i="2"/>
  <c r="H28" i="2"/>
  <c r="G10" i="2"/>
  <c r="M28" i="2"/>
  <c r="L28" i="2"/>
  <c r="I28" i="2"/>
  <c r="O28" i="2"/>
  <c r="K28" i="2"/>
  <c r="N28" i="2"/>
  <c r="J28" i="2"/>
  <c r="F28" i="2"/>
  <c r="F5" i="2"/>
  <c r="F4" i="2" s="1"/>
  <c r="H19" i="2"/>
  <c r="I19" i="2" s="1"/>
  <c r="J19" i="2" s="1"/>
  <c r="K19" i="2" s="1"/>
  <c r="G9" i="2"/>
  <c r="G12" i="2"/>
  <c r="G6" i="2" s="1"/>
  <c r="E19" i="1"/>
  <c r="G16" i="2"/>
  <c r="G44" i="1" s="1"/>
  <c r="H9" i="2"/>
  <c r="E76" i="1"/>
  <c r="E25" i="1" s="1"/>
  <c r="F7" i="2"/>
  <c r="E105" i="4"/>
  <c r="F112" i="4"/>
  <c r="G112" i="4" s="1"/>
  <c r="H112" i="4" s="1"/>
  <c r="I112" i="4" s="1"/>
  <c r="J112" i="4" s="1"/>
  <c r="K112" i="4" s="1"/>
  <c r="L112" i="4" s="1"/>
  <c r="M112" i="4" s="1"/>
  <c r="N112" i="4" s="1"/>
  <c r="O112" i="4" s="1"/>
  <c r="F111" i="4"/>
  <c r="G111" i="4" s="1"/>
  <c r="H111" i="4" s="1"/>
  <c r="I111" i="4" s="1"/>
  <c r="J111" i="4" s="1"/>
  <c r="K111" i="4" s="1"/>
  <c r="L111" i="4" s="1"/>
  <c r="M111" i="4" s="1"/>
  <c r="N111" i="4" s="1"/>
  <c r="O111" i="4" s="1"/>
  <c r="F110" i="4"/>
  <c r="G110" i="4" s="1"/>
  <c r="H110" i="4" s="1"/>
  <c r="I110" i="4" s="1"/>
  <c r="J110" i="4" s="1"/>
  <c r="K110" i="4" s="1"/>
  <c r="L110" i="4" s="1"/>
  <c r="M110" i="4" s="1"/>
  <c r="N110" i="4" s="1"/>
  <c r="O110" i="4" s="1"/>
  <c r="F109" i="4"/>
  <c r="G109" i="4" s="1"/>
  <c r="H109" i="4" s="1"/>
  <c r="I109" i="4" s="1"/>
  <c r="J109" i="4" s="1"/>
  <c r="K109" i="4" s="1"/>
  <c r="L109" i="4" s="1"/>
  <c r="M109" i="4" s="1"/>
  <c r="N109" i="4" s="1"/>
  <c r="O109" i="4" s="1"/>
  <c r="G108" i="4"/>
  <c r="H108" i="4" s="1"/>
  <c r="I108" i="4" s="1"/>
  <c r="J108" i="4" s="1"/>
  <c r="K108" i="4" s="1"/>
  <c r="L108" i="4" s="1"/>
  <c r="M108" i="4" s="1"/>
  <c r="N108" i="4" s="1"/>
  <c r="O108" i="4" s="1"/>
  <c r="F108" i="4"/>
  <c r="F107" i="4"/>
  <c r="G107" i="4" s="1"/>
  <c r="H107" i="4" s="1"/>
  <c r="I107" i="4" s="1"/>
  <c r="J107" i="4" s="1"/>
  <c r="K107" i="4" s="1"/>
  <c r="L107" i="4" s="1"/>
  <c r="M107" i="4" s="1"/>
  <c r="N107" i="4" s="1"/>
  <c r="O107" i="4" s="1"/>
  <c r="F106" i="4"/>
  <c r="G106" i="4" s="1"/>
  <c r="H106" i="4" s="1"/>
  <c r="I106" i="4" s="1"/>
  <c r="J106" i="4" s="1"/>
  <c r="K106" i="4" s="1"/>
  <c r="L106" i="4" s="1"/>
  <c r="M106" i="4" s="1"/>
  <c r="N106" i="4" s="1"/>
  <c r="O106" i="4" s="1"/>
  <c r="R100" i="4"/>
  <c r="R99" i="4"/>
  <c r="R101" i="4" s="1"/>
  <c r="E96" i="4" s="1"/>
  <c r="R96" i="4"/>
  <c r="I14" i="2" l="1"/>
  <c r="H42" i="1"/>
  <c r="H33" i="1" s="1"/>
  <c r="G35" i="1"/>
  <c r="I21" i="2"/>
  <c r="H50" i="1"/>
  <c r="G132" i="5"/>
  <c r="H132" i="5"/>
  <c r="I18" i="2"/>
  <c r="H78" i="6"/>
  <c r="H47" i="1"/>
  <c r="I8" i="2"/>
  <c r="I133" i="5" s="1"/>
  <c r="J13" i="2"/>
  <c r="J41" i="1" s="1"/>
  <c r="L23" i="2"/>
  <c r="K53" i="1"/>
  <c r="K26" i="1" s="1"/>
  <c r="L25" i="2"/>
  <c r="K55" i="1"/>
  <c r="H45" i="1"/>
  <c r="I17" i="2"/>
  <c r="H22" i="2"/>
  <c r="G51" i="1"/>
  <c r="G36" i="1" s="1"/>
  <c r="G46" i="1"/>
  <c r="I27" i="2"/>
  <c r="H57" i="1"/>
  <c r="H52" i="1" s="1"/>
  <c r="F36" i="1"/>
  <c r="I20" i="2"/>
  <c r="H49" i="1"/>
  <c r="I15" i="2"/>
  <c r="H43" i="1"/>
  <c r="H10" i="2"/>
  <c r="G32" i="1"/>
  <c r="G40" i="1"/>
  <c r="G11" i="2"/>
  <c r="G5" i="2" s="1"/>
  <c r="G4" i="2" s="1"/>
  <c r="H16" i="2"/>
  <c r="H44" i="1" s="1"/>
  <c r="H35" i="1" s="1"/>
  <c r="L19" i="2"/>
  <c r="R105" i="4"/>
  <c r="R106" i="4" s="1"/>
  <c r="R107" i="4" s="1"/>
  <c r="F105" i="4"/>
  <c r="G105" i="4" s="1"/>
  <c r="H105" i="4" s="1"/>
  <c r="I105" i="4" s="1"/>
  <c r="J105" i="4" s="1"/>
  <c r="K105" i="4" s="1"/>
  <c r="L105" i="4" s="1"/>
  <c r="M105" i="4" s="1"/>
  <c r="N105" i="4" s="1"/>
  <c r="O105" i="4" s="1"/>
  <c r="F103" i="4"/>
  <c r="G103" i="4" s="1"/>
  <c r="H103" i="4" s="1"/>
  <c r="I103" i="4" s="1"/>
  <c r="J103" i="4" s="1"/>
  <c r="K103" i="4" s="1"/>
  <c r="L103" i="4" s="1"/>
  <c r="M103" i="4" s="1"/>
  <c r="N103" i="4" s="1"/>
  <c r="O103" i="4" s="1"/>
  <c r="H102" i="4"/>
  <c r="I102" i="4" s="1"/>
  <c r="J102" i="4" s="1"/>
  <c r="K102" i="4" s="1"/>
  <c r="L102" i="4" s="1"/>
  <c r="M102" i="4" s="1"/>
  <c r="N102" i="4" s="1"/>
  <c r="O102" i="4" s="1"/>
  <c r="G102" i="4"/>
  <c r="F102" i="4"/>
  <c r="F101" i="4"/>
  <c r="G101" i="4" s="1"/>
  <c r="H101" i="4" s="1"/>
  <c r="I101" i="4" s="1"/>
  <c r="J101" i="4" s="1"/>
  <c r="K101" i="4" s="1"/>
  <c r="L101" i="4" s="1"/>
  <c r="M101" i="4" s="1"/>
  <c r="N101" i="4" s="1"/>
  <c r="O101" i="4" s="1"/>
  <c r="F100" i="4"/>
  <c r="G100" i="4" s="1"/>
  <c r="H100" i="4" s="1"/>
  <c r="I100" i="4" s="1"/>
  <c r="J100" i="4" s="1"/>
  <c r="K100" i="4" s="1"/>
  <c r="L100" i="4" s="1"/>
  <c r="M100" i="4" s="1"/>
  <c r="N100" i="4" s="1"/>
  <c r="O100" i="4" s="1"/>
  <c r="F99" i="4"/>
  <c r="G99" i="4" s="1"/>
  <c r="H99" i="4" s="1"/>
  <c r="I99" i="4" s="1"/>
  <c r="J99" i="4" s="1"/>
  <c r="K99" i="4" s="1"/>
  <c r="L99" i="4" s="1"/>
  <c r="M99" i="4" s="1"/>
  <c r="N99" i="4" s="1"/>
  <c r="O99" i="4" s="1"/>
  <c r="F98" i="4"/>
  <c r="G98" i="4" s="1"/>
  <c r="H98" i="4" s="1"/>
  <c r="I98" i="4" s="1"/>
  <c r="J98" i="4" s="1"/>
  <c r="K98" i="4" s="1"/>
  <c r="L98" i="4" s="1"/>
  <c r="M98" i="4" s="1"/>
  <c r="N98" i="4" s="1"/>
  <c r="O98" i="4" s="1"/>
  <c r="F97" i="4"/>
  <c r="G97" i="4" s="1"/>
  <c r="H97" i="4" s="1"/>
  <c r="I97" i="4" s="1"/>
  <c r="J97" i="4" s="1"/>
  <c r="K97" i="4" s="1"/>
  <c r="L97" i="4" s="1"/>
  <c r="M97" i="4" s="1"/>
  <c r="N97" i="4" s="1"/>
  <c r="O97" i="4" s="1"/>
  <c r="F96" i="4"/>
  <c r="G96" i="4" s="1"/>
  <c r="H96" i="4" s="1"/>
  <c r="I96" i="4" s="1"/>
  <c r="J96" i="4" s="1"/>
  <c r="K96" i="4" s="1"/>
  <c r="L96" i="4" s="1"/>
  <c r="M96" i="4" s="1"/>
  <c r="N96" i="4" s="1"/>
  <c r="O96" i="4" s="1"/>
  <c r="D44" i="7"/>
  <c r="D45" i="7"/>
  <c r="D46" i="7"/>
  <c r="D55" i="7" s="1"/>
  <c r="J14" i="2" l="1"/>
  <c r="I42" i="1"/>
  <c r="I33" i="1" s="1"/>
  <c r="I9" i="2"/>
  <c r="I132" i="5"/>
  <c r="H20" i="1"/>
  <c r="H32" i="1"/>
  <c r="J18" i="2"/>
  <c r="I78" i="6"/>
  <c r="I47" i="1"/>
  <c r="J21" i="2"/>
  <c r="I50" i="1"/>
  <c r="K13" i="2"/>
  <c r="K41" i="1" s="1"/>
  <c r="M25" i="2"/>
  <c r="L55" i="1"/>
  <c r="M23" i="2"/>
  <c r="L53" i="1"/>
  <c r="L26" i="1" s="1"/>
  <c r="J27" i="2"/>
  <c r="I57" i="1"/>
  <c r="I52" i="1" s="1"/>
  <c r="I22" i="2"/>
  <c r="H51" i="1"/>
  <c r="H46" i="1" s="1"/>
  <c r="H12" i="2"/>
  <c r="H6" i="2" s="1"/>
  <c r="I45" i="1"/>
  <c r="J17" i="2"/>
  <c r="I12" i="2"/>
  <c r="I6" i="2" s="1"/>
  <c r="H36" i="1"/>
  <c r="J20" i="2"/>
  <c r="I49" i="1"/>
  <c r="H34" i="1"/>
  <c r="H40" i="1"/>
  <c r="J15" i="2"/>
  <c r="I43" i="1"/>
  <c r="I10" i="2"/>
  <c r="M19" i="2"/>
  <c r="H11" i="2"/>
  <c r="H5" i="2" s="1"/>
  <c r="I16" i="2"/>
  <c r="I44" i="1" s="1"/>
  <c r="I35" i="1" s="1"/>
  <c r="D73" i="7"/>
  <c r="D71" i="7"/>
  <c r="D72" i="7"/>
  <c r="D54" i="7"/>
  <c r="D53" i="7"/>
  <c r="K14" i="2" l="1"/>
  <c r="J42" i="1"/>
  <c r="J33" i="1" s="1"/>
  <c r="J9" i="2"/>
  <c r="I20" i="1"/>
  <c r="I32" i="1"/>
  <c r="J78" i="6"/>
  <c r="K18" i="2"/>
  <c r="J47" i="1"/>
  <c r="K21" i="2"/>
  <c r="J50" i="1"/>
  <c r="J8" i="2"/>
  <c r="J133" i="5" s="1"/>
  <c r="K8" i="2"/>
  <c r="K133" i="5" s="1"/>
  <c r="L13" i="2"/>
  <c r="N25" i="2"/>
  <c r="M55" i="1"/>
  <c r="N23" i="2"/>
  <c r="M53" i="1"/>
  <c r="M26" i="1" s="1"/>
  <c r="J45" i="1"/>
  <c r="K17" i="2"/>
  <c r="J22" i="2"/>
  <c r="I51" i="1"/>
  <c r="I36" i="1" s="1"/>
  <c r="H4" i="2"/>
  <c r="I46" i="1"/>
  <c r="K27" i="2"/>
  <c r="J57" i="1"/>
  <c r="J52" i="1" s="1"/>
  <c r="K20" i="2"/>
  <c r="J49" i="1"/>
  <c r="I34" i="1"/>
  <c r="I40" i="1"/>
  <c r="K15" i="2"/>
  <c r="J43" i="1"/>
  <c r="J10" i="2"/>
  <c r="I11" i="2"/>
  <c r="I5" i="2" s="1"/>
  <c r="I4" i="2" s="1"/>
  <c r="J16" i="2"/>
  <c r="J44" i="1" s="1"/>
  <c r="N19" i="2"/>
  <c r="E69" i="1"/>
  <c r="E36" i="1"/>
  <c r="F146" i="5"/>
  <c r="F128" i="5"/>
  <c r="F119" i="5"/>
  <c r="F110" i="5"/>
  <c r="F101" i="5"/>
  <c r="F44" i="5"/>
  <c r="F42" i="5" s="1"/>
  <c r="G44" i="5"/>
  <c r="G42" i="5" s="1"/>
  <c r="H44" i="5"/>
  <c r="H42" i="5" s="1"/>
  <c r="I44" i="5"/>
  <c r="I42" i="5" s="1"/>
  <c r="J44" i="5"/>
  <c r="J42" i="5" s="1"/>
  <c r="K44" i="5"/>
  <c r="K42" i="5" s="1"/>
  <c r="L44" i="5"/>
  <c r="L42" i="5" s="1"/>
  <c r="M44" i="5"/>
  <c r="M42" i="5" s="1"/>
  <c r="N44" i="5"/>
  <c r="N42" i="5" s="1"/>
  <c r="O44" i="5"/>
  <c r="O42" i="5" s="1"/>
  <c r="E45" i="5"/>
  <c r="E44" i="5"/>
  <c r="E42" i="5" s="1"/>
  <c r="F35" i="5"/>
  <c r="F33" i="5" s="1"/>
  <c r="G35" i="5"/>
  <c r="G33" i="5" s="1"/>
  <c r="H35" i="5"/>
  <c r="H33" i="5" s="1"/>
  <c r="I35" i="5"/>
  <c r="I33" i="5" s="1"/>
  <c r="J35" i="5"/>
  <c r="J33" i="5" s="1"/>
  <c r="K35" i="5"/>
  <c r="K33" i="5" s="1"/>
  <c r="L35" i="5"/>
  <c r="L33" i="5" s="1"/>
  <c r="M35" i="5"/>
  <c r="M33" i="5" s="1"/>
  <c r="N35" i="5"/>
  <c r="N33" i="5" s="1"/>
  <c r="O35" i="5"/>
  <c r="O33" i="5" s="1"/>
  <c r="E36" i="5"/>
  <c r="E35" i="5"/>
  <c r="E33" i="5" s="1"/>
  <c r="F26" i="5"/>
  <c r="F24" i="5" s="1"/>
  <c r="G26" i="5"/>
  <c r="G24" i="5" s="1"/>
  <c r="H26" i="5"/>
  <c r="H24" i="5" s="1"/>
  <c r="I26" i="5"/>
  <c r="I24" i="5" s="1"/>
  <c r="J26" i="5"/>
  <c r="J24" i="5" s="1"/>
  <c r="K26" i="5"/>
  <c r="K24" i="5" s="1"/>
  <c r="L26" i="5"/>
  <c r="L24" i="5" s="1"/>
  <c r="M26" i="5"/>
  <c r="M24" i="5" s="1"/>
  <c r="N26" i="5"/>
  <c r="N24" i="5" s="1"/>
  <c r="O26" i="5"/>
  <c r="O24" i="5" s="1"/>
  <c r="E27" i="5"/>
  <c r="E26" i="5"/>
  <c r="E24" i="5" s="1"/>
  <c r="E17" i="5"/>
  <c r="F17" i="5"/>
  <c r="F15" i="5" s="1"/>
  <c r="G17" i="5"/>
  <c r="G15" i="5" s="1"/>
  <c r="H17" i="5"/>
  <c r="H15" i="5" s="1"/>
  <c r="I17" i="5"/>
  <c r="I15" i="5" s="1"/>
  <c r="J17" i="5"/>
  <c r="J15" i="5" s="1"/>
  <c r="K17" i="5"/>
  <c r="K15" i="5" s="1"/>
  <c r="L17" i="5"/>
  <c r="L15" i="5" s="1"/>
  <c r="M17" i="5"/>
  <c r="M15" i="5" s="1"/>
  <c r="N17" i="5"/>
  <c r="N15" i="5" s="1"/>
  <c r="O17" i="5"/>
  <c r="O15" i="5" s="1"/>
  <c r="E18" i="5"/>
  <c r="L14" i="2" l="1"/>
  <c r="K42" i="1"/>
  <c r="K33" i="1" s="1"/>
  <c r="K9" i="2"/>
  <c r="K132" i="5"/>
  <c r="J132" i="5"/>
  <c r="L21" i="2"/>
  <c r="K50" i="1"/>
  <c r="J20" i="1"/>
  <c r="J32" i="1"/>
  <c r="K78" i="6"/>
  <c r="L18" i="2"/>
  <c r="K47" i="1"/>
  <c r="J35" i="1"/>
  <c r="G110" i="5"/>
  <c r="F105" i="5"/>
  <c r="G119" i="5"/>
  <c r="F114" i="5"/>
  <c r="G128" i="5"/>
  <c r="F123" i="5"/>
  <c r="G146" i="5"/>
  <c r="F141" i="5"/>
  <c r="G101" i="5"/>
  <c r="F96" i="5"/>
  <c r="E15" i="5"/>
  <c r="L41" i="1"/>
  <c r="M13" i="2"/>
  <c r="O25" i="2"/>
  <c r="O55" i="1" s="1"/>
  <c r="N55" i="1"/>
  <c r="O23" i="2"/>
  <c r="O53" i="1" s="1"/>
  <c r="O26" i="1" s="1"/>
  <c r="N53" i="1"/>
  <c r="N26" i="1" s="1"/>
  <c r="L27" i="2"/>
  <c r="K57" i="1"/>
  <c r="K22" i="2"/>
  <c r="J51" i="1"/>
  <c r="J46" i="1"/>
  <c r="J12" i="2"/>
  <c r="J6" i="2" s="1"/>
  <c r="K45" i="1"/>
  <c r="K12" i="2"/>
  <c r="K6" i="2" s="1"/>
  <c r="L17" i="2"/>
  <c r="J36" i="1"/>
  <c r="L20" i="2"/>
  <c r="K49" i="1"/>
  <c r="J34" i="1"/>
  <c r="J40" i="1"/>
  <c r="L15" i="2"/>
  <c r="K43" i="1"/>
  <c r="K10" i="2"/>
  <c r="E63" i="1"/>
  <c r="E9" i="1" s="1"/>
  <c r="D43" i="7" s="1"/>
  <c r="D52" i="7" s="1"/>
  <c r="E18" i="1"/>
  <c r="O19" i="2"/>
  <c r="K16" i="2"/>
  <c r="K44" i="1" s="1"/>
  <c r="J11" i="2"/>
  <c r="J5" i="2" s="1"/>
  <c r="E45" i="7"/>
  <c r="M14" i="2" l="1"/>
  <c r="L42" i="1"/>
  <c r="L33" i="1" s="1"/>
  <c r="L9" i="2"/>
  <c r="K35" i="1"/>
  <c r="L50" i="1"/>
  <c r="M21" i="2"/>
  <c r="K20" i="1"/>
  <c r="K32" i="1"/>
  <c r="L78" i="6"/>
  <c r="M18" i="2"/>
  <c r="L47" i="1"/>
  <c r="L20" i="1" s="1"/>
  <c r="L8" i="2"/>
  <c r="L133" i="5" s="1"/>
  <c r="L32" i="1"/>
  <c r="H101" i="5"/>
  <c r="G96" i="5"/>
  <c r="H146" i="5"/>
  <c r="G141" i="5"/>
  <c r="H128" i="5"/>
  <c r="G123" i="5"/>
  <c r="H119" i="5"/>
  <c r="G114" i="5"/>
  <c r="H110" i="5"/>
  <c r="G105" i="5"/>
  <c r="M41" i="1"/>
  <c r="N13" i="2"/>
  <c r="L45" i="1"/>
  <c r="M17" i="2"/>
  <c r="J4" i="2"/>
  <c r="L22" i="2"/>
  <c r="K51" i="1"/>
  <c r="K46" i="1" s="1"/>
  <c r="K36" i="1"/>
  <c r="K52" i="1"/>
  <c r="M27" i="2"/>
  <c r="L57" i="1"/>
  <c r="M20" i="2"/>
  <c r="L49" i="1"/>
  <c r="M15" i="2"/>
  <c r="L43" i="1"/>
  <c r="L10" i="2"/>
  <c r="K34" i="1"/>
  <c r="K40" i="1"/>
  <c r="L16" i="2"/>
  <c r="L44" i="1" s="1"/>
  <c r="L35" i="1" s="1"/>
  <c r="K11" i="2"/>
  <c r="K5" i="2" s="1"/>
  <c r="K4" i="2" s="1"/>
  <c r="D70" i="7"/>
  <c r="N14" i="2" l="1"/>
  <c r="M42" i="1"/>
  <c r="M33" i="1" s="1"/>
  <c r="M9" i="2"/>
  <c r="L132" i="5"/>
  <c r="M78" i="6"/>
  <c r="N18" i="2"/>
  <c r="M47" i="1"/>
  <c r="M20" i="1" s="1"/>
  <c r="N21" i="2"/>
  <c r="M50" i="1"/>
  <c r="M8" i="2"/>
  <c r="M133" i="5" s="1"/>
  <c r="I110" i="5"/>
  <c r="H105" i="5"/>
  <c r="I119" i="5"/>
  <c r="H114" i="5"/>
  <c r="I128" i="5"/>
  <c r="H123" i="5"/>
  <c r="I146" i="5"/>
  <c r="H141" i="5"/>
  <c r="I101" i="5"/>
  <c r="H96" i="5"/>
  <c r="N41" i="1"/>
  <c r="O13" i="2"/>
  <c r="N8" i="2"/>
  <c r="N133" i="5" s="1"/>
  <c r="L52" i="1"/>
  <c r="N27" i="2"/>
  <c r="M57" i="1"/>
  <c r="M22" i="2"/>
  <c r="L51" i="1"/>
  <c r="L36" i="1" s="1"/>
  <c r="M45" i="1"/>
  <c r="M12" i="2"/>
  <c r="M6" i="2" s="1"/>
  <c r="N17" i="2"/>
  <c r="L12" i="2"/>
  <c r="L6" i="2" s="1"/>
  <c r="L46" i="1"/>
  <c r="N20" i="2"/>
  <c r="M49" i="1"/>
  <c r="L34" i="1"/>
  <c r="L40" i="1"/>
  <c r="N15" i="2"/>
  <c r="M43" i="1"/>
  <c r="M10" i="2"/>
  <c r="M16" i="2"/>
  <c r="M44" i="1" s="1"/>
  <c r="L11" i="2"/>
  <c r="L5" i="2" s="1"/>
  <c r="O14" i="2" l="1"/>
  <c r="N42" i="1"/>
  <c r="N33" i="1" s="1"/>
  <c r="N9" i="2"/>
  <c r="N132" i="5"/>
  <c r="M132" i="5"/>
  <c r="O21" i="2"/>
  <c r="O50" i="1" s="1"/>
  <c r="N50" i="1"/>
  <c r="M35" i="1"/>
  <c r="N78" i="6"/>
  <c r="O18" i="2"/>
  <c r="N47" i="1"/>
  <c r="N20" i="1" s="1"/>
  <c r="M32" i="1"/>
  <c r="J101" i="5"/>
  <c r="I96" i="5"/>
  <c r="J146" i="5"/>
  <c r="I141" i="5"/>
  <c r="J128" i="5"/>
  <c r="I123" i="5"/>
  <c r="J119" i="5"/>
  <c r="I114" i="5"/>
  <c r="J110" i="5"/>
  <c r="I105" i="5"/>
  <c r="O41" i="1"/>
  <c r="L4" i="2"/>
  <c r="N45" i="1"/>
  <c r="O17" i="2"/>
  <c r="N22" i="2"/>
  <c r="M51" i="1"/>
  <c r="M36" i="1"/>
  <c r="M52" i="1"/>
  <c r="O27" i="2"/>
  <c r="O57" i="1" s="1"/>
  <c r="N57" i="1"/>
  <c r="M46" i="1"/>
  <c r="O20" i="2"/>
  <c r="O49" i="1" s="1"/>
  <c r="N49" i="1"/>
  <c r="M34" i="1"/>
  <c r="M40" i="1"/>
  <c r="O15" i="2"/>
  <c r="N43" i="1"/>
  <c r="N10" i="2"/>
  <c r="N16" i="2"/>
  <c r="N44" i="1" s="1"/>
  <c r="M11" i="2"/>
  <c r="M5" i="2" s="1"/>
  <c r="M4" i="2" s="1"/>
  <c r="O42" i="1" l="1"/>
  <c r="O33" i="1" s="1"/>
  <c r="O9" i="2"/>
  <c r="N32" i="1"/>
  <c r="O47" i="1"/>
  <c r="O20" i="1" s="1"/>
  <c r="O78" i="6"/>
  <c r="N35" i="1"/>
  <c r="O8" i="2"/>
  <c r="O133" i="5" s="1"/>
  <c r="K110" i="5"/>
  <c r="J105" i="5"/>
  <c r="K119" i="5"/>
  <c r="J114" i="5"/>
  <c r="K128" i="5"/>
  <c r="J123" i="5"/>
  <c r="K146" i="5"/>
  <c r="J141" i="5"/>
  <c r="K101" i="5"/>
  <c r="J96" i="5"/>
  <c r="N52" i="1"/>
  <c r="O52" i="1"/>
  <c r="O22" i="2"/>
  <c r="O51" i="1" s="1"/>
  <c r="O46" i="1" s="1"/>
  <c r="N51" i="1"/>
  <c r="N36" i="1" s="1"/>
  <c r="N12" i="2"/>
  <c r="N6" i="2" s="1"/>
  <c r="O12" i="2"/>
  <c r="O6" i="2" s="1"/>
  <c r="O45" i="1"/>
  <c r="O36" i="1" s="1"/>
  <c r="N46" i="1"/>
  <c r="N34" i="1"/>
  <c r="N40" i="1"/>
  <c r="O43" i="1"/>
  <c r="O10" i="2"/>
  <c r="O16" i="2"/>
  <c r="N11" i="2"/>
  <c r="N5" i="2" s="1"/>
  <c r="O132" i="5" l="1"/>
  <c r="O32" i="1"/>
  <c r="L101" i="5"/>
  <c r="K96" i="5"/>
  <c r="L146" i="5"/>
  <c r="K141" i="5"/>
  <c r="L128" i="5"/>
  <c r="K123" i="5"/>
  <c r="L119" i="5"/>
  <c r="K114" i="5"/>
  <c r="L110" i="5"/>
  <c r="K105" i="5"/>
  <c r="N4" i="2"/>
  <c r="O11" i="2"/>
  <c r="O5" i="2" s="1"/>
  <c r="O4" i="2" s="1"/>
  <c r="O44" i="1"/>
  <c r="O35" i="1" s="1"/>
  <c r="O34" i="1"/>
  <c r="O40" i="1"/>
  <c r="F88" i="5"/>
  <c r="F79" i="5"/>
  <c r="F75" i="5"/>
  <c r="F62" i="5"/>
  <c r="F89" i="4"/>
  <c r="G89" i="4" s="1"/>
  <c r="H89" i="4" s="1"/>
  <c r="I89" i="4" s="1"/>
  <c r="J89" i="4" s="1"/>
  <c r="K89" i="4" s="1"/>
  <c r="L89" i="4" s="1"/>
  <c r="M89" i="4" s="1"/>
  <c r="N89" i="4" s="1"/>
  <c r="O89" i="4" s="1"/>
  <c r="F80" i="4"/>
  <c r="G80" i="4" s="1"/>
  <c r="H80" i="4" s="1"/>
  <c r="I80" i="4" s="1"/>
  <c r="J80" i="4" s="1"/>
  <c r="K80" i="4" s="1"/>
  <c r="L80" i="4" s="1"/>
  <c r="M80" i="4" s="1"/>
  <c r="N80" i="4" s="1"/>
  <c r="O80" i="4" s="1"/>
  <c r="F81" i="4"/>
  <c r="G81" i="4"/>
  <c r="H81" i="4" s="1"/>
  <c r="I81" i="4" s="1"/>
  <c r="J81" i="4" s="1"/>
  <c r="K81" i="4" s="1"/>
  <c r="L81" i="4" s="1"/>
  <c r="M81" i="4" s="1"/>
  <c r="N81" i="4" s="1"/>
  <c r="O81" i="4" s="1"/>
  <c r="F71" i="4"/>
  <c r="G71" i="4" s="1"/>
  <c r="H71" i="4" s="1"/>
  <c r="I71" i="4" s="1"/>
  <c r="J71" i="4" s="1"/>
  <c r="K71" i="4" s="1"/>
  <c r="L71" i="4" s="1"/>
  <c r="M71" i="4" s="1"/>
  <c r="N71" i="4" s="1"/>
  <c r="O71" i="4" s="1"/>
  <c r="F62" i="4"/>
  <c r="G62" i="4" s="1"/>
  <c r="H62" i="4" s="1"/>
  <c r="I62" i="4" s="1"/>
  <c r="J62" i="4" s="1"/>
  <c r="K62" i="4" s="1"/>
  <c r="L62" i="4" s="1"/>
  <c r="M62" i="4" s="1"/>
  <c r="N62" i="4" s="1"/>
  <c r="O62" i="4" s="1"/>
  <c r="F53" i="4"/>
  <c r="G53" i="4"/>
  <c r="H53" i="4" s="1"/>
  <c r="I53" i="4" s="1"/>
  <c r="J53" i="4" s="1"/>
  <c r="K53" i="4" s="1"/>
  <c r="L53" i="4" s="1"/>
  <c r="M53" i="4" s="1"/>
  <c r="N53" i="4" s="1"/>
  <c r="O53" i="4" s="1"/>
  <c r="F44" i="4"/>
  <c r="G44" i="4" s="1"/>
  <c r="H44" i="4" s="1"/>
  <c r="I44" i="4" s="1"/>
  <c r="J44" i="4" s="1"/>
  <c r="K44" i="4" s="1"/>
  <c r="L44" i="4" s="1"/>
  <c r="M44" i="4" s="1"/>
  <c r="N44" i="4" s="1"/>
  <c r="O44" i="4" s="1"/>
  <c r="F45" i="4"/>
  <c r="G45" i="4" s="1"/>
  <c r="H45" i="4" s="1"/>
  <c r="I45" i="4" s="1"/>
  <c r="J45" i="4" s="1"/>
  <c r="K45" i="4" s="1"/>
  <c r="L45" i="4" s="1"/>
  <c r="M45" i="4" s="1"/>
  <c r="N45" i="4" s="1"/>
  <c r="O45" i="4" s="1"/>
  <c r="F35" i="4"/>
  <c r="G35" i="4" s="1"/>
  <c r="H35" i="4" s="1"/>
  <c r="I35" i="4" s="1"/>
  <c r="J35" i="4" s="1"/>
  <c r="K35" i="4" s="1"/>
  <c r="L35" i="4" s="1"/>
  <c r="M35" i="4" s="1"/>
  <c r="N35" i="4" s="1"/>
  <c r="O35" i="4" s="1"/>
  <c r="F36" i="4"/>
  <c r="G36" i="4" s="1"/>
  <c r="H36" i="4" s="1"/>
  <c r="I36" i="4" s="1"/>
  <c r="J36" i="4" s="1"/>
  <c r="K36" i="4" s="1"/>
  <c r="L36" i="4" s="1"/>
  <c r="M36" i="4" s="1"/>
  <c r="N36" i="4" s="1"/>
  <c r="O36" i="4" s="1"/>
  <c r="F26" i="4"/>
  <c r="F27" i="4"/>
  <c r="G27" i="4"/>
  <c r="H27" i="4" s="1"/>
  <c r="I27" i="4" s="1"/>
  <c r="J27" i="4" s="1"/>
  <c r="K27" i="4" s="1"/>
  <c r="L27" i="4" s="1"/>
  <c r="M27" i="4" s="1"/>
  <c r="N27" i="4" s="1"/>
  <c r="O27" i="4" s="1"/>
  <c r="F8" i="4"/>
  <c r="F9" i="4"/>
  <c r="F10" i="4"/>
  <c r="F11" i="4"/>
  <c r="F12" i="4"/>
  <c r="F13" i="4"/>
  <c r="F40" i="4"/>
  <c r="G40" i="4" s="1"/>
  <c r="H40" i="4" s="1"/>
  <c r="I40" i="4" s="1"/>
  <c r="J40" i="4" s="1"/>
  <c r="K40" i="4" s="1"/>
  <c r="L40" i="4" s="1"/>
  <c r="M40" i="4" s="1"/>
  <c r="N40" i="4" s="1"/>
  <c r="O40" i="4" s="1"/>
  <c r="F39" i="4"/>
  <c r="G39" i="4" s="1"/>
  <c r="H39" i="4" s="1"/>
  <c r="I39" i="4" s="1"/>
  <c r="J39" i="4" s="1"/>
  <c r="K39" i="4" s="1"/>
  <c r="L39" i="4" s="1"/>
  <c r="M39" i="4" s="1"/>
  <c r="N39" i="4" s="1"/>
  <c r="O39" i="4" s="1"/>
  <c r="F38" i="4"/>
  <c r="G38" i="4" s="1"/>
  <c r="H38" i="4" s="1"/>
  <c r="I38" i="4" s="1"/>
  <c r="J38" i="4" s="1"/>
  <c r="K38" i="4" s="1"/>
  <c r="L38" i="4" s="1"/>
  <c r="M38" i="4" s="1"/>
  <c r="N38" i="4" s="1"/>
  <c r="O38" i="4" s="1"/>
  <c r="F37" i="4"/>
  <c r="G37" i="4" s="1"/>
  <c r="H37" i="4" s="1"/>
  <c r="I37" i="4" s="1"/>
  <c r="J37" i="4" s="1"/>
  <c r="K37" i="4" s="1"/>
  <c r="L37" i="4" s="1"/>
  <c r="M37" i="4" s="1"/>
  <c r="N37" i="4" s="1"/>
  <c r="O37" i="4" s="1"/>
  <c r="F34" i="4"/>
  <c r="G34" i="4" s="1"/>
  <c r="H34" i="4" s="1"/>
  <c r="I34" i="4" s="1"/>
  <c r="J34" i="4" s="1"/>
  <c r="K34" i="4" s="1"/>
  <c r="L34" i="4" s="1"/>
  <c r="M34" i="4" s="1"/>
  <c r="N34" i="4" s="1"/>
  <c r="O34" i="4" s="1"/>
  <c r="F33" i="4"/>
  <c r="G33" i="4" s="1"/>
  <c r="H33" i="4" s="1"/>
  <c r="I33" i="4" s="1"/>
  <c r="J33" i="4" s="1"/>
  <c r="K33" i="4" s="1"/>
  <c r="L33" i="4" s="1"/>
  <c r="M33" i="4" s="1"/>
  <c r="N33" i="4" s="1"/>
  <c r="O33" i="4" s="1"/>
  <c r="F31" i="4"/>
  <c r="F30" i="4"/>
  <c r="F29" i="4"/>
  <c r="F28" i="4"/>
  <c r="G28" i="4" s="1"/>
  <c r="H28" i="4" s="1"/>
  <c r="I28" i="4" s="1"/>
  <c r="J28" i="4" s="1"/>
  <c r="K28" i="4" s="1"/>
  <c r="L28" i="4" s="1"/>
  <c r="M28" i="4" s="1"/>
  <c r="N28" i="4" s="1"/>
  <c r="O28" i="4" s="1"/>
  <c r="F25" i="4"/>
  <c r="F24" i="4"/>
  <c r="G24" i="4" s="1"/>
  <c r="H24" i="4" s="1"/>
  <c r="I24" i="4" s="1"/>
  <c r="J24" i="4" s="1"/>
  <c r="K24" i="4" s="1"/>
  <c r="L24" i="4" s="1"/>
  <c r="M24" i="4" s="1"/>
  <c r="N24" i="4" s="1"/>
  <c r="O24" i="4" s="1"/>
  <c r="F7" i="4"/>
  <c r="F6" i="4"/>
  <c r="F88" i="4"/>
  <c r="G88" i="4" s="1"/>
  <c r="H88" i="4" s="1"/>
  <c r="I88" i="4" s="1"/>
  <c r="J88" i="4" s="1"/>
  <c r="K88" i="4" s="1"/>
  <c r="L88" i="4" s="1"/>
  <c r="M88" i="4" s="1"/>
  <c r="N88" i="4" s="1"/>
  <c r="O88" i="4" s="1"/>
  <c r="F90" i="4"/>
  <c r="G90" i="4" s="1"/>
  <c r="H90" i="4" s="1"/>
  <c r="I90" i="4" s="1"/>
  <c r="J90" i="4" s="1"/>
  <c r="K90" i="4" s="1"/>
  <c r="L90" i="4" s="1"/>
  <c r="M90" i="4" s="1"/>
  <c r="N90" i="4" s="1"/>
  <c r="O90" i="4" s="1"/>
  <c r="F91" i="4"/>
  <c r="G91" i="4" s="1"/>
  <c r="H91" i="4" s="1"/>
  <c r="I91" i="4" s="1"/>
  <c r="J91" i="4" s="1"/>
  <c r="K91" i="4" s="1"/>
  <c r="L91" i="4" s="1"/>
  <c r="M91" i="4" s="1"/>
  <c r="N91" i="4" s="1"/>
  <c r="O91" i="4" s="1"/>
  <c r="F92" i="4"/>
  <c r="G92" i="4" s="1"/>
  <c r="H92" i="4" s="1"/>
  <c r="I92" i="4" s="1"/>
  <c r="J92" i="4" s="1"/>
  <c r="K92" i="4" s="1"/>
  <c r="L92" i="4" s="1"/>
  <c r="M92" i="4" s="1"/>
  <c r="N92" i="4" s="1"/>
  <c r="O92" i="4" s="1"/>
  <c r="F93" i="4"/>
  <c r="G93" i="4" s="1"/>
  <c r="H93" i="4" s="1"/>
  <c r="I93" i="4" s="1"/>
  <c r="J93" i="4" s="1"/>
  <c r="K93" i="4" s="1"/>
  <c r="L93" i="4" s="1"/>
  <c r="M93" i="4" s="1"/>
  <c r="N93" i="4" s="1"/>
  <c r="O93" i="4" s="1"/>
  <c r="F94" i="4"/>
  <c r="G94" i="4" s="1"/>
  <c r="H94" i="4" s="1"/>
  <c r="I94" i="4" s="1"/>
  <c r="J94" i="4" s="1"/>
  <c r="K94" i="4" s="1"/>
  <c r="L94" i="4" s="1"/>
  <c r="M94" i="4" s="1"/>
  <c r="N94" i="4" s="1"/>
  <c r="O94" i="4" s="1"/>
  <c r="F87" i="4"/>
  <c r="G87" i="4" s="1"/>
  <c r="H87" i="4" s="1"/>
  <c r="I87" i="4" s="1"/>
  <c r="J87" i="4" s="1"/>
  <c r="K87" i="4" s="1"/>
  <c r="L87" i="4" s="1"/>
  <c r="M87" i="4" s="1"/>
  <c r="N87" i="4" s="1"/>
  <c r="O87" i="4" s="1"/>
  <c r="F79" i="4"/>
  <c r="G79" i="4" s="1"/>
  <c r="H79" i="4" s="1"/>
  <c r="I79" i="4" s="1"/>
  <c r="J79" i="4" s="1"/>
  <c r="K79" i="4" s="1"/>
  <c r="L79" i="4" s="1"/>
  <c r="M79" i="4" s="1"/>
  <c r="N79" i="4" s="1"/>
  <c r="O79" i="4" s="1"/>
  <c r="F82" i="4"/>
  <c r="G82" i="4" s="1"/>
  <c r="H82" i="4" s="1"/>
  <c r="I82" i="4" s="1"/>
  <c r="J82" i="4" s="1"/>
  <c r="K82" i="4" s="1"/>
  <c r="L82" i="4" s="1"/>
  <c r="M82" i="4" s="1"/>
  <c r="N82" i="4" s="1"/>
  <c r="O82" i="4" s="1"/>
  <c r="F83" i="4"/>
  <c r="G83" i="4" s="1"/>
  <c r="H83" i="4" s="1"/>
  <c r="I83" i="4" s="1"/>
  <c r="J83" i="4" s="1"/>
  <c r="K83" i="4" s="1"/>
  <c r="L83" i="4" s="1"/>
  <c r="M83" i="4" s="1"/>
  <c r="N83" i="4" s="1"/>
  <c r="O83" i="4" s="1"/>
  <c r="F84" i="4"/>
  <c r="G84" i="4" s="1"/>
  <c r="H84" i="4" s="1"/>
  <c r="I84" i="4" s="1"/>
  <c r="J84" i="4" s="1"/>
  <c r="K84" i="4" s="1"/>
  <c r="L84" i="4" s="1"/>
  <c r="M84" i="4" s="1"/>
  <c r="N84" i="4" s="1"/>
  <c r="O84" i="4" s="1"/>
  <c r="F85" i="4"/>
  <c r="G85" i="4" s="1"/>
  <c r="H85" i="4" s="1"/>
  <c r="I85" i="4" s="1"/>
  <c r="J85" i="4" s="1"/>
  <c r="K85" i="4" s="1"/>
  <c r="L85" i="4" s="1"/>
  <c r="M85" i="4" s="1"/>
  <c r="N85" i="4" s="1"/>
  <c r="O85" i="4" s="1"/>
  <c r="F78" i="4"/>
  <c r="G78" i="4" s="1"/>
  <c r="H78" i="4" s="1"/>
  <c r="I78" i="4" s="1"/>
  <c r="J78" i="4" s="1"/>
  <c r="K78" i="4" s="1"/>
  <c r="L78" i="4" s="1"/>
  <c r="M78" i="4" s="1"/>
  <c r="N78" i="4" s="1"/>
  <c r="O78" i="4" s="1"/>
  <c r="F70" i="4"/>
  <c r="G70" i="4" s="1"/>
  <c r="H70" i="4" s="1"/>
  <c r="I70" i="4" s="1"/>
  <c r="J70" i="4" s="1"/>
  <c r="K70" i="4" s="1"/>
  <c r="L70" i="4" s="1"/>
  <c r="M70" i="4" s="1"/>
  <c r="N70" i="4" s="1"/>
  <c r="O70" i="4" s="1"/>
  <c r="F72" i="4"/>
  <c r="G72" i="4" s="1"/>
  <c r="H72" i="4" s="1"/>
  <c r="I72" i="4" s="1"/>
  <c r="J72" i="4" s="1"/>
  <c r="K72" i="4" s="1"/>
  <c r="L72" i="4" s="1"/>
  <c r="M72" i="4" s="1"/>
  <c r="N72" i="4" s="1"/>
  <c r="O72" i="4" s="1"/>
  <c r="F73" i="4"/>
  <c r="G73" i="4" s="1"/>
  <c r="H73" i="4" s="1"/>
  <c r="I73" i="4" s="1"/>
  <c r="J73" i="4" s="1"/>
  <c r="K73" i="4" s="1"/>
  <c r="L73" i="4" s="1"/>
  <c r="M73" i="4" s="1"/>
  <c r="N73" i="4" s="1"/>
  <c r="O73" i="4" s="1"/>
  <c r="F74" i="4"/>
  <c r="G74" i="4" s="1"/>
  <c r="H74" i="4" s="1"/>
  <c r="I74" i="4" s="1"/>
  <c r="J74" i="4" s="1"/>
  <c r="K74" i="4" s="1"/>
  <c r="L74" i="4" s="1"/>
  <c r="M74" i="4" s="1"/>
  <c r="N74" i="4" s="1"/>
  <c r="O74" i="4" s="1"/>
  <c r="F75" i="4"/>
  <c r="G75" i="4" s="1"/>
  <c r="H75" i="4" s="1"/>
  <c r="I75" i="4" s="1"/>
  <c r="J75" i="4" s="1"/>
  <c r="K75" i="4" s="1"/>
  <c r="L75" i="4" s="1"/>
  <c r="M75" i="4" s="1"/>
  <c r="N75" i="4" s="1"/>
  <c r="O75" i="4" s="1"/>
  <c r="F76" i="4"/>
  <c r="G76" i="4" s="1"/>
  <c r="H76" i="4" s="1"/>
  <c r="I76" i="4" s="1"/>
  <c r="J76" i="4" s="1"/>
  <c r="K76" i="4" s="1"/>
  <c r="L76" i="4" s="1"/>
  <c r="M76" i="4" s="1"/>
  <c r="N76" i="4" s="1"/>
  <c r="O76" i="4" s="1"/>
  <c r="F69" i="4"/>
  <c r="G69" i="4" s="1"/>
  <c r="H69" i="4" s="1"/>
  <c r="I69" i="4" s="1"/>
  <c r="J69" i="4" s="1"/>
  <c r="K69" i="4" s="1"/>
  <c r="L69" i="4" s="1"/>
  <c r="M69" i="4" s="1"/>
  <c r="N69" i="4" s="1"/>
  <c r="O69" i="4" s="1"/>
  <c r="F67" i="4"/>
  <c r="G67" i="4" s="1"/>
  <c r="H67" i="4" s="1"/>
  <c r="I67" i="4" s="1"/>
  <c r="J67" i="4" s="1"/>
  <c r="K67" i="4" s="1"/>
  <c r="L67" i="4" s="1"/>
  <c r="M67" i="4" s="1"/>
  <c r="N67" i="4" s="1"/>
  <c r="O67" i="4" s="1"/>
  <c r="F66" i="4"/>
  <c r="G66" i="4" s="1"/>
  <c r="H66" i="4" s="1"/>
  <c r="I66" i="4" s="1"/>
  <c r="J66" i="4" s="1"/>
  <c r="K66" i="4" s="1"/>
  <c r="L66" i="4" s="1"/>
  <c r="M66" i="4" s="1"/>
  <c r="N66" i="4" s="1"/>
  <c r="O66" i="4" s="1"/>
  <c r="F65" i="4"/>
  <c r="G65" i="4" s="1"/>
  <c r="H65" i="4" s="1"/>
  <c r="I65" i="4" s="1"/>
  <c r="J65" i="4" s="1"/>
  <c r="K65" i="4" s="1"/>
  <c r="L65" i="4" s="1"/>
  <c r="M65" i="4" s="1"/>
  <c r="N65" i="4" s="1"/>
  <c r="O65" i="4" s="1"/>
  <c r="F64" i="4"/>
  <c r="G64" i="4" s="1"/>
  <c r="H64" i="4" s="1"/>
  <c r="I64" i="4" s="1"/>
  <c r="J64" i="4" s="1"/>
  <c r="K64" i="4" s="1"/>
  <c r="L64" i="4" s="1"/>
  <c r="M64" i="4" s="1"/>
  <c r="N64" i="4" s="1"/>
  <c r="O64" i="4" s="1"/>
  <c r="F63" i="4"/>
  <c r="G63" i="4" s="1"/>
  <c r="H63" i="4" s="1"/>
  <c r="I63" i="4" s="1"/>
  <c r="J63" i="4" s="1"/>
  <c r="K63" i="4" s="1"/>
  <c r="L63" i="4" s="1"/>
  <c r="M63" i="4" s="1"/>
  <c r="N63" i="4" s="1"/>
  <c r="O63" i="4" s="1"/>
  <c r="F61" i="4"/>
  <c r="G61" i="4" s="1"/>
  <c r="H61" i="4" s="1"/>
  <c r="I61" i="4" s="1"/>
  <c r="J61" i="4" s="1"/>
  <c r="K61" i="4" s="1"/>
  <c r="L61" i="4" s="1"/>
  <c r="M61" i="4" s="1"/>
  <c r="N61" i="4" s="1"/>
  <c r="O61" i="4" s="1"/>
  <c r="F60" i="4"/>
  <c r="G60" i="4" s="1"/>
  <c r="H60" i="4" s="1"/>
  <c r="I60" i="4" s="1"/>
  <c r="J60" i="4" s="1"/>
  <c r="K60" i="4" s="1"/>
  <c r="L60" i="4" s="1"/>
  <c r="M60" i="4" s="1"/>
  <c r="N60" i="4" s="1"/>
  <c r="O60" i="4" s="1"/>
  <c r="F49" i="4"/>
  <c r="G49" i="4" s="1"/>
  <c r="H49" i="4" s="1"/>
  <c r="I49" i="4" s="1"/>
  <c r="J49" i="4" s="1"/>
  <c r="K49" i="4" s="1"/>
  <c r="L49" i="4" s="1"/>
  <c r="M49" i="4" s="1"/>
  <c r="N49" i="4" s="1"/>
  <c r="O49" i="4" s="1"/>
  <c r="F48" i="4"/>
  <c r="G48" i="4" s="1"/>
  <c r="H48" i="4" s="1"/>
  <c r="I48" i="4" s="1"/>
  <c r="J48" i="4" s="1"/>
  <c r="K48" i="4" s="1"/>
  <c r="L48" i="4" s="1"/>
  <c r="M48" i="4" s="1"/>
  <c r="N48" i="4" s="1"/>
  <c r="O48" i="4" s="1"/>
  <c r="F47" i="4"/>
  <c r="G47" i="4" s="1"/>
  <c r="H47" i="4" s="1"/>
  <c r="I47" i="4" s="1"/>
  <c r="J47" i="4" s="1"/>
  <c r="K47" i="4" s="1"/>
  <c r="L47" i="4" s="1"/>
  <c r="M47" i="4" s="1"/>
  <c r="N47" i="4" s="1"/>
  <c r="O47" i="4" s="1"/>
  <c r="F52" i="4"/>
  <c r="G52" i="4" s="1"/>
  <c r="H52" i="4" s="1"/>
  <c r="I52" i="4" s="1"/>
  <c r="J52" i="4" s="1"/>
  <c r="K52" i="4" s="1"/>
  <c r="L52" i="4" s="1"/>
  <c r="M52" i="4" s="1"/>
  <c r="N52" i="4" s="1"/>
  <c r="O52" i="4" s="1"/>
  <c r="F54" i="4"/>
  <c r="G54" i="4" s="1"/>
  <c r="H54" i="4" s="1"/>
  <c r="I54" i="4" s="1"/>
  <c r="J54" i="4" s="1"/>
  <c r="K54" i="4" s="1"/>
  <c r="L54" i="4" s="1"/>
  <c r="M54" i="4" s="1"/>
  <c r="N54" i="4" s="1"/>
  <c r="O54" i="4" s="1"/>
  <c r="F55" i="4"/>
  <c r="G55" i="4" s="1"/>
  <c r="H55" i="4" s="1"/>
  <c r="I55" i="4" s="1"/>
  <c r="J55" i="4" s="1"/>
  <c r="K55" i="4" s="1"/>
  <c r="L55" i="4" s="1"/>
  <c r="M55" i="4" s="1"/>
  <c r="N55" i="4" s="1"/>
  <c r="O55" i="4" s="1"/>
  <c r="F56" i="4"/>
  <c r="G56" i="4" s="1"/>
  <c r="H56" i="4" s="1"/>
  <c r="I56" i="4" s="1"/>
  <c r="J56" i="4" s="1"/>
  <c r="K56" i="4" s="1"/>
  <c r="L56" i="4" s="1"/>
  <c r="M56" i="4" s="1"/>
  <c r="N56" i="4" s="1"/>
  <c r="O56" i="4" s="1"/>
  <c r="F57" i="4"/>
  <c r="G57" i="4" s="1"/>
  <c r="H57" i="4" s="1"/>
  <c r="I57" i="4" s="1"/>
  <c r="J57" i="4" s="1"/>
  <c r="K57" i="4" s="1"/>
  <c r="L57" i="4" s="1"/>
  <c r="M57" i="4" s="1"/>
  <c r="N57" i="4" s="1"/>
  <c r="O57" i="4" s="1"/>
  <c r="F58" i="4"/>
  <c r="G58" i="4" s="1"/>
  <c r="H58" i="4" s="1"/>
  <c r="I58" i="4" s="1"/>
  <c r="J58" i="4" s="1"/>
  <c r="K58" i="4" s="1"/>
  <c r="L58" i="4" s="1"/>
  <c r="M58" i="4" s="1"/>
  <c r="N58" i="4" s="1"/>
  <c r="O58" i="4" s="1"/>
  <c r="F51" i="4"/>
  <c r="G51" i="4" s="1"/>
  <c r="H51" i="4" s="1"/>
  <c r="I51" i="4" s="1"/>
  <c r="J51" i="4" s="1"/>
  <c r="K51" i="4" s="1"/>
  <c r="L51" i="4" s="1"/>
  <c r="M51" i="4" s="1"/>
  <c r="N51" i="4" s="1"/>
  <c r="O51" i="4" s="1"/>
  <c r="D63" i="7"/>
  <c r="D81" i="7" s="1"/>
  <c r="D126" i="7" s="1"/>
  <c r="D61" i="7"/>
  <c r="D79" i="7" s="1"/>
  <c r="D62" i="7"/>
  <c r="D80" i="7" s="1"/>
  <c r="D64" i="7"/>
  <c r="D82" i="7" s="1"/>
  <c r="E7" i="3"/>
  <c r="F7" i="3" s="1"/>
  <c r="F46" i="4"/>
  <c r="G46" i="4" s="1"/>
  <c r="H46" i="4" s="1"/>
  <c r="I46" i="4" s="1"/>
  <c r="J46" i="4" s="1"/>
  <c r="K46" i="4" s="1"/>
  <c r="L46" i="4" s="1"/>
  <c r="M46" i="4" s="1"/>
  <c r="N46" i="4" s="1"/>
  <c r="O46" i="4" s="1"/>
  <c r="F43" i="4"/>
  <c r="G43" i="4" s="1"/>
  <c r="H43" i="4" s="1"/>
  <c r="I43" i="4" s="1"/>
  <c r="J43" i="4" s="1"/>
  <c r="K43" i="4" s="1"/>
  <c r="L43" i="4" s="1"/>
  <c r="M43" i="4" s="1"/>
  <c r="N43" i="4" s="1"/>
  <c r="O43" i="4" s="1"/>
  <c r="F42" i="4"/>
  <c r="G42" i="4" s="1"/>
  <c r="H42" i="4" s="1"/>
  <c r="I42" i="4" s="1"/>
  <c r="J42" i="4" s="1"/>
  <c r="K42" i="4" s="1"/>
  <c r="L42" i="4" s="1"/>
  <c r="M42" i="4" s="1"/>
  <c r="N42" i="4" s="1"/>
  <c r="O42" i="4" s="1"/>
  <c r="G88" i="5" l="1"/>
  <c r="F87" i="5"/>
  <c r="M128" i="5"/>
  <c r="L123" i="5"/>
  <c r="M146" i="5"/>
  <c r="L141" i="5"/>
  <c r="M119" i="5"/>
  <c r="L114" i="5"/>
  <c r="G79" i="5"/>
  <c r="F78" i="5"/>
  <c r="M110" i="5"/>
  <c r="L105" i="5"/>
  <c r="G62" i="5"/>
  <c r="F60" i="5"/>
  <c r="G75" i="5"/>
  <c r="F69" i="5"/>
  <c r="M101" i="5"/>
  <c r="L96" i="5"/>
  <c r="F13" i="3"/>
  <c r="F67" i="1"/>
  <c r="G31" i="4"/>
  <c r="G29" i="4"/>
  <c r="G26" i="4"/>
  <c r="G25" i="4"/>
  <c r="G30" i="4"/>
  <c r="E72" i="7"/>
  <c r="D100" i="7"/>
  <c r="D127" i="7"/>
  <c r="D98" i="7"/>
  <c r="D125" i="7"/>
  <c r="D97" i="7"/>
  <c r="D124" i="7"/>
  <c r="G10" i="4"/>
  <c r="G9" i="4"/>
  <c r="G8" i="4"/>
  <c r="G11" i="4"/>
  <c r="G6" i="4"/>
  <c r="G7" i="4"/>
  <c r="G13" i="4"/>
  <c r="G12" i="4"/>
  <c r="E54" i="7"/>
  <c r="E63" i="7" s="1"/>
  <c r="E34" i="1"/>
  <c r="E67" i="1"/>
  <c r="G7" i="3"/>
  <c r="D99" i="7"/>
  <c r="F9" i="3"/>
  <c r="E8" i="3"/>
  <c r="E33" i="1"/>
  <c r="F16" i="1" l="1"/>
  <c r="N110" i="5"/>
  <c r="M105" i="5"/>
  <c r="H79" i="5"/>
  <c r="G78" i="5"/>
  <c r="N119" i="5"/>
  <c r="M114" i="5"/>
  <c r="N101" i="5"/>
  <c r="M96" i="5"/>
  <c r="N146" i="5"/>
  <c r="M141" i="5"/>
  <c r="H75" i="5"/>
  <c r="G69" i="5"/>
  <c r="N128" i="5"/>
  <c r="M123" i="5"/>
  <c r="H62" i="5"/>
  <c r="G60" i="5"/>
  <c r="H88" i="5"/>
  <c r="G87" i="5"/>
  <c r="E61" i="1"/>
  <c r="E7" i="1" s="1"/>
  <c r="D41" i="7" s="1"/>
  <c r="E16" i="1"/>
  <c r="F69" i="1"/>
  <c r="F18" i="1" s="1"/>
  <c r="F15" i="3"/>
  <c r="E32" i="1"/>
  <c r="E65" i="1"/>
  <c r="E59" i="1" s="1"/>
  <c r="G67" i="1"/>
  <c r="G16" i="1" s="1"/>
  <c r="G13" i="3"/>
  <c r="G18" i="3" s="1"/>
  <c r="F28" i="1"/>
  <c r="H31" i="4"/>
  <c r="H29" i="4"/>
  <c r="H26" i="4"/>
  <c r="H25" i="4"/>
  <c r="E81" i="7"/>
  <c r="H30" i="4"/>
  <c r="D116" i="7"/>
  <c r="D143" i="7" s="1"/>
  <c r="D134" i="7"/>
  <c r="D118" i="7"/>
  <c r="D145" i="7" s="1"/>
  <c r="D136" i="7"/>
  <c r="D117" i="7"/>
  <c r="D135" i="7"/>
  <c r="D115" i="7"/>
  <c r="D142" i="7" s="1"/>
  <c r="D133" i="7"/>
  <c r="H7" i="4"/>
  <c r="H8" i="4"/>
  <c r="H6" i="4"/>
  <c r="H12" i="4"/>
  <c r="H9" i="4"/>
  <c r="H11" i="4"/>
  <c r="H13" i="4"/>
  <c r="H10" i="4"/>
  <c r="E68" i="1"/>
  <c r="E35" i="1"/>
  <c r="E66" i="1"/>
  <c r="E15" i="1" s="1"/>
  <c r="F5" i="3"/>
  <c r="F65" i="1" s="1"/>
  <c r="G9" i="3"/>
  <c r="H7" i="3"/>
  <c r="F14" i="1" l="1"/>
  <c r="F59" i="1"/>
  <c r="O146" i="5"/>
  <c r="O141" i="5" s="1"/>
  <c r="N141" i="5"/>
  <c r="I75" i="5"/>
  <c r="H69" i="5"/>
  <c r="O101" i="5"/>
  <c r="O96" i="5" s="1"/>
  <c r="N96" i="5"/>
  <c r="I88" i="5"/>
  <c r="H87" i="5"/>
  <c r="O119" i="5"/>
  <c r="O114" i="5" s="1"/>
  <c r="N114" i="5"/>
  <c r="I62" i="5"/>
  <c r="H60" i="5"/>
  <c r="I79" i="5"/>
  <c r="H78" i="5"/>
  <c r="O128" i="5"/>
  <c r="O123" i="5" s="1"/>
  <c r="N123" i="5"/>
  <c r="O110" i="5"/>
  <c r="O105" i="5" s="1"/>
  <c r="N105" i="5"/>
  <c r="E5" i="1"/>
  <c r="D39" i="7" s="1"/>
  <c r="D66" i="7" s="1"/>
  <c r="E14" i="1"/>
  <c r="E62" i="1"/>
  <c r="F61" i="1"/>
  <c r="F22" i="1"/>
  <c r="F68" i="1"/>
  <c r="G28" i="1"/>
  <c r="G22" i="1"/>
  <c r="G61" i="1"/>
  <c r="G7" i="1" s="1"/>
  <c r="H67" i="1"/>
  <c r="H16" i="1" s="1"/>
  <c r="H13" i="3"/>
  <c r="H18" i="3" s="1"/>
  <c r="G15" i="3"/>
  <c r="G20" i="3" s="1"/>
  <c r="G69" i="1"/>
  <c r="G18" i="1" s="1"/>
  <c r="F30" i="1"/>
  <c r="F66" i="1"/>
  <c r="F15" i="1" s="1"/>
  <c r="F17" i="3"/>
  <c r="E8" i="1"/>
  <c r="E60" i="1"/>
  <c r="E6" i="1" s="1"/>
  <c r="E64" i="1"/>
  <c r="E13" i="1" s="1"/>
  <c r="E31" i="1"/>
  <c r="D50" i="7"/>
  <c r="D59" i="7" s="1"/>
  <c r="D68" i="7"/>
  <c r="E126" i="7"/>
  <c r="I31" i="4"/>
  <c r="I29" i="4"/>
  <c r="I26" i="4"/>
  <c r="I25" i="4"/>
  <c r="I30" i="4"/>
  <c r="D144" i="7"/>
  <c r="I12" i="4"/>
  <c r="I10" i="4"/>
  <c r="I13" i="4"/>
  <c r="I9" i="4"/>
  <c r="I6" i="4"/>
  <c r="I8" i="4"/>
  <c r="I11" i="4"/>
  <c r="I7" i="4"/>
  <c r="H9" i="3"/>
  <c r="G5" i="3"/>
  <c r="G65" i="1" s="1"/>
  <c r="G14" i="1" s="1"/>
  <c r="G6" i="3"/>
  <c r="I7" i="3"/>
  <c r="G8" i="3"/>
  <c r="F22" i="3" l="1"/>
  <c r="F72" i="1"/>
  <c r="F70" i="1" s="1"/>
  <c r="F48" i="1"/>
  <c r="F46" i="1" s="1"/>
  <c r="F17" i="1"/>
  <c r="F64" i="1"/>
  <c r="F13" i="1" s="1"/>
  <c r="F7" i="1"/>
  <c r="E41" i="7"/>
  <c r="E50" i="7" s="1"/>
  <c r="E59" i="7" s="1"/>
  <c r="F90" i="6"/>
  <c r="F41" i="7"/>
  <c r="F50" i="7" s="1"/>
  <c r="F59" i="7" s="1"/>
  <c r="G90" i="6"/>
  <c r="J62" i="5"/>
  <c r="I60" i="5"/>
  <c r="J88" i="5"/>
  <c r="I87" i="5"/>
  <c r="J75" i="5"/>
  <c r="I69" i="5"/>
  <c r="J79" i="5"/>
  <c r="I78" i="5"/>
  <c r="E58" i="1"/>
  <c r="F63" i="1"/>
  <c r="F24" i="1"/>
  <c r="E4" i="1"/>
  <c r="E68" i="7"/>
  <c r="H28" i="1"/>
  <c r="H22" i="1"/>
  <c r="H61" i="1"/>
  <c r="H7" i="1" s="1"/>
  <c r="G24" i="1"/>
  <c r="G30" i="1"/>
  <c r="G68" i="1"/>
  <c r="G17" i="1" s="1"/>
  <c r="G14" i="3"/>
  <c r="G19" i="3" s="1"/>
  <c r="I67" i="1"/>
  <c r="I16" i="1" s="1"/>
  <c r="I13" i="3"/>
  <c r="I18" i="3" s="1"/>
  <c r="H15" i="3"/>
  <c r="H20" i="3" s="1"/>
  <c r="H69" i="1"/>
  <c r="H18" i="1" s="1"/>
  <c r="G66" i="1"/>
  <c r="G15" i="1" s="1"/>
  <c r="G12" i="3"/>
  <c r="G17" i="3" s="1"/>
  <c r="G59" i="1"/>
  <c r="G11" i="1" s="1"/>
  <c r="F45" i="7" s="1"/>
  <c r="D40" i="7"/>
  <c r="D49" i="7" s="1"/>
  <c r="D58" i="7" s="1"/>
  <c r="F23" i="1"/>
  <c r="F29" i="1"/>
  <c r="D42" i="7"/>
  <c r="D77" i="7"/>
  <c r="D95" i="7" s="1"/>
  <c r="D14" i="7"/>
  <c r="J31" i="4"/>
  <c r="J29" i="4"/>
  <c r="J26" i="4"/>
  <c r="J25" i="4"/>
  <c r="J30" i="4"/>
  <c r="J13" i="4"/>
  <c r="J11" i="4"/>
  <c r="J12" i="4"/>
  <c r="J7" i="4"/>
  <c r="J8" i="4"/>
  <c r="J9" i="4"/>
  <c r="J10" i="4"/>
  <c r="J6" i="4"/>
  <c r="H6" i="3"/>
  <c r="H5" i="3"/>
  <c r="H65" i="1" s="1"/>
  <c r="H14" i="1" s="1"/>
  <c r="H8" i="3"/>
  <c r="J7" i="3"/>
  <c r="I9" i="3"/>
  <c r="F54" i="1" l="1"/>
  <c r="F78" i="1"/>
  <c r="E77" i="7"/>
  <c r="F68" i="7"/>
  <c r="F77" i="7" s="1"/>
  <c r="F122" i="7" s="1"/>
  <c r="G8" i="6"/>
  <c r="F104" i="7" s="1"/>
  <c r="G87" i="6"/>
  <c r="G5" i="6" s="1"/>
  <c r="F101" i="7" s="1"/>
  <c r="G41" i="7"/>
  <c r="G50" i="7" s="1"/>
  <c r="G59" i="7" s="1"/>
  <c r="H90" i="6"/>
  <c r="F87" i="6"/>
  <c r="F5" i="6" s="1"/>
  <c r="E101" i="7" s="1"/>
  <c r="F8" i="6"/>
  <c r="E104" i="7" s="1"/>
  <c r="K79" i="5"/>
  <c r="J78" i="5"/>
  <c r="K75" i="5"/>
  <c r="J69" i="5"/>
  <c r="K88" i="5"/>
  <c r="J87" i="5"/>
  <c r="K62" i="5"/>
  <c r="J60" i="5"/>
  <c r="F54" i="7"/>
  <c r="F63" i="7" s="1"/>
  <c r="F72" i="7"/>
  <c r="F81" i="7" s="1"/>
  <c r="F60" i="1"/>
  <c r="F12" i="1" s="1"/>
  <c r="E46" i="7" s="1"/>
  <c r="F21" i="1"/>
  <c r="E122" i="7"/>
  <c r="G63" i="1"/>
  <c r="F62" i="1"/>
  <c r="D67" i="7"/>
  <c r="D76" i="7" s="1"/>
  <c r="D94" i="7" s="1"/>
  <c r="D24" i="7"/>
  <c r="J67" i="1"/>
  <c r="J16" i="1" s="1"/>
  <c r="J13" i="3"/>
  <c r="J18" i="3" s="1"/>
  <c r="H68" i="1"/>
  <c r="H17" i="1" s="1"/>
  <c r="H14" i="3"/>
  <c r="H19" i="3" s="1"/>
  <c r="G64" i="1"/>
  <c r="G13" i="1" s="1"/>
  <c r="F19" i="1"/>
  <c r="F76" i="1"/>
  <c r="H59" i="1"/>
  <c r="H11" i="1" s="1"/>
  <c r="G45" i="7" s="1"/>
  <c r="H12" i="3"/>
  <c r="H17" i="3" s="1"/>
  <c r="H66" i="1"/>
  <c r="H15" i="1" s="1"/>
  <c r="G27" i="1"/>
  <c r="G21" i="1"/>
  <c r="H24" i="1"/>
  <c r="I15" i="3"/>
  <c r="I20" i="3" s="1"/>
  <c r="I69" i="1"/>
  <c r="I18" i="1" s="1"/>
  <c r="G23" i="1"/>
  <c r="G29" i="1"/>
  <c r="I28" i="1"/>
  <c r="D69" i="7"/>
  <c r="D51" i="7"/>
  <c r="D60" i="7" s="1"/>
  <c r="D38" i="7"/>
  <c r="D4" i="7" s="1"/>
  <c r="D122" i="7"/>
  <c r="D131" i="7"/>
  <c r="D113" i="7"/>
  <c r="D140" i="7" s="1"/>
  <c r="K31" i="4"/>
  <c r="K29" i="4"/>
  <c r="K26" i="4"/>
  <c r="K25" i="4"/>
  <c r="K30" i="4"/>
  <c r="K8" i="4"/>
  <c r="K7" i="4"/>
  <c r="K10" i="4"/>
  <c r="K11" i="4"/>
  <c r="K12" i="4"/>
  <c r="K6" i="4"/>
  <c r="K9" i="4"/>
  <c r="K13" i="4"/>
  <c r="K7" i="3"/>
  <c r="I8" i="3"/>
  <c r="I5" i="3"/>
  <c r="I65" i="1" s="1"/>
  <c r="I14" i="1" s="1"/>
  <c r="J9" i="3"/>
  <c r="I6" i="3"/>
  <c r="F58" i="1" l="1"/>
  <c r="F33" i="1"/>
  <c r="F52" i="1"/>
  <c r="F25" i="1" s="1"/>
  <c r="F27" i="1"/>
  <c r="G68" i="7"/>
  <c r="G77" i="7" s="1"/>
  <c r="G122" i="7" s="1"/>
  <c r="H8" i="6"/>
  <c r="G104" i="7" s="1"/>
  <c r="H87" i="6"/>
  <c r="H5" i="6" s="1"/>
  <c r="G101" i="7" s="1"/>
  <c r="L62" i="5"/>
  <c r="K60" i="5"/>
  <c r="L88" i="5"/>
  <c r="K87" i="5"/>
  <c r="L75" i="5"/>
  <c r="K69" i="5"/>
  <c r="L79" i="5"/>
  <c r="K78" i="5"/>
  <c r="D78" i="7"/>
  <c r="G54" i="7"/>
  <c r="G63" i="7" s="1"/>
  <c r="G72" i="7"/>
  <c r="G81" i="7" s="1"/>
  <c r="E55" i="7"/>
  <c r="E64" i="7" s="1"/>
  <c r="E73" i="7"/>
  <c r="F126" i="7"/>
  <c r="D121" i="7"/>
  <c r="D26" i="7"/>
  <c r="D27" i="7" s="1"/>
  <c r="H63" i="1"/>
  <c r="H30" i="1"/>
  <c r="I61" i="1"/>
  <c r="I7" i="1" s="1"/>
  <c r="I22" i="1"/>
  <c r="G62" i="1"/>
  <c r="H29" i="1"/>
  <c r="I12" i="3"/>
  <c r="I17" i="3" s="1"/>
  <c r="I66" i="1"/>
  <c r="I15" i="1" s="1"/>
  <c r="G70" i="1"/>
  <c r="G19" i="1" s="1"/>
  <c r="I68" i="1"/>
  <c r="I17" i="1" s="1"/>
  <c r="I14" i="3"/>
  <c r="I19" i="3" s="1"/>
  <c r="K13" i="3"/>
  <c r="K18" i="3" s="1"/>
  <c r="K67" i="1"/>
  <c r="K16" i="1" s="1"/>
  <c r="I59" i="1"/>
  <c r="I11" i="1" s="1"/>
  <c r="H45" i="7" s="1"/>
  <c r="J15" i="3"/>
  <c r="J20" i="3" s="1"/>
  <c r="J69" i="1"/>
  <c r="J18" i="1" s="1"/>
  <c r="J28" i="1"/>
  <c r="J22" i="1"/>
  <c r="I24" i="1"/>
  <c r="G76" i="1"/>
  <c r="G25" i="1" s="1"/>
  <c r="H60" i="1"/>
  <c r="H12" i="1" s="1"/>
  <c r="G46" i="7" s="1"/>
  <c r="H21" i="1"/>
  <c r="G60" i="1"/>
  <c r="G12" i="1" s="1"/>
  <c r="F46" i="7" s="1"/>
  <c r="H64" i="1"/>
  <c r="H13" i="1" s="1"/>
  <c r="D112" i="7"/>
  <c r="D130" i="7"/>
  <c r="D96" i="7"/>
  <c r="D123" i="7"/>
  <c r="L31" i="4"/>
  <c r="L29" i="4"/>
  <c r="L26" i="4"/>
  <c r="L25" i="4"/>
  <c r="L30" i="4"/>
  <c r="L11" i="4"/>
  <c r="L9" i="4"/>
  <c r="L13" i="4"/>
  <c r="L8" i="4"/>
  <c r="L10" i="4"/>
  <c r="L6" i="4"/>
  <c r="L7" i="4"/>
  <c r="L12" i="4"/>
  <c r="K9" i="3"/>
  <c r="J5" i="3"/>
  <c r="J65" i="1" s="1"/>
  <c r="J14" i="1" s="1"/>
  <c r="J8" i="3"/>
  <c r="J6" i="3"/>
  <c r="L7" i="3"/>
  <c r="H41" i="7" l="1"/>
  <c r="H68" i="7" s="1"/>
  <c r="I90" i="6"/>
  <c r="M79" i="5"/>
  <c r="L78" i="5"/>
  <c r="M75" i="5"/>
  <c r="L69" i="5"/>
  <c r="M88" i="5"/>
  <c r="L87" i="5"/>
  <c r="M62" i="5"/>
  <c r="L60" i="5"/>
  <c r="G55" i="7"/>
  <c r="G64" i="7" s="1"/>
  <c r="G73" i="7"/>
  <c r="F31" i="1"/>
  <c r="F10" i="1"/>
  <c r="E44" i="7" s="1"/>
  <c r="E82" i="7"/>
  <c r="G126" i="7"/>
  <c r="F55" i="7"/>
  <c r="F64" i="7" s="1"/>
  <c r="F73" i="7"/>
  <c r="H54" i="7"/>
  <c r="H63" i="7" s="1"/>
  <c r="H72" i="7"/>
  <c r="I63" i="1"/>
  <c r="I30" i="1"/>
  <c r="H76" i="1"/>
  <c r="H25" i="1" s="1"/>
  <c r="H27" i="1"/>
  <c r="H50" i="7"/>
  <c r="H59" i="7" s="1"/>
  <c r="H77" i="7" s="1"/>
  <c r="H122" i="7" s="1"/>
  <c r="H62" i="1"/>
  <c r="H58" i="1" s="1"/>
  <c r="H10" i="1" s="1"/>
  <c r="G44" i="7" s="1"/>
  <c r="H23" i="1"/>
  <c r="G58" i="1"/>
  <c r="G10" i="1" s="1"/>
  <c r="F44" i="7" s="1"/>
  <c r="J61" i="1"/>
  <c r="J7" i="1" s="1"/>
  <c r="K28" i="1"/>
  <c r="K22" i="1"/>
  <c r="I23" i="1"/>
  <c r="I64" i="1"/>
  <c r="I13" i="1" s="1"/>
  <c r="J68" i="1"/>
  <c r="J17" i="1" s="1"/>
  <c r="J14" i="3"/>
  <c r="J19" i="3" s="1"/>
  <c r="J12" i="3"/>
  <c r="J17" i="3" s="1"/>
  <c r="J66" i="1"/>
  <c r="J15" i="1" s="1"/>
  <c r="L13" i="3"/>
  <c r="L18" i="3" s="1"/>
  <c r="L67" i="1"/>
  <c r="L16" i="1" s="1"/>
  <c r="I27" i="1"/>
  <c r="J59" i="1"/>
  <c r="J11" i="1" s="1"/>
  <c r="I45" i="7" s="1"/>
  <c r="K69" i="1"/>
  <c r="K18" i="1" s="1"/>
  <c r="K15" i="3"/>
  <c r="K20" i="3" s="1"/>
  <c r="H70" i="1"/>
  <c r="H19" i="1" s="1"/>
  <c r="J24" i="1"/>
  <c r="D114" i="7"/>
  <c r="D141" i="7" s="1"/>
  <c r="D132" i="7"/>
  <c r="D139" i="7"/>
  <c r="D28" i="7"/>
  <c r="D29" i="7" s="1"/>
  <c r="M31" i="4"/>
  <c r="M29" i="4"/>
  <c r="M26" i="4"/>
  <c r="M25" i="4"/>
  <c r="M30" i="4"/>
  <c r="M12" i="4"/>
  <c r="M7" i="4"/>
  <c r="M9" i="4"/>
  <c r="M11" i="4"/>
  <c r="M13" i="4"/>
  <c r="M8" i="4"/>
  <c r="M6" i="4"/>
  <c r="M10" i="4"/>
  <c r="K6" i="3"/>
  <c r="K8" i="3"/>
  <c r="K5" i="3"/>
  <c r="K65" i="1" s="1"/>
  <c r="K14" i="1" s="1"/>
  <c r="M7" i="3"/>
  <c r="L9" i="3"/>
  <c r="I41" i="7" l="1"/>
  <c r="I50" i="7" s="1"/>
  <c r="I59" i="7" s="1"/>
  <c r="J90" i="6"/>
  <c r="I87" i="6"/>
  <c r="I5" i="6" s="1"/>
  <c r="H101" i="7" s="1"/>
  <c r="I8" i="6"/>
  <c r="H104" i="7" s="1"/>
  <c r="N62" i="5"/>
  <c r="M60" i="5"/>
  <c r="N88" i="5"/>
  <c r="M87" i="5"/>
  <c r="N75" i="5"/>
  <c r="M69" i="5"/>
  <c r="N79" i="5"/>
  <c r="M78" i="5"/>
  <c r="F82" i="7"/>
  <c r="F127" i="7" s="1"/>
  <c r="G53" i="7"/>
  <c r="G62" i="7" s="1"/>
  <c r="G71" i="7"/>
  <c r="F53" i="7"/>
  <c r="F62" i="7" s="1"/>
  <c r="F71" i="7"/>
  <c r="E127" i="7"/>
  <c r="E53" i="7"/>
  <c r="E62" i="7" s="1"/>
  <c r="E71" i="7"/>
  <c r="I54" i="7"/>
  <c r="I63" i="7" s="1"/>
  <c r="I72" i="7"/>
  <c r="H81" i="7"/>
  <c r="G82" i="7"/>
  <c r="I70" i="1"/>
  <c r="I19" i="1" s="1"/>
  <c r="I21" i="1"/>
  <c r="J63" i="1"/>
  <c r="J30" i="1"/>
  <c r="I60" i="1"/>
  <c r="I12" i="1" s="1"/>
  <c r="H46" i="7" s="1"/>
  <c r="I62" i="1"/>
  <c r="I58" i="1" s="1"/>
  <c r="I10" i="1" s="1"/>
  <c r="H44" i="7" s="1"/>
  <c r="I29" i="1"/>
  <c r="D30" i="7"/>
  <c r="D31" i="7" s="1"/>
  <c r="I68" i="7"/>
  <c r="I77" i="7" s="1"/>
  <c r="I122" i="7" s="1"/>
  <c r="K61" i="1"/>
  <c r="K7" i="1" s="1"/>
  <c r="I76" i="1"/>
  <c r="I25" i="1" s="1"/>
  <c r="J29" i="1"/>
  <c r="J23" i="1"/>
  <c r="K12" i="3"/>
  <c r="K17" i="3" s="1"/>
  <c r="K66" i="1"/>
  <c r="K15" i="1" s="1"/>
  <c r="L69" i="1"/>
  <c r="L18" i="1" s="1"/>
  <c r="L15" i="3"/>
  <c r="L20" i="3" s="1"/>
  <c r="K68" i="1"/>
  <c r="K17" i="1" s="1"/>
  <c r="K14" i="3"/>
  <c r="K19" i="3" s="1"/>
  <c r="K24" i="1"/>
  <c r="J64" i="1"/>
  <c r="J13" i="1" s="1"/>
  <c r="L22" i="1"/>
  <c r="L28" i="1"/>
  <c r="M13" i="3"/>
  <c r="M18" i="3" s="1"/>
  <c r="M67" i="1"/>
  <c r="M16" i="1" s="1"/>
  <c r="K59" i="1"/>
  <c r="K11" i="1" s="1"/>
  <c r="J45" i="7" s="1"/>
  <c r="N31" i="4"/>
  <c r="N29" i="4"/>
  <c r="N26" i="4"/>
  <c r="N25" i="4"/>
  <c r="N30" i="4"/>
  <c r="N6" i="4"/>
  <c r="N10" i="4"/>
  <c r="N13" i="4"/>
  <c r="N11" i="4"/>
  <c r="N9" i="4"/>
  <c r="N7" i="4"/>
  <c r="N8" i="4"/>
  <c r="N12" i="4"/>
  <c r="N7" i="3"/>
  <c r="L5" i="3"/>
  <c r="L65" i="1" s="1"/>
  <c r="L14" i="1" s="1"/>
  <c r="L8" i="3"/>
  <c r="M9" i="3"/>
  <c r="L6" i="3"/>
  <c r="J41" i="7" l="1"/>
  <c r="J50" i="7" s="1"/>
  <c r="J59" i="7" s="1"/>
  <c r="K90" i="6"/>
  <c r="J87" i="6"/>
  <c r="J5" i="6" s="1"/>
  <c r="I101" i="7" s="1"/>
  <c r="J8" i="6"/>
  <c r="I104" i="7" s="1"/>
  <c r="O79" i="5"/>
  <c r="O78" i="5" s="1"/>
  <c r="N78" i="5"/>
  <c r="O75" i="5"/>
  <c r="O69" i="5" s="1"/>
  <c r="N69" i="5"/>
  <c r="O88" i="5"/>
  <c r="O87" i="5" s="1"/>
  <c r="N87" i="5"/>
  <c r="O62" i="5"/>
  <c r="O60" i="5" s="1"/>
  <c r="N60" i="5"/>
  <c r="I81" i="7"/>
  <c r="H53" i="7"/>
  <c r="H62" i="7" s="1"/>
  <c r="H71" i="7"/>
  <c r="H55" i="7"/>
  <c r="H64" i="7" s="1"/>
  <c r="H73" i="7"/>
  <c r="J54" i="7"/>
  <c r="J63" i="7" s="1"/>
  <c r="J72" i="7"/>
  <c r="G127" i="7"/>
  <c r="F80" i="7"/>
  <c r="H126" i="7"/>
  <c r="I126" i="7"/>
  <c r="G80" i="7"/>
  <c r="E80" i="7"/>
  <c r="J68" i="7"/>
  <c r="J77" i="7" s="1"/>
  <c r="K63" i="1"/>
  <c r="K30" i="1"/>
  <c r="J70" i="1"/>
  <c r="J19" i="1" s="1"/>
  <c r="J21" i="1"/>
  <c r="J76" i="1"/>
  <c r="J25" i="1" s="1"/>
  <c r="J27" i="1"/>
  <c r="J62" i="1"/>
  <c r="L61" i="1"/>
  <c r="L7" i="1" s="1"/>
  <c r="K64" i="1"/>
  <c r="K13" i="1" s="1"/>
  <c r="L12" i="3"/>
  <c r="L17" i="3" s="1"/>
  <c r="L66" i="1"/>
  <c r="L15" i="1" s="1"/>
  <c r="M22" i="1"/>
  <c r="M28" i="1"/>
  <c r="L14" i="3"/>
  <c r="L19" i="3" s="1"/>
  <c r="L68" i="1"/>
  <c r="L17" i="1" s="1"/>
  <c r="L30" i="1"/>
  <c r="K27" i="1"/>
  <c r="M69" i="1"/>
  <c r="M18" i="1" s="1"/>
  <c r="M15" i="3"/>
  <c r="M20" i="3" s="1"/>
  <c r="L59" i="1"/>
  <c r="L11" i="1" s="1"/>
  <c r="K45" i="7" s="1"/>
  <c r="N13" i="3"/>
  <c r="N18" i="3" s="1"/>
  <c r="N67" i="1"/>
  <c r="N16" i="1" s="1"/>
  <c r="K29" i="1"/>
  <c r="K23" i="1"/>
  <c r="J60" i="1"/>
  <c r="O31" i="4"/>
  <c r="O29" i="4"/>
  <c r="O26" i="4"/>
  <c r="O25" i="4"/>
  <c r="O30" i="4"/>
  <c r="O11" i="4"/>
  <c r="O12" i="4"/>
  <c r="O10" i="4"/>
  <c r="O13" i="4"/>
  <c r="O8" i="4"/>
  <c r="O7" i="4"/>
  <c r="O9" i="4"/>
  <c r="O6" i="4"/>
  <c r="N9" i="3"/>
  <c r="M8" i="3"/>
  <c r="M5" i="3"/>
  <c r="M65" i="1" s="1"/>
  <c r="M14" i="1" s="1"/>
  <c r="M6" i="3"/>
  <c r="O7" i="3"/>
  <c r="K41" i="7" l="1"/>
  <c r="K50" i="7" s="1"/>
  <c r="K59" i="7" s="1"/>
  <c r="L90" i="6"/>
  <c r="K8" i="6"/>
  <c r="J104" i="7" s="1"/>
  <c r="K87" i="6"/>
  <c r="K5" i="6" s="1"/>
  <c r="J101" i="7" s="1"/>
  <c r="J81" i="7"/>
  <c r="J58" i="1"/>
  <c r="J10" i="1" s="1"/>
  <c r="I44" i="7" s="1"/>
  <c r="J12" i="1"/>
  <c r="I46" i="7" s="1"/>
  <c r="F125" i="7"/>
  <c r="J126" i="7"/>
  <c r="E125" i="7"/>
  <c r="H80" i="7"/>
  <c r="K54" i="7"/>
  <c r="K63" i="7" s="1"/>
  <c r="K72" i="7"/>
  <c r="G125" i="7"/>
  <c r="H82" i="7"/>
  <c r="K60" i="1"/>
  <c r="K12" i="1" s="1"/>
  <c r="J46" i="7" s="1"/>
  <c r="K21" i="1"/>
  <c r="L63" i="1"/>
  <c r="L24" i="1"/>
  <c r="K68" i="7"/>
  <c r="K77" i="7" s="1"/>
  <c r="M61" i="1"/>
  <c r="M7" i="1" s="1"/>
  <c r="K62" i="1"/>
  <c r="M59" i="1"/>
  <c r="M11" i="1" s="1"/>
  <c r="L45" i="7" s="1"/>
  <c r="L29" i="1"/>
  <c r="L23" i="1"/>
  <c r="M30" i="1"/>
  <c r="O13" i="3"/>
  <c r="O18" i="3" s="1"/>
  <c r="O67" i="1"/>
  <c r="O16" i="1" s="1"/>
  <c r="N28" i="1"/>
  <c r="L64" i="1"/>
  <c r="L13" i="1" s="1"/>
  <c r="M68" i="1"/>
  <c r="M17" i="1" s="1"/>
  <c r="M14" i="3"/>
  <c r="M19" i="3" s="1"/>
  <c r="N69" i="1"/>
  <c r="N18" i="1" s="1"/>
  <c r="N15" i="3"/>
  <c r="N20" i="3" s="1"/>
  <c r="K76" i="1"/>
  <c r="K25" i="1" s="1"/>
  <c r="M12" i="3"/>
  <c r="M17" i="3" s="1"/>
  <c r="M66" i="1"/>
  <c r="M15" i="1" s="1"/>
  <c r="K70" i="1"/>
  <c r="K19" i="1" s="1"/>
  <c r="J122" i="7"/>
  <c r="N5" i="3"/>
  <c r="N65" i="1" s="1"/>
  <c r="N14" i="1" s="1"/>
  <c r="N8" i="3"/>
  <c r="N6" i="3"/>
  <c r="O9" i="3"/>
  <c r="F5" i="1"/>
  <c r="L41" i="7" l="1"/>
  <c r="L50" i="7" s="1"/>
  <c r="L59" i="7" s="1"/>
  <c r="M90" i="6"/>
  <c r="L8" i="6"/>
  <c r="K104" i="7" s="1"/>
  <c r="L87" i="6"/>
  <c r="L5" i="6" s="1"/>
  <c r="K101" i="7" s="1"/>
  <c r="L54" i="7"/>
  <c r="L63" i="7" s="1"/>
  <c r="L72" i="7"/>
  <c r="L81" i="7" s="1"/>
  <c r="J55" i="7"/>
  <c r="J64" i="7" s="1"/>
  <c r="J73" i="7"/>
  <c r="K81" i="7"/>
  <c r="I53" i="7"/>
  <c r="I62" i="7" s="1"/>
  <c r="I71" i="7"/>
  <c r="I55" i="7"/>
  <c r="I64" i="7" s="1"/>
  <c r="I73" i="7"/>
  <c r="H125" i="7"/>
  <c r="H127" i="7"/>
  <c r="K122" i="7"/>
  <c r="L76" i="1"/>
  <c r="L25" i="1" s="1"/>
  <c r="L27" i="1"/>
  <c r="K58" i="1"/>
  <c r="K10" i="1" s="1"/>
  <c r="J44" i="7" s="1"/>
  <c r="L70" i="1"/>
  <c r="L19" i="1" s="1"/>
  <c r="L21" i="1"/>
  <c r="M63" i="1"/>
  <c r="M24" i="1"/>
  <c r="N61" i="1"/>
  <c r="N7" i="1" s="1"/>
  <c r="N22" i="1"/>
  <c r="L68" i="7"/>
  <c r="L77" i="7" s="1"/>
  <c r="L62" i="1"/>
  <c r="N12" i="3"/>
  <c r="N17" i="3" s="1"/>
  <c r="N66" i="1"/>
  <c r="N15" i="1" s="1"/>
  <c r="L60" i="1"/>
  <c r="L12" i="1" s="1"/>
  <c r="K46" i="7" s="1"/>
  <c r="O15" i="3"/>
  <c r="O20" i="3" s="1"/>
  <c r="O69" i="1"/>
  <c r="O18" i="1" s="1"/>
  <c r="N14" i="3"/>
  <c r="N19" i="3" s="1"/>
  <c r="N68" i="1"/>
  <c r="N17" i="1" s="1"/>
  <c r="N59" i="1"/>
  <c r="N11" i="1" s="1"/>
  <c r="M45" i="7" s="1"/>
  <c r="M64" i="1"/>
  <c r="M13" i="1" s="1"/>
  <c r="N30" i="1"/>
  <c r="N24" i="1"/>
  <c r="M29" i="1"/>
  <c r="M23" i="1"/>
  <c r="O22" i="1"/>
  <c r="O28" i="1"/>
  <c r="E39" i="7"/>
  <c r="F8" i="1"/>
  <c r="F217" i="5" s="1"/>
  <c r="F213" i="5" s="1"/>
  <c r="F5" i="5" s="1"/>
  <c r="E83" i="7" s="1"/>
  <c r="F9" i="1"/>
  <c r="O6" i="3"/>
  <c r="O8" i="3"/>
  <c r="O5" i="3"/>
  <c r="O65" i="1" s="1"/>
  <c r="O14" i="1" s="1"/>
  <c r="F6" i="1"/>
  <c r="G9" i="1"/>
  <c r="F49" i="2"/>
  <c r="M41" i="7" l="1"/>
  <c r="M50" i="7" s="1"/>
  <c r="M59" i="7" s="1"/>
  <c r="N90" i="6"/>
  <c r="M8" i="6"/>
  <c r="L104" i="7" s="1"/>
  <c r="M87" i="6"/>
  <c r="M5" i="6" s="1"/>
  <c r="L101" i="7" s="1"/>
  <c r="E14" i="7"/>
  <c r="I82" i="7"/>
  <c r="K55" i="7"/>
  <c r="K64" i="7" s="1"/>
  <c r="K73" i="7"/>
  <c r="I80" i="7"/>
  <c r="K126" i="7"/>
  <c r="I127" i="7"/>
  <c r="L126" i="7"/>
  <c r="J82" i="7"/>
  <c r="M54" i="7"/>
  <c r="M63" i="7" s="1"/>
  <c r="M72" i="7"/>
  <c r="M81" i="7" s="1"/>
  <c r="J53" i="7"/>
  <c r="J62" i="7" s="1"/>
  <c r="J71" i="7"/>
  <c r="L58" i="1"/>
  <c r="L10" i="1" s="1"/>
  <c r="K44" i="7" s="1"/>
  <c r="M76" i="1"/>
  <c r="M25" i="1" s="1"/>
  <c r="M27" i="1"/>
  <c r="M70" i="1"/>
  <c r="M19" i="1" s="1"/>
  <c r="M21" i="1"/>
  <c r="M68" i="7"/>
  <c r="M77" i="7" s="1"/>
  <c r="M62" i="1"/>
  <c r="N64" i="1"/>
  <c r="N13" i="1" s="1"/>
  <c r="L122" i="7"/>
  <c r="O61" i="1"/>
  <c r="O7" i="1" s="1"/>
  <c r="N63" i="1"/>
  <c r="N29" i="1"/>
  <c r="N23" i="1"/>
  <c r="O30" i="1"/>
  <c r="O66" i="1"/>
  <c r="O15" i="1" s="1"/>
  <c r="O12" i="3"/>
  <c r="O17" i="3" s="1"/>
  <c r="O59" i="1"/>
  <c r="O11" i="1" s="1"/>
  <c r="N45" i="7" s="1"/>
  <c r="O14" i="3"/>
  <c r="O19" i="3" s="1"/>
  <c r="O68" i="1"/>
  <c r="O17" i="1" s="1"/>
  <c r="M60" i="1"/>
  <c r="N21" i="1"/>
  <c r="N27" i="1"/>
  <c r="E43" i="7"/>
  <c r="F43" i="7"/>
  <c r="E42" i="7"/>
  <c r="G8" i="1"/>
  <c r="H5" i="1"/>
  <c r="G5" i="1"/>
  <c r="G6" i="1"/>
  <c r="H9" i="1"/>
  <c r="G7" i="2"/>
  <c r="G49" i="2" s="1"/>
  <c r="G217" i="5" l="1"/>
  <c r="G213" i="5" s="1"/>
  <c r="G5" i="5" s="1"/>
  <c r="F83" i="7" s="1"/>
  <c r="N41" i="7"/>
  <c r="N68" i="7" s="1"/>
  <c r="O90" i="6"/>
  <c r="N8" i="6"/>
  <c r="M104" i="7" s="1"/>
  <c r="N87" i="6"/>
  <c r="N5" i="6" s="1"/>
  <c r="M101" i="7" s="1"/>
  <c r="K53" i="7"/>
  <c r="K62" i="7" s="1"/>
  <c r="K71" i="7"/>
  <c r="J80" i="7"/>
  <c r="M122" i="7"/>
  <c r="M58" i="1"/>
  <c r="M10" i="1" s="1"/>
  <c r="L44" i="7" s="1"/>
  <c r="M12" i="1"/>
  <c r="L46" i="7" s="1"/>
  <c r="I125" i="7"/>
  <c r="M126" i="7"/>
  <c r="J127" i="7"/>
  <c r="N72" i="7"/>
  <c r="N54" i="7"/>
  <c r="N63" i="7" s="1"/>
  <c r="N81" i="7" s="1"/>
  <c r="N126" i="7" s="1"/>
  <c r="K82" i="7"/>
  <c r="O63" i="1"/>
  <c r="O24" i="1"/>
  <c r="N50" i="7"/>
  <c r="N59" i="7" s="1"/>
  <c r="N77" i="7" s="1"/>
  <c r="N62" i="1"/>
  <c r="N70" i="1"/>
  <c r="N19" i="1" s="1"/>
  <c r="O27" i="1"/>
  <c r="O21" i="1"/>
  <c r="N76" i="1"/>
  <c r="N25" i="1" s="1"/>
  <c r="N60" i="1"/>
  <c r="O64" i="1"/>
  <c r="O13" i="1" s="1"/>
  <c r="O23" i="1"/>
  <c r="O29" i="1"/>
  <c r="F70" i="7"/>
  <c r="F52" i="7"/>
  <c r="F61" i="7" s="1"/>
  <c r="E69" i="7"/>
  <c r="E51" i="7"/>
  <c r="E60" i="7" s="1"/>
  <c r="E52" i="7"/>
  <c r="E61" i="7" s="1"/>
  <c r="E70" i="7"/>
  <c r="G39" i="7"/>
  <c r="G14" i="7" s="1"/>
  <c r="F39" i="7"/>
  <c r="F14" i="7" s="1"/>
  <c r="F42" i="7"/>
  <c r="G43" i="7"/>
  <c r="H7" i="2"/>
  <c r="H49" i="2" s="1"/>
  <c r="I5" i="1"/>
  <c r="H8" i="1"/>
  <c r="F4" i="1"/>
  <c r="E40" i="7"/>
  <c r="E38" i="7" s="1"/>
  <c r="E4" i="7" s="1"/>
  <c r="G31" i="1"/>
  <c r="I9" i="1"/>
  <c r="H217" i="5" l="1"/>
  <c r="H213" i="5" s="1"/>
  <c r="H5" i="5" s="1"/>
  <c r="G83" i="7" s="1"/>
  <c r="O87" i="6"/>
  <c r="O5" i="6" s="1"/>
  <c r="N101" i="7" s="1"/>
  <c r="O8" i="6"/>
  <c r="N104" i="7" s="1"/>
  <c r="F164" i="5"/>
  <c r="F158" i="5"/>
  <c r="F163" i="5"/>
  <c r="F157" i="5"/>
  <c r="F162" i="5"/>
  <c r="F176" i="5"/>
  <c r="F156" i="5"/>
  <c r="F161" i="5"/>
  <c r="F175" i="5"/>
  <c r="F172" i="5"/>
  <c r="F155" i="5"/>
  <c r="F174" i="5"/>
  <c r="F154" i="5"/>
  <c r="F173" i="5"/>
  <c r="F153" i="5"/>
  <c r="F152" i="5"/>
  <c r="F171" i="5"/>
  <c r="F170" i="5"/>
  <c r="F167" i="5"/>
  <c r="F166" i="5"/>
  <c r="F165" i="5"/>
  <c r="F160" i="5"/>
  <c r="F151" i="5"/>
  <c r="F169" i="5"/>
  <c r="F79" i="7"/>
  <c r="K80" i="7"/>
  <c r="L55" i="7"/>
  <c r="L64" i="7" s="1"/>
  <c r="L73" i="7"/>
  <c r="L53" i="7"/>
  <c r="L62" i="7" s="1"/>
  <c r="L71" i="7"/>
  <c r="N58" i="1"/>
  <c r="N10" i="1" s="1"/>
  <c r="M44" i="7" s="1"/>
  <c r="N12" i="1"/>
  <c r="M46" i="7" s="1"/>
  <c r="J125" i="7"/>
  <c r="K127" i="7"/>
  <c r="N122" i="7"/>
  <c r="O62" i="1"/>
  <c r="O70" i="1"/>
  <c r="O19" i="1" s="1"/>
  <c r="O76" i="1"/>
  <c r="O25" i="1" s="1"/>
  <c r="O60" i="1"/>
  <c r="H6" i="1"/>
  <c r="H4" i="1" s="1"/>
  <c r="H172" i="5" s="1"/>
  <c r="E78" i="7"/>
  <c r="E79" i="7"/>
  <c r="E124" i="7" s="1"/>
  <c r="G70" i="7"/>
  <c r="G52" i="7"/>
  <c r="G61" i="7" s="1"/>
  <c r="F69" i="7"/>
  <c r="F51" i="7"/>
  <c r="F60" i="7" s="1"/>
  <c r="H43" i="7"/>
  <c r="H39" i="7"/>
  <c r="H14" i="7" s="1"/>
  <c r="G42" i="7"/>
  <c r="J5" i="1"/>
  <c r="G4" i="1"/>
  <c r="F40" i="7"/>
  <c r="I8" i="1"/>
  <c r="E24" i="7"/>
  <c r="E49" i="7"/>
  <c r="E58" i="7" s="1"/>
  <c r="E67" i="7"/>
  <c r="F124" i="7"/>
  <c r="I7" i="2"/>
  <c r="I49" i="2" s="1"/>
  <c r="H31" i="1"/>
  <c r="I6" i="1"/>
  <c r="J9" i="1"/>
  <c r="F10" i="5" l="1"/>
  <c r="E88" i="7" s="1"/>
  <c r="H163" i="5"/>
  <c r="H154" i="5"/>
  <c r="I217" i="5"/>
  <c r="I213" i="5" s="1"/>
  <c r="I5" i="5" s="1"/>
  <c r="H83" i="7" s="1"/>
  <c r="F6" i="5"/>
  <c r="E84" i="7" s="1"/>
  <c r="H9" i="5"/>
  <c r="G87" i="7" s="1"/>
  <c r="G175" i="5"/>
  <c r="G152" i="5"/>
  <c r="G158" i="5"/>
  <c r="G176" i="5"/>
  <c r="G156" i="5"/>
  <c r="G166" i="5"/>
  <c r="G173" i="5"/>
  <c r="G155" i="5"/>
  <c r="G157" i="5"/>
  <c r="G164" i="5"/>
  <c r="G167" i="5"/>
  <c r="G161" i="5"/>
  <c r="G170" i="5"/>
  <c r="G165" i="5"/>
  <c r="G174" i="5"/>
  <c r="G171" i="5"/>
  <c r="G162" i="5"/>
  <c r="G153" i="5"/>
  <c r="G169" i="5"/>
  <c r="G160" i="5"/>
  <c r="G151" i="5"/>
  <c r="G154" i="5"/>
  <c r="G163" i="5"/>
  <c r="G172" i="5"/>
  <c r="H166" i="5"/>
  <c r="H152" i="5"/>
  <c r="H176" i="5"/>
  <c r="H156" i="5"/>
  <c r="H157" i="5"/>
  <c r="H164" i="5"/>
  <c r="H175" i="5"/>
  <c r="H161" i="5"/>
  <c r="H174" i="5"/>
  <c r="H173" i="5"/>
  <c r="H167" i="5"/>
  <c r="H158" i="5"/>
  <c r="H165" i="5"/>
  <c r="H155" i="5"/>
  <c r="H170" i="5"/>
  <c r="H153" i="5"/>
  <c r="H162" i="5"/>
  <c r="H171" i="5"/>
  <c r="H160" i="5"/>
  <c r="H151" i="5"/>
  <c r="H169" i="5"/>
  <c r="F8" i="5"/>
  <c r="E86" i="7" s="1"/>
  <c r="E95" i="7" s="1"/>
  <c r="E131" i="7" s="1"/>
  <c r="F11" i="5"/>
  <c r="E89" i="7" s="1"/>
  <c r="E98" i="7" s="1"/>
  <c r="F7" i="5"/>
  <c r="E85" i="7" s="1"/>
  <c r="F12" i="5"/>
  <c r="E90" i="7" s="1"/>
  <c r="E99" i="7" s="1"/>
  <c r="F13" i="5"/>
  <c r="E91" i="7" s="1"/>
  <c r="E100" i="7" s="1"/>
  <c r="F9" i="5"/>
  <c r="E87" i="7" s="1"/>
  <c r="E96" i="7" s="1"/>
  <c r="K125" i="7"/>
  <c r="M55" i="7"/>
  <c r="M64" i="7" s="1"/>
  <c r="M73" i="7"/>
  <c r="M53" i="7"/>
  <c r="M62" i="7" s="1"/>
  <c r="M71" i="7"/>
  <c r="L80" i="7"/>
  <c r="O58" i="1"/>
  <c r="O10" i="1" s="1"/>
  <c r="N44" i="7" s="1"/>
  <c r="O12" i="1"/>
  <c r="N46" i="7" s="1"/>
  <c r="L82" i="7"/>
  <c r="E97" i="7"/>
  <c r="E115" i="7" s="1"/>
  <c r="E142" i="7" s="1"/>
  <c r="E123" i="7"/>
  <c r="F78" i="7"/>
  <c r="G79" i="7"/>
  <c r="G124" i="7" s="1"/>
  <c r="J7" i="2"/>
  <c r="J49" i="2" s="1"/>
  <c r="G51" i="7"/>
  <c r="G60" i="7" s="1"/>
  <c r="G69" i="7"/>
  <c r="H70" i="7"/>
  <c r="H52" i="7"/>
  <c r="H61" i="7" s="1"/>
  <c r="H42" i="7"/>
  <c r="I43" i="7"/>
  <c r="I39" i="7"/>
  <c r="I14" i="7" s="1"/>
  <c r="G40" i="7"/>
  <c r="E25" i="7"/>
  <c r="E76" i="7"/>
  <c r="J8" i="1"/>
  <c r="F24" i="7"/>
  <c r="F49" i="7"/>
  <c r="F58" i="7" s="1"/>
  <c r="F67" i="7"/>
  <c r="F38" i="7"/>
  <c r="I31" i="1"/>
  <c r="J6" i="1"/>
  <c r="K9" i="1"/>
  <c r="G7" i="5" l="1"/>
  <c r="F85" i="7" s="1"/>
  <c r="G13" i="5"/>
  <c r="F91" i="7" s="1"/>
  <c r="F100" i="7" s="1"/>
  <c r="G6" i="5"/>
  <c r="F84" i="7" s="1"/>
  <c r="H10" i="5"/>
  <c r="G88" i="7" s="1"/>
  <c r="G97" i="7" s="1"/>
  <c r="H7" i="5"/>
  <c r="G85" i="7" s="1"/>
  <c r="H13" i="5"/>
  <c r="G91" i="7" s="1"/>
  <c r="G100" i="7" s="1"/>
  <c r="G136" i="7" s="1"/>
  <c r="G11" i="5"/>
  <c r="F89" i="7" s="1"/>
  <c r="F98" i="7" s="1"/>
  <c r="J217" i="5"/>
  <c r="J213" i="5" s="1"/>
  <c r="J5" i="5" s="1"/>
  <c r="I83" i="7" s="1"/>
  <c r="F118" i="7"/>
  <c r="F145" i="7" s="1"/>
  <c r="F136" i="7"/>
  <c r="E113" i="7"/>
  <c r="E140" i="7" s="1"/>
  <c r="H6" i="5"/>
  <c r="G84" i="7" s="1"/>
  <c r="G12" i="5"/>
  <c r="F90" i="7" s="1"/>
  <c r="F99" i="7" s="1"/>
  <c r="H12" i="5"/>
  <c r="G90" i="7" s="1"/>
  <c r="G99" i="7" s="1"/>
  <c r="G9" i="5"/>
  <c r="F87" i="7" s="1"/>
  <c r="F96" i="7" s="1"/>
  <c r="G10" i="5"/>
  <c r="F88" i="7" s="1"/>
  <c r="F97" i="7" s="1"/>
  <c r="H8" i="5"/>
  <c r="G86" i="7" s="1"/>
  <c r="G95" i="7" s="1"/>
  <c r="H11" i="5"/>
  <c r="G89" i="7" s="1"/>
  <c r="G98" i="7" s="1"/>
  <c r="G8" i="5"/>
  <c r="F86" i="7" s="1"/>
  <c r="F95" i="7" s="1"/>
  <c r="E114" i="7"/>
  <c r="E141" i="7" s="1"/>
  <c r="E132" i="7"/>
  <c r="E118" i="7"/>
  <c r="E145" i="7" s="1"/>
  <c r="E136" i="7"/>
  <c r="E117" i="7"/>
  <c r="E144" i="7" s="1"/>
  <c r="E135" i="7"/>
  <c r="E116" i="7"/>
  <c r="E143" i="7" s="1"/>
  <c r="E134" i="7"/>
  <c r="E133" i="7"/>
  <c r="N71" i="7"/>
  <c r="N53" i="7"/>
  <c r="N62" i="7" s="1"/>
  <c r="N80" i="7" s="1"/>
  <c r="L125" i="7"/>
  <c r="L127" i="7"/>
  <c r="M80" i="7"/>
  <c r="N73" i="7"/>
  <c r="N55" i="7"/>
  <c r="N64" i="7" s="1"/>
  <c r="M82" i="7"/>
  <c r="H79" i="7"/>
  <c r="F123" i="7"/>
  <c r="K5" i="1"/>
  <c r="K7" i="2"/>
  <c r="K49" i="2" s="1"/>
  <c r="I70" i="7"/>
  <c r="I52" i="7"/>
  <c r="I61" i="7" s="1"/>
  <c r="H69" i="7"/>
  <c r="H51" i="7"/>
  <c r="H60" i="7" s="1"/>
  <c r="J43" i="7"/>
  <c r="I42" i="7"/>
  <c r="G78" i="7"/>
  <c r="E94" i="7"/>
  <c r="E26" i="7"/>
  <c r="E27" i="7" s="1"/>
  <c r="E121" i="7"/>
  <c r="I4" i="1"/>
  <c r="H40" i="7"/>
  <c r="K8" i="1"/>
  <c r="G24" i="7"/>
  <c r="G49" i="7"/>
  <c r="G58" i="7" s="1"/>
  <c r="G67" i="7"/>
  <c r="G38" i="7"/>
  <c r="H124" i="7"/>
  <c r="F25" i="7"/>
  <c r="F76" i="7"/>
  <c r="L7" i="2"/>
  <c r="K6" i="1"/>
  <c r="J31" i="1"/>
  <c r="L9" i="1"/>
  <c r="M5" i="1"/>
  <c r="G133" i="7" l="1"/>
  <c r="G115" i="7"/>
  <c r="G142" i="7" s="1"/>
  <c r="G118" i="7"/>
  <c r="G145" i="7" s="1"/>
  <c r="F132" i="7"/>
  <c r="F114" i="7"/>
  <c r="F141" i="7" s="1"/>
  <c r="F135" i="7"/>
  <c r="F117" i="7"/>
  <c r="F144" i="7" s="1"/>
  <c r="G116" i="7"/>
  <c r="G143" i="7" s="1"/>
  <c r="G134" i="7"/>
  <c r="K217" i="5"/>
  <c r="K213" i="5" s="1"/>
  <c r="K5" i="5" s="1"/>
  <c r="J83" i="7" s="1"/>
  <c r="F113" i="7"/>
  <c r="F140" i="7" s="1"/>
  <c r="F131" i="7"/>
  <c r="I155" i="5"/>
  <c r="I158" i="5"/>
  <c r="I176" i="5"/>
  <c r="I157" i="5"/>
  <c r="I164" i="5"/>
  <c r="I165" i="5"/>
  <c r="I152" i="5"/>
  <c r="I174" i="5"/>
  <c r="I161" i="5"/>
  <c r="I156" i="5"/>
  <c r="I167" i="5"/>
  <c r="I173" i="5"/>
  <c r="I175" i="5"/>
  <c r="I170" i="5"/>
  <c r="I166" i="5"/>
  <c r="I153" i="5"/>
  <c r="I171" i="5"/>
  <c r="I162" i="5"/>
  <c r="I151" i="5"/>
  <c r="I160" i="5"/>
  <c r="I169" i="5"/>
  <c r="I154" i="5"/>
  <c r="I172" i="5"/>
  <c r="I163" i="5"/>
  <c r="J39" i="7"/>
  <c r="J14" i="7" s="1"/>
  <c r="G131" i="7"/>
  <c r="G113" i="7"/>
  <c r="G140" i="7" s="1"/>
  <c r="F115" i="7"/>
  <c r="F142" i="7" s="1"/>
  <c r="F133" i="7"/>
  <c r="G117" i="7"/>
  <c r="G144" i="7" s="1"/>
  <c r="G135" i="7"/>
  <c r="F116" i="7"/>
  <c r="F143" i="7" s="1"/>
  <c r="F134" i="7"/>
  <c r="I79" i="7"/>
  <c r="I124" i="7" s="1"/>
  <c r="N82" i="7"/>
  <c r="M127" i="7"/>
  <c r="M125" i="7"/>
  <c r="N125" i="7"/>
  <c r="L5" i="1"/>
  <c r="H78" i="7"/>
  <c r="L49" i="2"/>
  <c r="I51" i="7"/>
  <c r="I60" i="7" s="1"/>
  <c r="I69" i="7"/>
  <c r="J70" i="7"/>
  <c r="J52" i="7"/>
  <c r="J61" i="7" s="1"/>
  <c r="K43" i="7"/>
  <c r="L39" i="7"/>
  <c r="L14" i="7" s="1"/>
  <c r="G96" i="7"/>
  <c r="G123" i="7"/>
  <c r="J42" i="7"/>
  <c r="J4" i="1"/>
  <c r="I40" i="7"/>
  <c r="G76" i="7"/>
  <c r="G25" i="7"/>
  <c r="E28" i="7"/>
  <c r="E29" i="7" s="1"/>
  <c r="E130" i="7"/>
  <c r="E112" i="7"/>
  <c r="L8" i="1"/>
  <c r="F26" i="7"/>
  <c r="F27" i="7" s="1"/>
  <c r="F94" i="7"/>
  <c r="F121" i="7"/>
  <c r="H49" i="7"/>
  <c r="H58" i="7" s="1"/>
  <c r="H67" i="7"/>
  <c r="H24" i="7"/>
  <c r="H38" i="7"/>
  <c r="K31" i="1"/>
  <c r="L6" i="1"/>
  <c r="M9" i="1"/>
  <c r="N5" i="1"/>
  <c r="I11" i="5" l="1"/>
  <c r="H89" i="7" s="1"/>
  <c r="H98" i="7" s="1"/>
  <c r="I12" i="5"/>
  <c r="H90" i="7" s="1"/>
  <c r="H99" i="7" s="1"/>
  <c r="I9" i="5"/>
  <c r="H87" i="7" s="1"/>
  <c r="H96" i="7" s="1"/>
  <c r="I7" i="5"/>
  <c r="H85" i="7" s="1"/>
  <c r="H116" i="7"/>
  <c r="H143" i="7" s="1"/>
  <c r="H134" i="7"/>
  <c r="J176" i="5"/>
  <c r="J158" i="5"/>
  <c r="J155" i="5"/>
  <c r="J157" i="5"/>
  <c r="J165" i="5"/>
  <c r="J167" i="5"/>
  <c r="J174" i="5"/>
  <c r="J170" i="5"/>
  <c r="J152" i="5"/>
  <c r="J173" i="5"/>
  <c r="J156" i="5"/>
  <c r="J161" i="5"/>
  <c r="J164" i="5"/>
  <c r="J166" i="5"/>
  <c r="J175" i="5"/>
  <c r="J153" i="5"/>
  <c r="J171" i="5"/>
  <c r="J162" i="5"/>
  <c r="J160" i="5"/>
  <c r="J151" i="5"/>
  <c r="J169" i="5"/>
  <c r="J154" i="5"/>
  <c r="J172" i="5"/>
  <c r="J163" i="5"/>
  <c r="L217" i="5"/>
  <c r="L213" i="5" s="1"/>
  <c r="L5" i="5" s="1"/>
  <c r="K83" i="7" s="1"/>
  <c r="I8" i="5"/>
  <c r="H86" i="7" s="1"/>
  <c r="H95" i="7" s="1"/>
  <c r="I6" i="5"/>
  <c r="H84" i="7" s="1"/>
  <c r="H117" i="7"/>
  <c r="H144" i="7" s="1"/>
  <c r="H135" i="7"/>
  <c r="K39" i="7"/>
  <c r="K14" i="7" s="1"/>
  <c r="I13" i="5"/>
  <c r="H91" i="7" s="1"/>
  <c r="H100" i="7" s="1"/>
  <c r="I10" i="5"/>
  <c r="H88" i="7" s="1"/>
  <c r="H97" i="7" s="1"/>
  <c r="N127" i="7"/>
  <c r="H123" i="7"/>
  <c r="M7" i="2"/>
  <c r="M49" i="2" s="1"/>
  <c r="I78" i="7"/>
  <c r="J69" i="7"/>
  <c r="J51" i="7"/>
  <c r="J60" i="7" s="1"/>
  <c r="K70" i="7"/>
  <c r="K52" i="7"/>
  <c r="K61" i="7" s="1"/>
  <c r="K42" i="7"/>
  <c r="J79" i="7"/>
  <c r="G132" i="7"/>
  <c r="G114" i="7"/>
  <c r="G141" i="7" s="1"/>
  <c r="L43" i="7"/>
  <c r="M39" i="7"/>
  <c r="M14" i="7" s="1"/>
  <c r="G26" i="7"/>
  <c r="G27" i="7" s="1"/>
  <c r="G121" i="7"/>
  <c r="G94" i="7"/>
  <c r="I24" i="7"/>
  <c r="I49" i="7"/>
  <c r="I58" i="7" s="1"/>
  <c r="I67" i="7"/>
  <c r="I38" i="7"/>
  <c r="K4" i="1"/>
  <c r="J40" i="7"/>
  <c r="F28" i="7"/>
  <c r="F29" i="7" s="1"/>
  <c r="F130" i="7"/>
  <c r="F112" i="7"/>
  <c r="H76" i="7"/>
  <c r="H25" i="7"/>
  <c r="M8" i="1"/>
  <c r="E139" i="7"/>
  <c r="E30" i="7"/>
  <c r="E31" i="7" s="1"/>
  <c r="L31" i="1"/>
  <c r="M6" i="1"/>
  <c r="N9" i="1"/>
  <c r="O5" i="1"/>
  <c r="J12" i="5" l="1"/>
  <c r="I90" i="7" s="1"/>
  <c r="I99" i="7" s="1"/>
  <c r="J10" i="5"/>
  <c r="I88" i="7" s="1"/>
  <c r="I97" i="7" s="1"/>
  <c r="I115" i="7" s="1"/>
  <c r="I142" i="7" s="1"/>
  <c r="J8" i="5"/>
  <c r="I86" i="7" s="1"/>
  <c r="I95" i="7" s="1"/>
  <c r="I131" i="7" s="1"/>
  <c r="H113" i="7"/>
  <c r="H140" i="7" s="1"/>
  <c r="H131" i="7"/>
  <c r="I117" i="7"/>
  <c r="I144" i="7" s="1"/>
  <c r="I135" i="7"/>
  <c r="I113" i="7"/>
  <c r="I140" i="7" s="1"/>
  <c r="M217" i="5"/>
  <c r="M213" i="5" s="1"/>
  <c r="M5" i="5" s="1"/>
  <c r="L83" i="7" s="1"/>
  <c r="H133" i="7"/>
  <c r="H115" i="7"/>
  <c r="H142" i="7" s="1"/>
  <c r="J13" i="5"/>
  <c r="I91" i="7" s="1"/>
  <c r="I100" i="7" s="1"/>
  <c r="J11" i="5"/>
  <c r="I89" i="7" s="1"/>
  <c r="I98" i="7" s="1"/>
  <c r="K161" i="5"/>
  <c r="K165" i="5"/>
  <c r="K158" i="5"/>
  <c r="K173" i="5"/>
  <c r="K157" i="5"/>
  <c r="K152" i="5"/>
  <c r="K155" i="5"/>
  <c r="K170" i="5"/>
  <c r="K175" i="5"/>
  <c r="K167" i="5"/>
  <c r="K174" i="5"/>
  <c r="K164" i="5"/>
  <c r="K176" i="5"/>
  <c r="K156" i="5"/>
  <c r="K166" i="5"/>
  <c r="K153" i="5"/>
  <c r="K162" i="5"/>
  <c r="K171" i="5"/>
  <c r="K160" i="5"/>
  <c r="K169" i="5"/>
  <c r="K151" i="5"/>
  <c r="K154" i="5"/>
  <c r="K172" i="5"/>
  <c r="K163" i="5"/>
  <c r="J9" i="5"/>
  <c r="I87" i="7" s="1"/>
  <c r="I96" i="7" s="1"/>
  <c r="H118" i="7"/>
  <c r="H145" i="7" s="1"/>
  <c r="H136" i="7"/>
  <c r="I133" i="7"/>
  <c r="J7" i="5"/>
  <c r="I85" i="7" s="1"/>
  <c r="J6" i="5"/>
  <c r="I84" i="7" s="1"/>
  <c r="K79" i="7"/>
  <c r="K124" i="7" s="1"/>
  <c r="J78" i="7"/>
  <c r="H114" i="7"/>
  <c r="H141" i="7" s="1"/>
  <c r="H132" i="7"/>
  <c r="I123" i="7"/>
  <c r="L70" i="7"/>
  <c r="L52" i="7"/>
  <c r="L61" i="7" s="1"/>
  <c r="K69" i="7"/>
  <c r="K51" i="7"/>
  <c r="K60" i="7" s="1"/>
  <c r="J124" i="7"/>
  <c r="N39" i="7"/>
  <c r="N14" i="7" s="1"/>
  <c r="L42" i="7"/>
  <c r="M43" i="7"/>
  <c r="N7" i="2"/>
  <c r="N49" i="2" s="1"/>
  <c r="J49" i="7"/>
  <c r="J58" i="7" s="1"/>
  <c r="J67" i="7"/>
  <c r="J24" i="7"/>
  <c r="J38" i="7"/>
  <c r="I25" i="7"/>
  <c r="I76" i="7"/>
  <c r="H121" i="7"/>
  <c r="H26" i="7"/>
  <c r="H27" i="7" s="1"/>
  <c r="H94" i="7"/>
  <c r="F30" i="7"/>
  <c r="F31" i="7" s="1"/>
  <c r="F139" i="7"/>
  <c r="G28" i="7"/>
  <c r="G29" i="7" s="1"/>
  <c r="G112" i="7"/>
  <c r="G130" i="7"/>
  <c r="L4" i="1"/>
  <c r="K40" i="7"/>
  <c r="O8" i="1"/>
  <c r="N8" i="1"/>
  <c r="M31" i="1"/>
  <c r="O6" i="1"/>
  <c r="N6" i="1"/>
  <c r="K7" i="5" l="1"/>
  <c r="J85" i="7" s="1"/>
  <c r="K10" i="5"/>
  <c r="J88" i="7" s="1"/>
  <c r="J97" i="7" s="1"/>
  <c r="J115" i="7" s="1"/>
  <c r="J142" i="7" s="1"/>
  <c r="K13" i="5"/>
  <c r="J91" i="7" s="1"/>
  <c r="J100" i="7" s="1"/>
  <c r="J136" i="7" s="1"/>
  <c r="K12" i="5"/>
  <c r="J90" i="7" s="1"/>
  <c r="J99" i="7" s="1"/>
  <c r="J117" i="7" s="1"/>
  <c r="J144" i="7" s="1"/>
  <c r="K8" i="5"/>
  <c r="J86" i="7" s="1"/>
  <c r="J95" i="7" s="1"/>
  <c r="L161" i="5"/>
  <c r="L165" i="5"/>
  <c r="L158" i="5"/>
  <c r="L152" i="5"/>
  <c r="L156" i="5"/>
  <c r="L173" i="5"/>
  <c r="L155" i="5"/>
  <c r="L176" i="5"/>
  <c r="L164" i="5"/>
  <c r="L167" i="5"/>
  <c r="L170" i="5"/>
  <c r="L157" i="5"/>
  <c r="L175" i="5"/>
  <c r="L174" i="5"/>
  <c r="L166" i="5"/>
  <c r="L153" i="5"/>
  <c r="L171" i="5"/>
  <c r="L162" i="5"/>
  <c r="L151" i="5"/>
  <c r="L160" i="5"/>
  <c r="L169" i="5"/>
  <c r="L172" i="5"/>
  <c r="L163" i="5"/>
  <c r="L154" i="5"/>
  <c r="N217" i="5"/>
  <c r="N213" i="5" s="1"/>
  <c r="N5" i="5" s="1"/>
  <c r="M83" i="7" s="1"/>
  <c r="O217" i="5"/>
  <c r="O213" i="5" s="1"/>
  <c r="O5" i="5" s="1"/>
  <c r="N83" i="7" s="1"/>
  <c r="K11" i="5"/>
  <c r="J89" i="7" s="1"/>
  <c r="J98" i="7" s="1"/>
  <c r="K9" i="5"/>
  <c r="J87" i="7" s="1"/>
  <c r="J96" i="7" s="1"/>
  <c r="K6" i="5"/>
  <c r="J84" i="7" s="1"/>
  <c r="I116" i="7"/>
  <c r="I143" i="7" s="1"/>
  <c r="I134" i="7"/>
  <c r="I118" i="7"/>
  <c r="I145" i="7" s="1"/>
  <c r="I136" i="7"/>
  <c r="J123" i="7"/>
  <c r="K78" i="7"/>
  <c r="I114" i="7"/>
  <c r="I141" i="7" s="1"/>
  <c r="I132" i="7"/>
  <c r="L69" i="7"/>
  <c r="L51" i="7"/>
  <c r="L60" i="7" s="1"/>
  <c r="M52" i="7"/>
  <c r="M61" i="7" s="1"/>
  <c r="M70" i="7"/>
  <c r="N42" i="7"/>
  <c r="M42" i="7"/>
  <c r="L79" i="7"/>
  <c r="H28" i="7"/>
  <c r="H29" i="7" s="1"/>
  <c r="H112" i="7"/>
  <c r="H130" i="7"/>
  <c r="M4" i="1"/>
  <c r="L40" i="7"/>
  <c r="I121" i="7"/>
  <c r="I94" i="7"/>
  <c r="I26" i="7"/>
  <c r="I27" i="7" s="1"/>
  <c r="G139" i="7"/>
  <c r="G30" i="7"/>
  <c r="G31" i="7" s="1"/>
  <c r="O7" i="2"/>
  <c r="O49" i="2" s="1"/>
  <c r="K24" i="7"/>
  <c r="K49" i="7"/>
  <c r="K58" i="7" s="1"/>
  <c r="K67" i="7"/>
  <c r="K38" i="7"/>
  <c r="J25" i="7"/>
  <c r="J76" i="7"/>
  <c r="O9" i="1"/>
  <c r="N31" i="1"/>
  <c r="L11" i="5" l="1"/>
  <c r="K89" i="7" s="1"/>
  <c r="K98" i="7" s="1"/>
  <c r="J133" i="7"/>
  <c r="J118" i="7"/>
  <c r="J145" i="7" s="1"/>
  <c r="J135" i="7"/>
  <c r="J132" i="7"/>
  <c r="J114" i="7"/>
  <c r="J141" i="7" s="1"/>
  <c r="L6" i="5"/>
  <c r="K84" i="7" s="1"/>
  <c r="L10" i="5"/>
  <c r="K88" i="7" s="1"/>
  <c r="K97" i="7" s="1"/>
  <c r="K133" i="7" s="1"/>
  <c r="K116" i="7"/>
  <c r="K143" i="7" s="1"/>
  <c r="K134" i="7"/>
  <c r="L8" i="5"/>
  <c r="K86" i="7" s="1"/>
  <c r="K95" i="7" s="1"/>
  <c r="L7" i="5"/>
  <c r="K85" i="7" s="1"/>
  <c r="L13" i="5"/>
  <c r="K91" i="7" s="1"/>
  <c r="K100" i="7" s="1"/>
  <c r="M156" i="5"/>
  <c r="M152" i="5"/>
  <c r="M166" i="5"/>
  <c r="M158" i="5"/>
  <c r="M173" i="5"/>
  <c r="M155" i="5"/>
  <c r="M175" i="5"/>
  <c r="M165" i="5"/>
  <c r="M161" i="5"/>
  <c r="M174" i="5"/>
  <c r="M170" i="5"/>
  <c r="M164" i="5"/>
  <c r="M157" i="5"/>
  <c r="M167" i="5"/>
  <c r="M176" i="5"/>
  <c r="M162" i="5"/>
  <c r="M171" i="5"/>
  <c r="M153" i="5"/>
  <c r="M151" i="5"/>
  <c r="M169" i="5"/>
  <c r="M160" i="5"/>
  <c r="M154" i="5"/>
  <c r="M172" i="5"/>
  <c r="M163" i="5"/>
  <c r="J116" i="7"/>
  <c r="J143" i="7" s="1"/>
  <c r="J134" i="7"/>
  <c r="L9" i="5"/>
  <c r="K87" i="7" s="1"/>
  <c r="K96" i="7" s="1"/>
  <c r="K114" i="7" s="1"/>
  <c r="K141" i="7" s="1"/>
  <c r="L12" i="5"/>
  <c r="K90" i="7" s="1"/>
  <c r="K99" i="7" s="1"/>
  <c r="J131" i="7"/>
  <c r="J113" i="7"/>
  <c r="J140" i="7" s="1"/>
  <c r="L78" i="7"/>
  <c r="L123" i="7" s="1"/>
  <c r="K123" i="7"/>
  <c r="M69" i="7"/>
  <c r="M51" i="7"/>
  <c r="M60" i="7" s="1"/>
  <c r="N51" i="7"/>
  <c r="N60" i="7" s="1"/>
  <c r="N69" i="7"/>
  <c r="L124" i="7"/>
  <c r="O4" i="1"/>
  <c r="M79" i="7"/>
  <c r="L24" i="7"/>
  <c r="L49" i="7"/>
  <c r="L58" i="7" s="1"/>
  <c r="L67" i="7"/>
  <c r="L38" i="7"/>
  <c r="L4" i="7" s="1"/>
  <c r="N40" i="7"/>
  <c r="N4" i="1"/>
  <c r="M40" i="7"/>
  <c r="J26" i="7"/>
  <c r="J27" i="7" s="1"/>
  <c r="J121" i="7"/>
  <c r="J94" i="7"/>
  <c r="H139" i="7"/>
  <c r="H30" i="7"/>
  <c r="H31" i="7" s="1"/>
  <c r="K25" i="7"/>
  <c r="K76" i="7"/>
  <c r="I28" i="7"/>
  <c r="I29" i="7" s="1"/>
  <c r="I130" i="7"/>
  <c r="I112" i="7"/>
  <c r="O31" i="1"/>
  <c r="J48" i="7"/>
  <c r="J57" i="7" s="1"/>
  <c r="J15" i="7" s="1"/>
  <c r="M66" i="7"/>
  <c r="M48" i="7"/>
  <c r="M57" i="7" s="1"/>
  <c r="M15" i="7" s="1"/>
  <c r="E66" i="7"/>
  <c r="E65" i="7" s="1"/>
  <c r="E48" i="7"/>
  <c r="E57" i="7" s="1"/>
  <c r="E15" i="7" s="1"/>
  <c r="F48" i="7"/>
  <c r="F57" i="7" s="1"/>
  <c r="F15" i="7" s="1"/>
  <c r="J4" i="7"/>
  <c r="H48" i="7"/>
  <c r="H57" i="7" s="1"/>
  <c r="H15" i="7" s="1"/>
  <c r="I66" i="7"/>
  <c r="I65" i="7" s="1"/>
  <c r="H4" i="7"/>
  <c r="K66" i="7"/>
  <c r="K65" i="7" s="1"/>
  <c r="G4" i="7"/>
  <c r="K48" i="7"/>
  <c r="K57" i="7" s="1"/>
  <c r="L66" i="7"/>
  <c r="F4" i="7"/>
  <c r="L48" i="7"/>
  <c r="L57" i="7" s="1"/>
  <c r="L15" i="7" s="1"/>
  <c r="N66" i="7"/>
  <c r="N48" i="7"/>
  <c r="D65" i="7"/>
  <c r="D48" i="7"/>
  <c r="D57" i="7" s="1"/>
  <c r="D15" i="7" s="1"/>
  <c r="F66" i="7"/>
  <c r="F65" i="7" s="1"/>
  <c r="G66" i="7"/>
  <c r="G65" i="7" s="1"/>
  <c r="K4" i="7"/>
  <c r="G48" i="7"/>
  <c r="G47" i="7" s="1"/>
  <c r="H66" i="7"/>
  <c r="H65" i="7" s="1"/>
  <c r="I4" i="7"/>
  <c r="I48" i="7"/>
  <c r="I47" i="7" s="1"/>
  <c r="J66" i="7"/>
  <c r="J65" i="7" s="1"/>
  <c r="M8" i="5" l="1"/>
  <c r="L86" i="7" s="1"/>
  <c r="L95" i="7" s="1"/>
  <c r="M12" i="5"/>
  <c r="L90" i="7" s="1"/>
  <c r="L99" i="7" s="1"/>
  <c r="K115" i="7"/>
  <c r="K142" i="7" s="1"/>
  <c r="M6" i="5"/>
  <c r="L84" i="7" s="1"/>
  <c r="M10" i="5"/>
  <c r="L88" i="7" s="1"/>
  <c r="L97" i="7" s="1"/>
  <c r="L115" i="7" s="1"/>
  <c r="L142" i="7" s="1"/>
  <c r="M7" i="5"/>
  <c r="L85" i="7" s="1"/>
  <c r="L135" i="7"/>
  <c r="L117" i="7"/>
  <c r="L144" i="7" s="1"/>
  <c r="M11" i="5"/>
  <c r="L89" i="7" s="1"/>
  <c r="L98" i="7" s="1"/>
  <c r="K118" i="7"/>
  <c r="K145" i="7" s="1"/>
  <c r="K136" i="7"/>
  <c r="K113" i="7"/>
  <c r="K140" i="7" s="1"/>
  <c r="K131" i="7"/>
  <c r="M9" i="5"/>
  <c r="L87" i="7" s="1"/>
  <c r="L96" i="7" s="1"/>
  <c r="L114" i="7" s="1"/>
  <c r="L141" i="7" s="1"/>
  <c r="N155" i="5"/>
  <c r="N166" i="5"/>
  <c r="N158" i="5"/>
  <c r="N161" i="5"/>
  <c r="N173" i="5"/>
  <c r="N152" i="5"/>
  <c r="N156" i="5"/>
  <c r="N174" i="5"/>
  <c r="N164" i="5"/>
  <c r="N167" i="5"/>
  <c r="N170" i="5"/>
  <c r="N175" i="5"/>
  <c r="N157" i="5"/>
  <c r="N165" i="5"/>
  <c r="N176" i="5"/>
  <c r="N162" i="5"/>
  <c r="N171" i="5"/>
  <c r="N153" i="5"/>
  <c r="N151" i="5"/>
  <c r="N169" i="5"/>
  <c r="N160" i="5"/>
  <c r="N154" i="5"/>
  <c r="N172" i="5"/>
  <c r="N163" i="5"/>
  <c r="K132" i="7"/>
  <c r="L113" i="7"/>
  <c r="L140" i="7" s="1"/>
  <c r="L131" i="7"/>
  <c r="O157" i="5"/>
  <c r="O170" i="5"/>
  <c r="O155" i="5"/>
  <c r="O152" i="5"/>
  <c r="O156" i="5"/>
  <c r="O166" i="5"/>
  <c r="O174" i="5"/>
  <c r="O161" i="5"/>
  <c r="O164" i="5"/>
  <c r="O167" i="5"/>
  <c r="O176" i="5"/>
  <c r="O173" i="5"/>
  <c r="O175" i="5"/>
  <c r="O165" i="5"/>
  <c r="O158" i="5"/>
  <c r="O162" i="5"/>
  <c r="O153" i="5"/>
  <c r="O171" i="5"/>
  <c r="O160" i="5"/>
  <c r="O151" i="5"/>
  <c r="O169" i="5"/>
  <c r="O154" i="5"/>
  <c r="O163" i="5"/>
  <c r="O172" i="5"/>
  <c r="K135" i="7"/>
  <c r="K117" i="7"/>
  <c r="K144" i="7" s="1"/>
  <c r="M13" i="5"/>
  <c r="L91" i="7" s="1"/>
  <c r="L100" i="7" s="1"/>
  <c r="M78" i="7"/>
  <c r="K47" i="7"/>
  <c r="M124" i="7"/>
  <c r="N43" i="7"/>
  <c r="N38" i="7" s="1"/>
  <c r="N4" i="7" s="1"/>
  <c r="N78" i="7"/>
  <c r="L65" i="7"/>
  <c r="M24" i="7"/>
  <c r="M49" i="7"/>
  <c r="M67" i="7"/>
  <c r="M65" i="7" s="1"/>
  <c r="M38" i="7"/>
  <c r="M4" i="7" s="1"/>
  <c r="J28" i="7"/>
  <c r="J29" i="7" s="1"/>
  <c r="J112" i="7"/>
  <c r="J130" i="7"/>
  <c r="N24" i="7"/>
  <c r="N49" i="7"/>
  <c r="N58" i="7" s="1"/>
  <c r="N67" i="7"/>
  <c r="I139" i="7"/>
  <c r="I30" i="7"/>
  <c r="I31" i="7" s="1"/>
  <c r="K121" i="7"/>
  <c r="K94" i="7"/>
  <c r="K26" i="7"/>
  <c r="K27" i="7" s="1"/>
  <c r="L76" i="7"/>
  <c r="L25" i="7"/>
  <c r="D47" i="7"/>
  <c r="H47" i="7"/>
  <c r="J47" i="7"/>
  <c r="E47" i="7"/>
  <c r="F47" i="7"/>
  <c r="K56" i="7"/>
  <c r="K5" i="7" s="1"/>
  <c r="K15" i="7"/>
  <c r="L47" i="7"/>
  <c r="E75" i="7"/>
  <c r="E16" i="7" s="1"/>
  <c r="N57" i="7"/>
  <c r="N15" i="7" s="1"/>
  <c r="L75" i="7"/>
  <c r="L16" i="7" s="1"/>
  <c r="L56" i="7"/>
  <c r="H56" i="7"/>
  <c r="H75" i="7"/>
  <c r="H16" i="7" s="1"/>
  <c r="M75" i="7"/>
  <c r="M16" i="7" s="1"/>
  <c r="D75" i="7"/>
  <c r="D16" i="7" s="1"/>
  <c r="D56" i="7"/>
  <c r="F75" i="7"/>
  <c r="F16" i="7" s="1"/>
  <c r="F56" i="7"/>
  <c r="J75" i="7"/>
  <c r="J16" i="7" s="1"/>
  <c r="J56" i="7"/>
  <c r="G57" i="7"/>
  <c r="G15" i="7" s="1"/>
  <c r="E56" i="7"/>
  <c r="K75" i="7"/>
  <c r="K16" i="7" s="1"/>
  <c r="I57" i="7"/>
  <c r="I15" i="7" s="1"/>
  <c r="L133" i="7" l="1"/>
  <c r="N8" i="5"/>
  <c r="M86" i="7" s="1"/>
  <c r="M95" i="7" s="1"/>
  <c r="M113" i="7" s="1"/>
  <c r="M140" i="7" s="1"/>
  <c r="N13" i="5"/>
  <c r="M91" i="7" s="1"/>
  <c r="M100" i="7" s="1"/>
  <c r="M136" i="7" s="1"/>
  <c r="N12" i="5"/>
  <c r="M90" i="7" s="1"/>
  <c r="M99" i="7" s="1"/>
  <c r="N10" i="5"/>
  <c r="M88" i="7" s="1"/>
  <c r="M97" i="7" s="1"/>
  <c r="M133" i="7" s="1"/>
  <c r="M118" i="7"/>
  <c r="M145" i="7" s="1"/>
  <c r="O9" i="5"/>
  <c r="N87" i="7" s="1"/>
  <c r="N96" i="7" s="1"/>
  <c r="N9" i="5"/>
  <c r="M87" i="7" s="1"/>
  <c r="M96" i="7" s="1"/>
  <c r="M117" i="7"/>
  <c r="M144" i="7" s="1"/>
  <c r="M135" i="7"/>
  <c r="O11" i="5"/>
  <c r="N89" i="7" s="1"/>
  <c r="N98" i="7" s="1"/>
  <c r="O6" i="5"/>
  <c r="N84" i="7" s="1"/>
  <c r="L134" i="7"/>
  <c r="L116" i="7"/>
  <c r="L143" i="7" s="1"/>
  <c r="O7" i="5"/>
  <c r="N85" i="7" s="1"/>
  <c r="N6" i="5"/>
  <c r="M84" i="7" s="1"/>
  <c r="M93" i="7" s="1"/>
  <c r="M18" i="7" s="1"/>
  <c r="O13" i="5"/>
  <c r="N91" i="7" s="1"/>
  <c r="N100" i="7" s="1"/>
  <c r="N7" i="5"/>
  <c r="M85" i="7" s="1"/>
  <c r="O8" i="5"/>
  <c r="N86" i="7" s="1"/>
  <c r="N95" i="7" s="1"/>
  <c r="L136" i="7"/>
  <c r="L118" i="7"/>
  <c r="L145" i="7" s="1"/>
  <c r="O10" i="5"/>
  <c r="N88" i="7" s="1"/>
  <c r="N11" i="5"/>
  <c r="M89" i="7" s="1"/>
  <c r="M98" i="7" s="1"/>
  <c r="O12" i="5"/>
  <c r="N90" i="7" s="1"/>
  <c r="N99" i="7" s="1"/>
  <c r="M123" i="7"/>
  <c r="L132" i="7"/>
  <c r="N70" i="7"/>
  <c r="N65" i="7" s="1"/>
  <c r="N52" i="7"/>
  <c r="N61" i="7" s="1"/>
  <c r="N123" i="7"/>
  <c r="N47" i="7"/>
  <c r="K28" i="7"/>
  <c r="K29" i="7" s="1"/>
  <c r="K130" i="7"/>
  <c r="K112" i="7"/>
  <c r="J139" i="7"/>
  <c r="J30" i="7"/>
  <c r="J31" i="7" s="1"/>
  <c r="L121" i="7"/>
  <c r="L94" i="7"/>
  <c r="L26" i="7"/>
  <c r="L27" i="7" s="1"/>
  <c r="E120" i="7"/>
  <c r="E17" i="7" s="1"/>
  <c r="N76" i="7"/>
  <c r="N25" i="7"/>
  <c r="M58" i="7"/>
  <c r="M47" i="7"/>
  <c r="E74" i="7"/>
  <c r="E119" i="7" s="1"/>
  <c r="E93" i="7"/>
  <c r="E18" i="7" s="1"/>
  <c r="E5" i="7"/>
  <c r="H5" i="7"/>
  <c r="L5" i="7"/>
  <c r="J5" i="7"/>
  <c r="F5" i="7"/>
  <c r="D5" i="7"/>
  <c r="N75" i="7"/>
  <c r="N16" i="7" s="1"/>
  <c r="N56" i="7"/>
  <c r="H120" i="7"/>
  <c r="H17" i="7" s="1"/>
  <c r="H74" i="7"/>
  <c r="H93" i="7"/>
  <c r="H18" i="7" s="1"/>
  <c r="K93" i="7"/>
  <c r="K18" i="7" s="1"/>
  <c r="K120" i="7"/>
  <c r="K17" i="7" s="1"/>
  <c r="K74" i="7"/>
  <c r="I75" i="7"/>
  <c r="I16" i="7" s="1"/>
  <c r="I56" i="7"/>
  <c r="F74" i="7"/>
  <c r="F93" i="7"/>
  <c r="F18" i="7" s="1"/>
  <c r="F120" i="7"/>
  <c r="F17" i="7" s="1"/>
  <c r="D93" i="7"/>
  <c r="D18" i="7" s="1"/>
  <c r="D120" i="7"/>
  <c r="D17" i="7" s="1"/>
  <c r="D74" i="7"/>
  <c r="G56" i="7"/>
  <c r="G75" i="7"/>
  <c r="G16" i="7" s="1"/>
  <c r="M120" i="7"/>
  <c r="M17" i="7" s="1"/>
  <c r="L93" i="7"/>
  <c r="L18" i="7" s="1"/>
  <c r="L74" i="7"/>
  <c r="L120" i="7"/>
  <c r="L17" i="7" s="1"/>
  <c r="J93" i="7"/>
  <c r="J18" i="7" s="1"/>
  <c r="J120" i="7"/>
  <c r="J17" i="7" s="1"/>
  <c r="J74" i="7"/>
  <c r="M115" i="7" l="1"/>
  <c r="M142" i="7" s="1"/>
  <c r="M131" i="7"/>
  <c r="N116" i="7"/>
  <c r="N143" i="7" s="1"/>
  <c r="N134" i="7"/>
  <c r="M116" i="7"/>
  <c r="M143" i="7" s="1"/>
  <c r="M134" i="7"/>
  <c r="M132" i="7"/>
  <c r="M114" i="7"/>
  <c r="M141" i="7" s="1"/>
  <c r="N135" i="7"/>
  <c r="N117" i="7"/>
  <c r="N144" i="7" s="1"/>
  <c r="N113" i="7"/>
  <c r="N140" i="7" s="1"/>
  <c r="N131" i="7"/>
  <c r="N118" i="7"/>
  <c r="N145" i="7" s="1"/>
  <c r="N136" i="7"/>
  <c r="N79" i="7"/>
  <c r="N97" i="7" s="1"/>
  <c r="E129" i="7"/>
  <c r="E19" i="7" s="1"/>
  <c r="E6" i="7"/>
  <c r="N114" i="7"/>
  <c r="N141" i="7" s="1"/>
  <c r="N132" i="7"/>
  <c r="N121" i="7"/>
  <c r="N94" i="7"/>
  <c r="N26" i="7"/>
  <c r="N27" i="7" s="1"/>
  <c r="L28" i="7"/>
  <c r="L29" i="7" s="1"/>
  <c r="L112" i="7"/>
  <c r="L130" i="7"/>
  <c r="M25" i="7"/>
  <c r="M76" i="7"/>
  <c r="M56" i="7"/>
  <c r="M5" i="7" s="1"/>
  <c r="K139" i="7"/>
  <c r="K30" i="7"/>
  <c r="K31" i="7" s="1"/>
  <c r="E111" i="7"/>
  <c r="E20" i="7" s="1"/>
  <c r="E92" i="7"/>
  <c r="E128" i="7" s="1"/>
  <c r="I5" i="7"/>
  <c r="G5" i="7"/>
  <c r="N5" i="7"/>
  <c r="E7" i="7"/>
  <c r="N93" i="7"/>
  <c r="N18" i="7" s="1"/>
  <c r="N120" i="7"/>
  <c r="N17" i="7" s="1"/>
  <c r="F119" i="7"/>
  <c r="F6" i="7"/>
  <c r="J111" i="7"/>
  <c r="J20" i="7" s="1"/>
  <c r="J129" i="7"/>
  <c r="J19" i="7" s="1"/>
  <c r="J92" i="7"/>
  <c r="K129" i="7"/>
  <c r="K19" i="7" s="1"/>
  <c r="K111" i="7"/>
  <c r="K20" i="7" s="1"/>
  <c r="K92" i="7"/>
  <c r="D111" i="7"/>
  <c r="D20" i="7" s="1"/>
  <c r="D129" i="7"/>
  <c r="D19" i="7" s="1"/>
  <c r="D92" i="7"/>
  <c r="I93" i="7"/>
  <c r="I18" i="7" s="1"/>
  <c r="I74" i="7"/>
  <c r="I120" i="7"/>
  <c r="I17" i="7" s="1"/>
  <c r="F92" i="7"/>
  <c r="F111" i="7"/>
  <c r="F20" i="7" s="1"/>
  <c r="F129" i="7"/>
  <c r="F19" i="7" s="1"/>
  <c r="J119" i="7"/>
  <c r="J6" i="7"/>
  <c r="M129" i="7"/>
  <c r="M19" i="7" s="1"/>
  <c r="M111" i="7"/>
  <c r="M20" i="7" s="1"/>
  <c r="K119" i="7"/>
  <c r="K6" i="7"/>
  <c r="L119" i="7"/>
  <c r="L6" i="7"/>
  <c r="G93" i="7"/>
  <c r="G18" i="7" s="1"/>
  <c r="G74" i="7"/>
  <c r="G120" i="7"/>
  <c r="G17" i="7" s="1"/>
  <c r="L92" i="7"/>
  <c r="L111" i="7"/>
  <c r="L20" i="7" s="1"/>
  <c r="L129" i="7"/>
  <c r="L19" i="7" s="1"/>
  <c r="H92" i="7"/>
  <c r="H111" i="7"/>
  <c r="H20" i="7" s="1"/>
  <c r="H129" i="7"/>
  <c r="H19" i="7" s="1"/>
  <c r="D119" i="7"/>
  <c r="D6" i="7"/>
  <c r="H119" i="7"/>
  <c r="H6" i="7"/>
  <c r="N74" i="7" l="1"/>
  <c r="N6" i="7" s="1"/>
  <c r="N124" i="7"/>
  <c r="E8" i="7"/>
  <c r="N115" i="7"/>
  <c r="N142" i="7" s="1"/>
  <c r="N133" i="7"/>
  <c r="E138" i="7"/>
  <c r="E21" i="7" s="1"/>
  <c r="E110" i="7"/>
  <c r="E10" i="7" s="1"/>
  <c r="M94" i="7"/>
  <c r="M26" i="7"/>
  <c r="M27" i="7" s="1"/>
  <c r="M121" i="7"/>
  <c r="M74" i="7"/>
  <c r="L139" i="7"/>
  <c r="L30" i="7"/>
  <c r="L31" i="7" s="1"/>
  <c r="N28" i="7"/>
  <c r="N29" i="7" s="1"/>
  <c r="N130" i="7"/>
  <c r="N112" i="7"/>
  <c r="H7" i="7"/>
  <c r="J7" i="7"/>
  <c r="D7" i="7"/>
  <c r="F7" i="7"/>
  <c r="K7" i="7"/>
  <c r="N129" i="7"/>
  <c r="N19" i="7" s="1"/>
  <c r="N111" i="7"/>
  <c r="N20" i="7" s="1"/>
  <c r="N92" i="7"/>
  <c r="L7" i="7"/>
  <c r="E9" i="7"/>
  <c r="H128" i="7"/>
  <c r="H8" i="7"/>
  <c r="I111" i="7"/>
  <c r="I20" i="7" s="1"/>
  <c r="I129" i="7"/>
  <c r="I19" i="7" s="1"/>
  <c r="I92" i="7"/>
  <c r="L8" i="7"/>
  <c r="L128" i="7"/>
  <c r="M138" i="7"/>
  <c r="M21" i="7" s="1"/>
  <c r="L110" i="7"/>
  <c r="L138" i="7"/>
  <c r="L21" i="7" s="1"/>
  <c r="D138" i="7"/>
  <c r="D21" i="7" s="1"/>
  <c r="D110" i="7"/>
  <c r="D10" i="7" s="1"/>
  <c r="H110" i="7"/>
  <c r="H138" i="7"/>
  <c r="H21" i="7" s="1"/>
  <c r="D8" i="7"/>
  <c r="D128" i="7"/>
  <c r="K8" i="7"/>
  <c r="K128" i="7"/>
  <c r="K110" i="7"/>
  <c r="K138" i="7"/>
  <c r="K21" i="7" s="1"/>
  <c r="G6" i="7"/>
  <c r="G119" i="7"/>
  <c r="G111" i="7"/>
  <c r="G20" i="7" s="1"/>
  <c r="G92" i="7"/>
  <c r="G129" i="7"/>
  <c r="G19" i="7" s="1"/>
  <c r="J8" i="7"/>
  <c r="J128" i="7"/>
  <c r="F138" i="7"/>
  <c r="F21" i="7" s="1"/>
  <c r="F110" i="7"/>
  <c r="F128" i="7"/>
  <c r="F8" i="7"/>
  <c r="J110" i="7"/>
  <c r="J138" i="7"/>
  <c r="J21" i="7" s="1"/>
  <c r="I119" i="7"/>
  <c r="I6" i="7"/>
  <c r="N119" i="7" l="1"/>
  <c r="N7" i="7" s="1"/>
  <c r="E137" i="7"/>
  <c r="E11" i="7" s="1"/>
  <c r="N30" i="7"/>
  <c r="N31" i="7" s="1"/>
  <c r="N139" i="7"/>
  <c r="M6" i="7"/>
  <c r="M119" i="7"/>
  <c r="M7" i="7" s="1"/>
  <c r="M28" i="7"/>
  <c r="M29" i="7" s="1"/>
  <c r="M112" i="7"/>
  <c r="M130" i="7"/>
  <c r="M92" i="7"/>
  <c r="F9" i="7"/>
  <c r="G7" i="7"/>
  <c r="H9" i="7"/>
  <c r="K9" i="7"/>
  <c r="N138" i="7"/>
  <c r="N21" i="7" s="1"/>
  <c r="N110" i="7"/>
  <c r="D9" i="7"/>
  <c r="I7" i="7"/>
  <c r="N8" i="7"/>
  <c r="N128" i="7"/>
  <c r="L9" i="7"/>
  <c r="J9" i="7"/>
  <c r="K137" i="7"/>
  <c r="K10" i="7"/>
  <c r="L137" i="7"/>
  <c r="L10" i="7"/>
  <c r="J137" i="7"/>
  <c r="J10" i="7"/>
  <c r="F10" i="7"/>
  <c r="F137" i="7"/>
  <c r="I128" i="7"/>
  <c r="I8" i="7"/>
  <c r="G128" i="7"/>
  <c r="G8" i="7"/>
  <c r="I110" i="7"/>
  <c r="I138" i="7"/>
  <c r="I21" i="7" s="1"/>
  <c r="G110" i="7"/>
  <c r="G138" i="7"/>
  <c r="G21" i="7" s="1"/>
  <c r="H137" i="7"/>
  <c r="H10" i="7"/>
  <c r="D137" i="7"/>
  <c r="M8" i="7" l="1"/>
  <c r="M128" i="7"/>
  <c r="M9" i="7" s="1"/>
  <c r="M139" i="7"/>
  <c r="M30" i="7"/>
  <c r="M31" i="7" s="1"/>
  <c r="M110" i="7"/>
  <c r="D11" i="7"/>
  <c r="F11" i="7"/>
  <c r="H11" i="7"/>
  <c r="N9" i="7"/>
  <c r="J11" i="7"/>
  <c r="L11" i="7"/>
  <c r="G9" i="7"/>
  <c r="K11" i="7"/>
  <c r="N10" i="7"/>
  <c r="N137" i="7"/>
  <c r="I9" i="7"/>
  <c r="G10" i="7"/>
  <c r="G137" i="7"/>
  <c r="I10" i="7"/>
  <c r="I137" i="7"/>
  <c r="M137" i="7" l="1"/>
  <c r="M11" i="7" s="1"/>
  <c r="M10" i="7"/>
  <c r="G11" i="7"/>
  <c r="N11" i="7"/>
  <c r="I11" i="7"/>
  <c r="AX9" i="13" l="1"/>
  <c r="AW9" i="13"/>
  <c r="M9" i="13" s="1"/>
  <c r="AV9" i="13"/>
  <c r="AU9" i="13"/>
  <c r="K9" i="13" s="1"/>
  <c r="AT9" i="13"/>
  <c r="J9" i="13" s="1"/>
  <c r="AS9" i="13"/>
  <c r="AR9" i="13"/>
  <c r="AP9" i="13"/>
  <c r="AP34" i="13" s="1"/>
  <c r="AQ9" i="13"/>
  <c r="AN9" i="13"/>
  <c r="AN34" i="13" s="1"/>
  <c r="AO9" i="13"/>
  <c r="AO34" i="13" s="1"/>
  <c r="AM9" i="13"/>
  <c r="G9" i="13" l="1"/>
  <c r="AQ34" i="13"/>
  <c r="AQ35" i="13" s="1"/>
  <c r="AQ96" i="13" s="1"/>
  <c r="BA9" i="13"/>
  <c r="AZ9" i="13"/>
  <c r="AM34" i="13"/>
  <c r="C9" i="13"/>
  <c r="I9" i="13"/>
  <c r="H34" i="13"/>
  <c r="H9" i="13"/>
  <c r="AV34" i="13"/>
  <c r="L9" i="13"/>
  <c r="D9" i="13"/>
  <c r="F9" i="13"/>
  <c r="E9" i="13"/>
  <c r="AG5" i="13"/>
  <c r="O5" i="13"/>
  <c r="AX34" i="13"/>
  <c r="N9" i="13"/>
  <c r="AC9" i="13"/>
  <c r="AU34" i="13"/>
  <c r="AB9" i="13"/>
  <c r="AT34" i="13"/>
  <c r="AE9" i="13"/>
  <c r="AW34" i="13"/>
  <c r="Y9" i="13"/>
  <c r="AN97" i="13"/>
  <c r="V97" i="13" s="1"/>
  <c r="D97" i="13" s="1"/>
  <c r="U9" i="13"/>
  <c r="AM97" i="13"/>
  <c r="W9" i="13"/>
  <c r="V9" i="13"/>
  <c r="X9" i="13"/>
  <c r="Z9" i="13"/>
  <c r="AA9" i="13"/>
  <c r="AD9" i="13"/>
  <c r="AF9" i="13"/>
  <c r="AY9" i="13"/>
  <c r="I34" i="13" l="1"/>
  <c r="AS35" i="13"/>
  <c r="AS96" i="13" s="1"/>
  <c r="AA96" i="13" s="1"/>
  <c r="I96" i="13" s="1"/>
  <c r="C6" i="18"/>
  <c r="F6" i="18" s="1"/>
  <c r="CP9" i="13"/>
  <c r="K6" i="18"/>
  <c r="Q6" i="18" s="1"/>
  <c r="CQ9" i="13"/>
  <c r="Y96" i="13"/>
  <c r="G96" i="13" s="1"/>
  <c r="AY96" i="13"/>
  <c r="AG96" i="13" s="1"/>
  <c r="O96" i="13" s="1"/>
  <c r="AO97" i="13"/>
  <c r="W97" i="13" s="1"/>
  <c r="E97" i="13" s="1"/>
  <c r="D34" i="13"/>
  <c r="F34" i="13"/>
  <c r="AP97" i="13"/>
  <c r="X97" i="13" s="1"/>
  <c r="F97" i="13" s="1"/>
  <c r="E34" i="13"/>
  <c r="BA34" i="13"/>
  <c r="CQ34" i="13" s="1"/>
  <c r="C34" i="13"/>
  <c r="AZ34" i="13"/>
  <c r="CP34" i="13" s="1"/>
  <c r="AU95" i="13"/>
  <c r="AC95" i="13" s="1"/>
  <c r="K95" i="13" s="1"/>
  <c r="U34" i="13"/>
  <c r="AM95" i="13"/>
  <c r="U95" i="13" s="1"/>
  <c r="C95" i="13" s="1"/>
  <c r="AY34" i="13"/>
  <c r="O9" i="13"/>
  <c r="AQ95" i="13"/>
  <c r="Y95" i="13" s="1"/>
  <c r="G95" i="13" s="1"/>
  <c r="G34" i="13"/>
  <c r="AW95" i="13"/>
  <c r="AE95" i="13" s="1"/>
  <c r="M95" i="13" s="1"/>
  <c r="Y34" i="13"/>
  <c r="AT95" i="13"/>
  <c r="AB95" i="13" s="1"/>
  <c r="J95" i="13" s="1"/>
  <c r="U97" i="13"/>
  <c r="C97" i="13" s="1"/>
  <c r="AY97" i="13"/>
  <c r="AG97" i="13" s="1"/>
  <c r="O97" i="13" s="1"/>
  <c r="AX95" i="13"/>
  <c r="AF95" i="13" s="1"/>
  <c r="N95" i="13" s="1"/>
  <c r="AV95" i="13"/>
  <c r="AD95" i="13" s="1"/>
  <c r="L95" i="13" s="1"/>
  <c r="AA34" i="13"/>
  <c r="AS95" i="13"/>
  <c r="AA95" i="13" s="1"/>
  <c r="I95" i="13" s="1"/>
  <c r="Z34" i="13"/>
  <c r="AR95" i="13"/>
  <c r="Z95" i="13" s="1"/>
  <c r="H95" i="13" s="1"/>
  <c r="X34" i="13"/>
  <c r="AP95" i="13"/>
  <c r="X95" i="13" s="1"/>
  <c r="F95" i="13" s="1"/>
  <c r="V34" i="13"/>
  <c r="AN95" i="13"/>
  <c r="V95" i="13" s="1"/>
  <c r="D95" i="13" s="1"/>
  <c r="W34" i="13"/>
  <c r="AO95" i="13"/>
  <c r="W95" i="13" s="1"/>
  <c r="E95" i="13" s="1"/>
  <c r="AG9" i="13"/>
  <c r="H6" i="18" l="1"/>
  <c r="G6" i="18"/>
  <c r="I6" i="18"/>
  <c r="O6" i="18"/>
  <c r="C9" i="18"/>
  <c r="F9" i="18" s="1"/>
  <c r="K9" i="18"/>
  <c r="P9" i="18" s="1"/>
  <c r="P6" i="18"/>
  <c r="N6" i="18"/>
  <c r="G9" i="18"/>
  <c r="I9" i="18"/>
  <c r="C19" i="18"/>
  <c r="H9" i="18"/>
  <c r="AY95" i="13"/>
  <c r="AG95" i="13" s="1"/>
  <c r="O95" i="13" s="1"/>
  <c r="K19" i="18" l="1"/>
  <c r="P19" i="18" s="1"/>
  <c r="O9" i="18"/>
  <c r="Q9" i="18"/>
  <c r="N9" i="18"/>
  <c r="O19" i="18"/>
  <c r="N19" i="18"/>
  <c r="Q19" i="18"/>
  <c r="G19" i="18"/>
  <c r="H19" i="18"/>
  <c r="I19" i="18"/>
  <c r="F19" i="18"/>
  <c r="AJ17" i="17"/>
  <c r="BM140" i="13" l="1"/>
  <c r="BM20" i="13" s="1"/>
  <c r="BN140" i="13"/>
  <c r="BN20" i="13" s="1"/>
  <c r="BO140" i="13"/>
  <c r="BO20" i="13" s="1"/>
  <c r="BP140" i="13"/>
  <c r="BP20" i="13" s="1"/>
  <c r="AF20" i="13" s="1"/>
  <c r="BL140" i="13"/>
  <c r="BL20" i="13" l="1"/>
  <c r="BP23" i="13"/>
  <c r="AF23" i="13" s="1"/>
  <c r="AB20" i="13"/>
  <c r="BL23" i="13"/>
  <c r="J20" i="13"/>
  <c r="K20" i="13"/>
  <c r="BM23" i="13"/>
  <c r="K23" i="13" s="1"/>
  <c r="AC20" i="13"/>
  <c r="N20" i="13"/>
  <c r="BO23" i="13"/>
  <c r="AE20" i="13"/>
  <c r="M20" i="13"/>
  <c r="AD20" i="13"/>
  <c r="BQ20" i="13"/>
  <c r="L20" i="13"/>
  <c r="BN23" i="13"/>
  <c r="BQ23" i="13" l="1"/>
  <c r="AG23" i="13" s="1"/>
  <c r="N23" i="13"/>
  <c r="BP34" i="13"/>
  <c r="BM34" i="13"/>
  <c r="AC23" i="13"/>
  <c r="BL34" i="13"/>
  <c r="AB23" i="13"/>
  <c r="J23" i="13"/>
  <c r="BO34" i="13"/>
  <c r="AE23" i="13"/>
  <c r="M23" i="13"/>
  <c r="L23" i="13"/>
  <c r="BN34" i="13"/>
  <c r="AD23" i="13"/>
  <c r="O20" i="13"/>
  <c r="AG20" i="13"/>
  <c r="O23" i="13" l="1"/>
  <c r="BQ34" i="13"/>
  <c r="O34" i="13" s="1"/>
  <c r="N34" i="13"/>
  <c r="BR34" i="13"/>
  <c r="AF34" i="13"/>
  <c r="J34" i="13"/>
  <c r="AB34" i="13"/>
  <c r="AC34" i="13"/>
  <c r="K34" i="13"/>
  <c r="L34" i="13"/>
  <c r="AD34" i="13"/>
  <c r="M34" i="13"/>
  <c r="AE34" i="13"/>
  <c r="BV29" i="13" l="1"/>
  <c r="BV14" i="13"/>
  <c r="BU34" i="13"/>
  <c r="BV23" i="13"/>
  <c r="BV33" i="13"/>
  <c r="BV32" i="13"/>
  <c r="BV28" i="13"/>
  <c r="BV19" i="13"/>
  <c r="BV9" i="13"/>
  <c r="AG34" i="13"/>
  <c r="BV3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<sst xmlns="http://schemas.openxmlformats.org/spreadsheetml/2006/main" count="5071" uniqueCount="366">
  <si>
    <t>単位：千円、％</t>
    <rPh sb="0" eb="2">
      <t>タンイ</t>
    </rPh>
    <rPh sb="3" eb="5">
      <t>センエン</t>
    </rPh>
    <phoneticPr fontId="4"/>
  </si>
  <si>
    <t>24年</t>
    <rPh sb="2" eb="3">
      <t>ネン</t>
    </rPh>
    <phoneticPr fontId="4"/>
  </si>
  <si>
    <t>25年</t>
    <rPh sb="2" eb="3">
      <t>ネン</t>
    </rPh>
    <phoneticPr fontId="4"/>
  </si>
  <si>
    <t>26年</t>
    <rPh sb="2" eb="3">
      <t>ネン</t>
    </rPh>
    <phoneticPr fontId="4"/>
  </si>
  <si>
    <t>27年</t>
    <rPh sb="2" eb="3">
      <t>ネン</t>
    </rPh>
    <phoneticPr fontId="4"/>
  </si>
  <si>
    <t>28年</t>
    <rPh sb="2" eb="3">
      <t>ネン</t>
    </rPh>
    <phoneticPr fontId="4"/>
  </si>
  <si>
    <t>29年</t>
    <rPh sb="2" eb="3">
      <t>ネン</t>
    </rPh>
    <phoneticPr fontId="4"/>
  </si>
  <si>
    <t>30年</t>
    <rPh sb="2" eb="3">
      <t>ネン</t>
    </rPh>
    <phoneticPr fontId="4"/>
  </si>
  <si>
    <t>31年</t>
    <rPh sb="2" eb="3">
      <t>ネン</t>
    </rPh>
    <phoneticPr fontId="4"/>
  </si>
  <si>
    <t>32年</t>
    <rPh sb="2" eb="3">
      <t>ネン</t>
    </rPh>
    <phoneticPr fontId="4"/>
  </si>
  <si>
    <t>33年</t>
    <rPh sb="2" eb="3">
      <t>ネン</t>
    </rPh>
    <phoneticPr fontId="4"/>
  </si>
  <si>
    <t>34年</t>
    <rPh sb="2" eb="3">
      <t>ネン</t>
    </rPh>
    <phoneticPr fontId="4"/>
  </si>
  <si>
    <t>全体</t>
    <rPh sb="0" eb="2">
      <t>ゼンタイ</t>
    </rPh>
    <phoneticPr fontId="4"/>
  </si>
  <si>
    <t>売上高計</t>
    <rPh sb="0" eb="2">
      <t>ウリアゲ</t>
    </rPh>
    <rPh sb="2" eb="3">
      <t>ダカ</t>
    </rPh>
    <rPh sb="3" eb="4">
      <t>ケイ</t>
    </rPh>
    <phoneticPr fontId="4"/>
  </si>
  <si>
    <t>粗利</t>
    <rPh sb="0" eb="2">
      <t>アラリ</t>
    </rPh>
    <phoneticPr fontId="4"/>
  </si>
  <si>
    <t>限界利益</t>
    <rPh sb="0" eb="2">
      <t>ゲンカイ</t>
    </rPh>
    <rPh sb="2" eb="4">
      <t>リエキ</t>
    </rPh>
    <phoneticPr fontId="4"/>
  </si>
  <si>
    <t>限界利益率</t>
    <rPh sb="0" eb="2">
      <t>ゲンカイ</t>
    </rPh>
    <rPh sb="2" eb="4">
      <t>リエキ</t>
    </rPh>
    <rPh sb="4" eb="5">
      <t>リツ</t>
    </rPh>
    <phoneticPr fontId="4"/>
  </si>
  <si>
    <t>直接利益</t>
    <rPh sb="0" eb="2">
      <t>チョクセツ</t>
    </rPh>
    <rPh sb="2" eb="4">
      <t>リエキ</t>
    </rPh>
    <phoneticPr fontId="4"/>
  </si>
  <si>
    <t>直接利益率</t>
    <rPh sb="0" eb="2">
      <t>チョクセツ</t>
    </rPh>
    <rPh sb="2" eb="4">
      <t>リエキ</t>
    </rPh>
    <rPh sb="4" eb="5">
      <t>リツ</t>
    </rPh>
    <phoneticPr fontId="4"/>
  </si>
  <si>
    <t>営業利益</t>
    <rPh sb="0" eb="2">
      <t>エイギョウ</t>
    </rPh>
    <rPh sb="2" eb="4">
      <t>リエキ</t>
    </rPh>
    <phoneticPr fontId="4"/>
  </si>
  <si>
    <t>営業利益率</t>
    <rPh sb="0" eb="2">
      <t>エイギョウ</t>
    </rPh>
    <rPh sb="2" eb="4">
      <t>リエキ</t>
    </rPh>
    <rPh sb="4" eb="5">
      <t>リツ</t>
    </rPh>
    <phoneticPr fontId="4"/>
  </si>
  <si>
    <t>アプリ</t>
    <phoneticPr fontId="4"/>
  </si>
  <si>
    <t>スタンド計</t>
    <rPh sb="4" eb="5">
      <t>ケイ</t>
    </rPh>
    <phoneticPr fontId="4"/>
  </si>
  <si>
    <t>サービス計</t>
    <rPh sb="4" eb="5">
      <t>ケイ</t>
    </rPh>
    <phoneticPr fontId="4"/>
  </si>
  <si>
    <t>スタンド（宅急便）</t>
    <rPh sb="5" eb="8">
      <t>タッキュウビン</t>
    </rPh>
    <phoneticPr fontId="4"/>
  </si>
  <si>
    <t>スタンド（ＦＳ）</t>
    <phoneticPr fontId="4"/>
  </si>
  <si>
    <t>スタンド（社外）</t>
    <rPh sb="5" eb="7">
      <t>シャガイ</t>
    </rPh>
    <phoneticPr fontId="4"/>
  </si>
  <si>
    <t>フロー（セミナー等）</t>
  </si>
  <si>
    <t>ECストア</t>
    <phoneticPr fontId="4"/>
  </si>
  <si>
    <t>卸売</t>
    <rPh sb="0" eb="1">
      <t>オロシ</t>
    </rPh>
    <rPh sb="1" eb="2">
      <t>ウ</t>
    </rPh>
    <phoneticPr fontId="4"/>
  </si>
  <si>
    <t>企業内手売</t>
    <rPh sb="0" eb="3">
      <t>キギョウナイ</t>
    </rPh>
    <rPh sb="3" eb="5">
      <t>テウ</t>
    </rPh>
    <phoneticPr fontId="4"/>
  </si>
  <si>
    <t>原価</t>
    <rPh sb="0" eb="2">
      <t>ゲンカ</t>
    </rPh>
    <phoneticPr fontId="4"/>
  </si>
  <si>
    <t>変動費計</t>
    <rPh sb="0" eb="2">
      <t>ヘンドウ</t>
    </rPh>
    <rPh sb="2" eb="3">
      <t>ヒ</t>
    </rPh>
    <rPh sb="3" eb="4">
      <t>ケイ</t>
    </rPh>
    <phoneticPr fontId="4"/>
  </si>
  <si>
    <t>固定費計</t>
    <rPh sb="0" eb="3">
      <t>コテイヒ</t>
    </rPh>
    <rPh sb="3" eb="4">
      <t>ケイ</t>
    </rPh>
    <phoneticPr fontId="4"/>
  </si>
  <si>
    <t>営業・一般管理費計</t>
    <rPh sb="0" eb="2">
      <t>エイギョウ</t>
    </rPh>
    <rPh sb="3" eb="5">
      <t>イッパン</t>
    </rPh>
    <rPh sb="5" eb="8">
      <t>カンリヒ</t>
    </rPh>
    <rPh sb="8" eb="9">
      <t>ケイ</t>
    </rPh>
    <phoneticPr fontId="4"/>
  </si>
  <si>
    <t>単位：千円</t>
    <rPh sb="0" eb="2">
      <t>タンイ</t>
    </rPh>
    <rPh sb="3" eb="5">
      <t>センエン</t>
    </rPh>
    <phoneticPr fontId="4"/>
  </si>
  <si>
    <t>※ベンチマーク値</t>
    <rPh sb="7" eb="8">
      <t>チ</t>
    </rPh>
    <phoneticPr fontId="4"/>
  </si>
  <si>
    <t>売上高</t>
    <rPh sb="0" eb="2">
      <t>ウリアゲ</t>
    </rPh>
    <rPh sb="2" eb="3">
      <t>ダカ</t>
    </rPh>
    <phoneticPr fontId="4"/>
  </si>
  <si>
    <t>合計</t>
    <rPh sb="0" eb="2">
      <t>ゴウケイ</t>
    </rPh>
    <phoneticPr fontId="4"/>
  </si>
  <si>
    <t>Web</t>
    <phoneticPr fontId="4"/>
  </si>
  <si>
    <t>法人</t>
    <rPh sb="0" eb="2">
      <t>ホウジン</t>
    </rPh>
    <phoneticPr fontId="4"/>
  </si>
  <si>
    <t>代理店</t>
    <rPh sb="0" eb="3">
      <t>ダイリテン</t>
    </rPh>
    <phoneticPr fontId="4"/>
  </si>
  <si>
    <t>既存</t>
    <rPh sb="0" eb="2">
      <t>キゾン</t>
    </rPh>
    <phoneticPr fontId="4"/>
  </si>
  <si>
    <t>＊ECストアは計画上はステイ</t>
    <rPh sb="7" eb="9">
      <t>ケイカク</t>
    </rPh>
    <rPh sb="9" eb="10">
      <t>ジョウ</t>
    </rPh>
    <phoneticPr fontId="4"/>
  </si>
  <si>
    <t>＊卸売は計画上はステイ</t>
    <rPh sb="1" eb="3">
      <t>オロシウ</t>
    </rPh>
    <rPh sb="4" eb="6">
      <t>ケイカク</t>
    </rPh>
    <rPh sb="6" eb="7">
      <t>ジョウ</t>
    </rPh>
    <phoneticPr fontId="4"/>
  </si>
  <si>
    <t>＊企業内手売は計画上はステイ</t>
    <rPh sb="1" eb="4">
      <t>キギョウナイ</t>
    </rPh>
    <rPh sb="4" eb="6">
      <t>テウ</t>
    </rPh>
    <rPh sb="7" eb="9">
      <t>ケイカク</t>
    </rPh>
    <rPh sb="9" eb="10">
      <t>ジョウ</t>
    </rPh>
    <phoneticPr fontId="4"/>
  </si>
  <si>
    <t>新規</t>
    <rPh sb="0" eb="2">
      <t>シンキ</t>
    </rPh>
    <phoneticPr fontId="4"/>
  </si>
  <si>
    <t>契約数</t>
    <rPh sb="0" eb="3">
      <t>ケイヤクスウ</t>
    </rPh>
    <phoneticPr fontId="4"/>
  </si>
  <si>
    <t>ストック</t>
    <phoneticPr fontId="4"/>
  </si>
  <si>
    <t>フロー</t>
    <phoneticPr fontId="4"/>
  </si>
  <si>
    <t>スタンド単独獲得は反映していない</t>
    <rPh sb="4" eb="6">
      <t>タンドク</t>
    </rPh>
    <rPh sb="6" eb="8">
      <t>カクトク</t>
    </rPh>
    <rPh sb="9" eb="11">
      <t>ハンエイ</t>
    </rPh>
    <phoneticPr fontId="4"/>
  </si>
  <si>
    <t>継続率</t>
    <rPh sb="0" eb="2">
      <t>ケイゾク</t>
    </rPh>
    <rPh sb="2" eb="3">
      <t>リツ</t>
    </rPh>
    <phoneticPr fontId="4"/>
  </si>
  <si>
    <t>客単価</t>
    <rPh sb="0" eb="3">
      <t>キャクタンカ</t>
    </rPh>
    <phoneticPr fontId="4"/>
  </si>
  <si>
    <t>従業員数</t>
    <rPh sb="0" eb="3">
      <t>ジュウギョウイン</t>
    </rPh>
    <rPh sb="3" eb="4">
      <t>スウ</t>
    </rPh>
    <phoneticPr fontId="4"/>
  </si>
  <si>
    <t>人</t>
    <rPh sb="0" eb="1">
      <t>ニン</t>
    </rPh>
    <phoneticPr fontId="4"/>
  </si>
  <si>
    <t>単価</t>
    <rPh sb="0" eb="2">
      <t>タンカ</t>
    </rPh>
    <phoneticPr fontId="4"/>
  </si>
  <si>
    <t>円/月・人</t>
    <rPh sb="0" eb="1">
      <t>エン</t>
    </rPh>
    <rPh sb="2" eb="3">
      <t>ツキ</t>
    </rPh>
    <rPh sb="4" eb="5">
      <t>ニン</t>
    </rPh>
    <phoneticPr fontId="4"/>
  </si>
  <si>
    <t>*25年は５0％OFFで計上</t>
    <rPh sb="3" eb="4">
      <t>ネン</t>
    </rPh>
    <rPh sb="12" eb="14">
      <t>ケイジョウ</t>
    </rPh>
    <phoneticPr fontId="4"/>
  </si>
  <si>
    <t>※25年は半額CPを実施する</t>
    <rPh sb="3" eb="4">
      <t>ネン</t>
    </rPh>
    <rPh sb="5" eb="7">
      <t>ハンガク</t>
    </rPh>
    <rPh sb="10" eb="12">
      <t>ジッシ</t>
    </rPh>
    <phoneticPr fontId="4"/>
  </si>
  <si>
    <t>単位：％</t>
    <rPh sb="0" eb="2">
      <t>タンイ</t>
    </rPh>
    <phoneticPr fontId="4"/>
  </si>
  <si>
    <t>変動高比</t>
    <rPh sb="0" eb="2">
      <t>ヘンドウ</t>
    </rPh>
    <rPh sb="2" eb="3">
      <t>ダカ</t>
    </rPh>
    <rPh sb="3" eb="4">
      <t>ヒ</t>
    </rPh>
    <phoneticPr fontId="4"/>
  </si>
  <si>
    <t>ＥＣストア</t>
    <phoneticPr fontId="4"/>
  </si>
  <si>
    <t>変動費計</t>
    <rPh sb="0" eb="2">
      <t>ヘンドウ</t>
    </rPh>
    <rPh sb="2" eb="3">
      <t>ヒ</t>
    </rPh>
    <rPh sb="3" eb="4">
      <t>ケイ</t>
    </rPh>
    <phoneticPr fontId="2"/>
  </si>
  <si>
    <t>運搬費（KGL）</t>
    <rPh sb="0" eb="2">
      <t>ウンパン</t>
    </rPh>
    <rPh sb="2" eb="3">
      <t>ヒ</t>
    </rPh>
    <phoneticPr fontId="2"/>
  </si>
  <si>
    <t>ヤマト委託費（商品）</t>
    <rPh sb="3" eb="5">
      <t>イタク</t>
    </rPh>
    <rPh sb="5" eb="6">
      <t>ヒ</t>
    </rPh>
    <rPh sb="7" eb="9">
      <t>ショウヒン</t>
    </rPh>
    <phoneticPr fontId="2"/>
  </si>
  <si>
    <t>NP手数料</t>
    <rPh sb="2" eb="5">
      <t>テスウリョウ</t>
    </rPh>
    <phoneticPr fontId="2"/>
  </si>
  <si>
    <t>※売上の2/3（企業請求分）に発生するため1.13%</t>
    <rPh sb="1" eb="3">
      <t>ウリアゲ</t>
    </rPh>
    <rPh sb="8" eb="10">
      <t>キギョウ</t>
    </rPh>
    <rPh sb="10" eb="12">
      <t>セイキュウ</t>
    </rPh>
    <rPh sb="12" eb="13">
      <t>ブン</t>
    </rPh>
    <rPh sb="15" eb="17">
      <t>ハッセイ</t>
    </rPh>
    <phoneticPr fontId="4"/>
  </si>
  <si>
    <t>EC手数料（GMO/●●）</t>
    <rPh sb="2" eb="5">
      <t>テスウリョウ</t>
    </rPh>
    <phoneticPr fontId="2"/>
  </si>
  <si>
    <t>P/F手数料（テモナ）</t>
    <rPh sb="3" eb="6">
      <t>テスウリョウ</t>
    </rPh>
    <phoneticPr fontId="2"/>
  </si>
  <si>
    <t>ELEPAY手数料</t>
    <rPh sb="6" eb="9">
      <t>テスウリョウ</t>
    </rPh>
    <phoneticPr fontId="2"/>
  </si>
  <si>
    <t>フロー（セミナー等）委託費</t>
    <rPh sb="10" eb="12">
      <t>イタク</t>
    </rPh>
    <rPh sb="12" eb="13">
      <t>ヒ</t>
    </rPh>
    <phoneticPr fontId="2"/>
  </si>
  <si>
    <t>スタンド委託費（社外）</t>
    <rPh sb="4" eb="6">
      <t>イタク</t>
    </rPh>
    <rPh sb="6" eb="7">
      <t>ヒ</t>
    </rPh>
    <rPh sb="8" eb="10">
      <t>シャガイ</t>
    </rPh>
    <phoneticPr fontId="2"/>
  </si>
  <si>
    <t>ポイント交換原価</t>
    <rPh sb="4" eb="6">
      <t>コウカン</t>
    </rPh>
    <rPh sb="6" eb="8">
      <t>ゲンカ</t>
    </rPh>
    <phoneticPr fontId="2"/>
  </si>
  <si>
    <t>ポイント付与数（年）</t>
    <rPh sb="4" eb="6">
      <t>フヨ</t>
    </rPh>
    <rPh sb="6" eb="7">
      <t>スウ</t>
    </rPh>
    <rPh sb="8" eb="9">
      <t>ネン</t>
    </rPh>
    <phoneticPr fontId="4"/>
  </si>
  <si>
    <t>ポイント獲得率</t>
    <rPh sb="4" eb="6">
      <t>カクトク</t>
    </rPh>
    <rPh sb="6" eb="7">
      <t>リツ</t>
    </rPh>
    <phoneticPr fontId="4"/>
  </si>
  <si>
    <t>ポイント利用率</t>
    <rPh sb="4" eb="7">
      <t>リヨウリツ</t>
    </rPh>
    <phoneticPr fontId="4"/>
  </si>
  <si>
    <t>コスト（原価率100%前提）</t>
    <rPh sb="4" eb="6">
      <t>ゲンカ</t>
    </rPh>
    <rPh sb="6" eb="7">
      <t>リツ</t>
    </rPh>
    <rPh sb="11" eb="13">
      <t>ゼンテイ</t>
    </rPh>
    <phoneticPr fontId="4"/>
  </si>
  <si>
    <t>売上高（400円/月・人前提）</t>
    <rPh sb="0" eb="2">
      <t>ウリアゲ</t>
    </rPh>
    <rPh sb="2" eb="3">
      <t>ダカ</t>
    </rPh>
    <rPh sb="7" eb="8">
      <t>エン</t>
    </rPh>
    <rPh sb="9" eb="10">
      <t>ツキ</t>
    </rPh>
    <rPh sb="11" eb="12">
      <t>ニン</t>
    </rPh>
    <rPh sb="12" eb="14">
      <t>ゼンテイ</t>
    </rPh>
    <phoneticPr fontId="4"/>
  </si>
  <si>
    <t>コスト高比</t>
    <rPh sb="3" eb="4">
      <t>ダカ</t>
    </rPh>
    <rPh sb="4" eb="5">
      <t>ヒ</t>
    </rPh>
    <phoneticPr fontId="4"/>
  </si>
  <si>
    <t>ポイント交換関連経費（ＯＰ）</t>
    <rPh sb="4" eb="6">
      <t>コウカン</t>
    </rPh>
    <rPh sb="6" eb="8">
      <t>カンレン</t>
    </rPh>
    <rPh sb="8" eb="10">
      <t>ケイヒ</t>
    </rPh>
    <phoneticPr fontId="2"/>
  </si>
  <si>
    <t>交換数（箱数）</t>
    <rPh sb="0" eb="2">
      <t>コウカン</t>
    </rPh>
    <rPh sb="2" eb="3">
      <t>スウ</t>
    </rPh>
    <rPh sb="4" eb="6">
      <t>ハコスウ</t>
    </rPh>
    <phoneticPr fontId="4"/>
  </si>
  <si>
    <t>ＯＰ費（1000円/箱）</t>
    <rPh sb="2" eb="3">
      <t>ヒ</t>
    </rPh>
    <rPh sb="8" eb="9">
      <t>エン</t>
    </rPh>
    <rPh sb="10" eb="11">
      <t>ハコ</t>
    </rPh>
    <phoneticPr fontId="4"/>
  </si>
  <si>
    <t>OP高比</t>
    <rPh sb="2" eb="3">
      <t>ダカ</t>
    </rPh>
    <rPh sb="3" eb="4">
      <t>ヒ</t>
    </rPh>
    <phoneticPr fontId="4"/>
  </si>
  <si>
    <t>固定費</t>
    <rPh sb="0" eb="3">
      <t>コテイヒ</t>
    </rPh>
    <phoneticPr fontId="4"/>
  </si>
  <si>
    <t>合計</t>
    <rPh sb="0" eb="2">
      <t>ゴウケイ</t>
    </rPh>
    <phoneticPr fontId="2"/>
  </si>
  <si>
    <t>販売機器費</t>
    <rPh sb="0" eb="2">
      <t>ハンバイ</t>
    </rPh>
    <rPh sb="2" eb="4">
      <t>キキ</t>
    </rPh>
    <rPh sb="4" eb="5">
      <t>ヒ</t>
    </rPh>
    <phoneticPr fontId="2"/>
  </si>
  <si>
    <t>千円</t>
    <rPh sb="0" eb="2">
      <t>センエン</t>
    </rPh>
    <phoneticPr fontId="4"/>
  </si>
  <si>
    <t>ヤマト委託費（機器）</t>
    <rPh sb="3" eb="5">
      <t>イタク</t>
    </rPh>
    <rPh sb="5" eb="6">
      <t>ヒ</t>
    </rPh>
    <rPh sb="7" eb="9">
      <t>キキ</t>
    </rPh>
    <phoneticPr fontId="2"/>
  </si>
  <si>
    <t>POPスタンド・貯金箱購入費</t>
    <rPh sb="8" eb="11">
      <t>チョキンバコ</t>
    </rPh>
    <rPh sb="11" eb="14">
      <t>コウニュウヒ</t>
    </rPh>
    <phoneticPr fontId="2"/>
  </si>
  <si>
    <t>冷蔵庫廃棄費</t>
    <rPh sb="0" eb="3">
      <t>レイゾウコ</t>
    </rPh>
    <rPh sb="3" eb="5">
      <t>ハイキ</t>
    </rPh>
    <rPh sb="5" eb="6">
      <t>ヒ</t>
    </rPh>
    <phoneticPr fontId="2"/>
  </si>
  <si>
    <t>電子マネー手数料</t>
    <rPh sb="0" eb="2">
      <t>デンシ</t>
    </rPh>
    <rPh sb="5" eb="8">
      <t>テスウリョウ</t>
    </rPh>
    <phoneticPr fontId="2"/>
  </si>
  <si>
    <t>27年にはすべてＦＳ移管完了</t>
    <rPh sb="2" eb="3">
      <t>ネン</t>
    </rPh>
    <rPh sb="10" eb="12">
      <t>イカン</t>
    </rPh>
    <rPh sb="12" eb="14">
      <t>カンリョウ</t>
    </rPh>
    <phoneticPr fontId="4"/>
  </si>
  <si>
    <t>GMOシステム費</t>
    <rPh sb="7" eb="8">
      <t>ヒ</t>
    </rPh>
    <phoneticPr fontId="2"/>
  </si>
  <si>
    <t>テモナシステム費</t>
    <rPh sb="7" eb="8">
      <t>ヒ</t>
    </rPh>
    <phoneticPr fontId="2"/>
  </si>
  <si>
    <t>LearnOシステム費</t>
    <rPh sb="10" eb="11">
      <t>ヒ</t>
    </rPh>
    <phoneticPr fontId="2"/>
  </si>
  <si>
    <t>ULIZAシステム費</t>
    <rPh sb="9" eb="10">
      <t>ヒ</t>
    </rPh>
    <phoneticPr fontId="2"/>
  </si>
  <si>
    <t>エデ委託費</t>
    <rPh sb="2" eb="4">
      <t>イタク</t>
    </rPh>
    <rPh sb="4" eb="5">
      <t>ヒ</t>
    </rPh>
    <phoneticPr fontId="2"/>
  </si>
  <si>
    <t>ウェルネス動画制作費</t>
    <rPh sb="5" eb="7">
      <t>ドウガ</t>
    </rPh>
    <rPh sb="7" eb="9">
      <t>セイサク</t>
    </rPh>
    <rPh sb="9" eb="10">
      <t>ヒ</t>
    </rPh>
    <phoneticPr fontId="2"/>
  </si>
  <si>
    <t>ウェルネス通信制作費</t>
    <rPh sb="5" eb="7">
      <t>ツウシン</t>
    </rPh>
    <rPh sb="7" eb="9">
      <t>セイサク</t>
    </rPh>
    <rPh sb="9" eb="10">
      <t>ヒ</t>
    </rPh>
    <phoneticPr fontId="2"/>
  </si>
  <si>
    <t>C3委託費</t>
    <rPh sb="2" eb="4">
      <t>イタク</t>
    </rPh>
    <rPh sb="4" eb="5">
      <t>ヒ</t>
    </rPh>
    <phoneticPr fontId="2"/>
  </si>
  <si>
    <t>サーベイ委託費</t>
    <rPh sb="4" eb="6">
      <t>イタク</t>
    </rPh>
    <rPh sb="6" eb="7">
      <t>ヒ</t>
    </rPh>
    <phoneticPr fontId="2"/>
  </si>
  <si>
    <t>Questant費</t>
    <rPh sb="8" eb="9">
      <t>ヒ</t>
    </rPh>
    <phoneticPr fontId="2"/>
  </si>
  <si>
    <t>WEB費</t>
    <rPh sb="3" eb="4">
      <t>ヒ</t>
    </rPh>
    <phoneticPr fontId="2"/>
  </si>
  <si>
    <t>広告媒体費</t>
    <rPh sb="0" eb="2">
      <t>コウコク</t>
    </rPh>
    <rPh sb="2" eb="4">
      <t>バイタイ</t>
    </rPh>
    <rPh sb="4" eb="5">
      <t>ヒ</t>
    </rPh>
    <phoneticPr fontId="2"/>
  </si>
  <si>
    <t>広告制作費</t>
    <rPh sb="0" eb="2">
      <t>コウコク</t>
    </rPh>
    <rPh sb="2" eb="4">
      <t>セイサク</t>
    </rPh>
    <rPh sb="4" eb="5">
      <t>ヒ</t>
    </rPh>
    <phoneticPr fontId="2"/>
  </si>
  <si>
    <t>LIG基盤システム費</t>
    <rPh sb="3" eb="5">
      <t>キバン</t>
    </rPh>
    <rPh sb="9" eb="10">
      <t>ヒ</t>
    </rPh>
    <phoneticPr fontId="2"/>
  </si>
  <si>
    <t>年間</t>
    <rPh sb="0" eb="2">
      <t>ネンカン</t>
    </rPh>
    <phoneticPr fontId="4"/>
  </si>
  <si>
    <t>LIG保守開発費</t>
    <rPh sb="3" eb="5">
      <t>ホシュ</t>
    </rPh>
    <rPh sb="5" eb="7">
      <t>カイハツ</t>
    </rPh>
    <rPh sb="7" eb="8">
      <t>ヒ</t>
    </rPh>
    <phoneticPr fontId="2"/>
  </si>
  <si>
    <t>LIG保守管理費</t>
    <rPh sb="3" eb="5">
      <t>ホシュ</t>
    </rPh>
    <rPh sb="5" eb="7">
      <t>カンリ</t>
    </rPh>
    <rPh sb="7" eb="8">
      <t>ヒ</t>
    </rPh>
    <phoneticPr fontId="2"/>
  </si>
  <si>
    <t>OneQRポイント連携追加機能開発費</t>
    <rPh sb="9" eb="11">
      <t>レンケイ</t>
    </rPh>
    <rPh sb="11" eb="13">
      <t>ツイカ</t>
    </rPh>
    <rPh sb="13" eb="15">
      <t>キノウ</t>
    </rPh>
    <rPh sb="15" eb="18">
      <t>カイハツヒ</t>
    </rPh>
    <phoneticPr fontId="2"/>
  </si>
  <si>
    <t>置き型FSOP外部委託費</t>
    <rPh sb="0" eb="1">
      <t>オ</t>
    </rPh>
    <rPh sb="2" eb="3">
      <t>ガタ</t>
    </rPh>
    <rPh sb="7" eb="9">
      <t>ガイブ</t>
    </rPh>
    <rPh sb="9" eb="11">
      <t>イタク</t>
    </rPh>
    <rPh sb="11" eb="12">
      <t>ヒ</t>
    </rPh>
    <phoneticPr fontId="2"/>
  </si>
  <si>
    <t>委託料</t>
    <rPh sb="0" eb="3">
      <t>イタクリョウ</t>
    </rPh>
    <phoneticPr fontId="4"/>
  </si>
  <si>
    <t>営業販売代理紹介フィー</t>
    <rPh sb="0" eb="2">
      <t>エイギョウ</t>
    </rPh>
    <rPh sb="2" eb="4">
      <t>ハンバイ</t>
    </rPh>
    <rPh sb="4" eb="6">
      <t>ダイリ</t>
    </rPh>
    <rPh sb="6" eb="8">
      <t>ショウカイ</t>
    </rPh>
    <phoneticPr fontId="2"/>
  </si>
  <si>
    <t>営業・一般管理費</t>
    <rPh sb="0" eb="2">
      <t>エイギョウ</t>
    </rPh>
    <rPh sb="3" eb="5">
      <t>イッパン</t>
    </rPh>
    <rPh sb="5" eb="8">
      <t>カンリヒ</t>
    </rPh>
    <phoneticPr fontId="4"/>
  </si>
  <si>
    <t>プログラム開発費（PoC含む）</t>
    <rPh sb="5" eb="8">
      <t>カイハツヒ</t>
    </rPh>
    <rPh sb="12" eb="13">
      <t>フク</t>
    </rPh>
    <phoneticPr fontId="2"/>
  </si>
  <si>
    <t>プログラム外部サービサー連携</t>
    <rPh sb="5" eb="7">
      <t>ガイブ</t>
    </rPh>
    <rPh sb="12" eb="14">
      <t>レンケイ</t>
    </rPh>
    <phoneticPr fontId="2"/>
  </si>
  <si>
    <t>LIGアプリ開発費</t>
    <rPh sb="6" eb="9">
      <t>カイハツヒ</t>
    </rPh>
    <phoneticPr fontId="2"/>
  </si>
  <si>
    <t>初期</t>
    <rPh sb="0" eb="2">
      <t>ショキ</t>
    </rPh>
    <phoneticPr fontId="4"/>
  </si>
  <si>
    <t>償却</t>
    <rPh sb="0" eb="2">
      <t>ショウキャク</t>
    </rPh>
    <phoneticPr fontId="4"/>
  </si>
  <si>
    <t>年</t>
    <rPh sb="0" eb="1">
      <t>ネン</t>
    </rPh>
    <phoneticPr fontId="4"/>
  </si>
  <si>
    <t>2年目</t>
    <rPh sb="1" eb="3">
      <t>ネンメ</t>
    </rPh>
    <phoneticPr fontId="4"/>
  </si>
  <si>
    <t>3年目以降</t>
    <rPh sb="1" eb="3">
      <t>ネンメ</t>
    </rPh>
    <rPh sb="3" eb="5">
      <t>イコウ</t>
    </rPh>
    <phoneticPr fontId="4"/>
  </si>
  <si>
    <t>OneQR自販機連携追加機能開発費</t>
    <rPh sb="5" eb="8">
      <t>ジハンキ</t>
    </rPh>
    <rPh sb="8" eb="10">
      <t>レンケイ</t>
    </rPh>
    <rPh sb="10" eb="12">
      <t>ツイカ</t>
    </rPh>
    <rPh sb="12" eb="14">
      <t>キノウ</t>
    </rPh>
    <rPh sb="14" eb="17">
      <t>カイハツヒ</t>
    </rPh>
    <phoneticPr fontId="2"/>
  </si>
  <si>
    <t>イニシャル</t>
    <phoneticPr fontId="4"/>
  </si>
  <si>
    <t>交通旅費</t>
    <rPh sb="0" eb="2">
      <t>コウツウ</t>
    </rPh>
    <rPh sb="2" eb="4">
      <t>リョヒ</t>
    </rPh>
    <phoneticPr fontId="2"/>
  </si>
  <si>
    <t>交際費</t>
    <rPh sb="0" eb="2">
      <t>コウサイ</t>
    </rPh>
    <rPh sb="2" eb="3">
      <t>ヒ</t>
    </rPh>
    <phoneticPr fontId="2"/>
  </si>
  <si>
    <t>人件費（専任）</t>
    <rPh sb="0" eb="3">
      <t>ジンケンヒ</t>
    </rPh>
    <rPh sb="4" eb="6">
      <t>センニン</t>
    </rPh>
    <phoneticPr fontId="4"/>
  </si>
  <si>
    <t>名</t>
    <rPh sb="0" eb="1">
      <t>メイ</t>
    </rPh>
    <phoneticPr fontId="4"/>
  </si>
  <si>
    <t>26年以降</t>
    <rPh sb="2" eb="3">
      <t>ネン</t>
    </rPh>
    <rPh sb="3" eb="5">
      <t>イコウ</t>
    </rPh>
    <phoneticPr fontId="4"/>
  </si>
  <si>
    <t>人件費（法人営業）</t>
    <rPh sb="0" eb="3">
      <t>ジンケンヒ</t>
    </rPh>
    <rPh sb="4" eb="6">
      <t>ホウジン</t>
    </rPh>
    <rPh sb="6" eb="8">
      <t>エイギョウ</t>
    </rPh>
    <phoneticPr fontId="4"/>
  </si>
  <si>
    <t>1企業あたりの商談数</t>
    <rPh sb="1" eb="3">
      <t>キギョウ</t>
    </rPh>
    <rPh sb="7" eb="9">
      <t>ショウダン</t>
    </rPh>
    <rPh sb="9" eb="10">
      <t>スウ</t>
    </rPh>
    <phoneticPr fontId="4"/>
  </si>
  <si>
    <t>回/年</t>
    <rPh sb="0" eb="1">
      <t>カイ</t>
    </rPh>
    <rPh sb="2" eb="3">
      <t>ネン</t>
    </rPh>
    <phoneticPr fontId="4"/>
  </si>
  <si>
    <t>人件費（営業）</t>
    <rPh sb="0" eb="3">
      <t>ジンケンヒ</t>
    </rPh>
    <rPh sb="4" eb="6">
      <t>エイギョウ</t>
    </rPh>
    <phoneticPr fontId="4"/>
  </si>
  <si>
    <t>1商談あたりの時間</t>
    <rPh sb="1" eb="3">
      <t>ショウダン</t>
    </rPh>
    <rPh sb="7" eb="9">
      <t>ジカン</t>
    </rPh>
    <phoneticPr fontId="4"/>
  </si>
  <si>
    <t>H</t>
    <phoneticPr fontId="4"/>
  </si>
  <si>
    <t>１Hあたりの時給</t>
    <rPh sb="6" eb="8">
      <t>ジキュウ</t>
    </rPh>
    <phoneticPr fontId="4"/>
  </si>
  <si>
    <t>ＯＰ費（販社）</t>
    <rPh sb="2" eb="3">
      <t>ヒ</t>
    </rPh>
    <rPh sb="4" eb="6">
      <t>ハンシャ</t>
    </rPh>
    <phoneticPr fontId="4"/>
  </si>
  <si>
    <t>高比</t>
    <rPh sb="0" eb="1">
      <t>ダカ</t>
    </rPh>
    <rPh sb="1" eb="2">
      <t>ヒ</t>
    </rPh>
    <phoneticPr fontId="4"/>
  </si>
  <si>
    <t>平均（ルートと宅急便50%）</t>
    <rPh sb="0" eb="2">
      <t>ヘイキン</t>
    </rPh>
    <rPh sb="7" eb="10">
      <t>タッキュウビン</t>
    </rPh>
    <phoneticPr fontId="4"/>
  </si>
  <si>
    <t>←対象月へ変更</t>
    <rPh sb="1" eb="3">
      <t>タイショウ</t>
    </rPh>
    <rPh sb="3" eb="4">
      <t>ツキ</t>
    </rPh>
    <rPh sb="5" eb="7">
      <t>ヘンコウ</t>
    </rPh>
    <phoneticPr fontId="4"/>
  </si>
  <si>
    <t>■売上高</t>
    <rPh sb="1" eb="3">
      <t>ウリアゲ</t>
    </rPh>
    <rPh sb="3" eb="4">
      <t>ダカ</t>
    </rPh>
    <phoneticPr fontId="4"/>
  </si>
  <si>
    <t>チャネル</t>
    <phoneticPr fontId="4"/>
  </si>
  <si>
    <t>実績</t>
    <rPh sb="0" eb="2">
      <t>ジッセキ</t>
    </rPh>
    <phoneticPr fontId="4"/>
  </si>
  <si>
    <t>予算</t>
    <rPh sb="0" eb="2">
      <t>ヨサン</t>
    </rPh>
    <phoneticPr fontId="4"/>
  </si>
  <si>
    <t>前年</t>
    <rPh sb="0" eb="2">
      <t>ゼンネン</t>
    </rPh>
    <phoneticPr fontId="4"/>
  </si>
  <si>
    <t>予算比</t>
    <rPh sb="0" eb="2">
      <t>ヨサン</t>
    </rPh>
    <rPh sb="2" eb="3">
      <t>ヒ</t>
    </rPh>
    <phoneticPr fontId="4"/>
  </si>
  <si>
    <t>予算差</t>
    <rPh sb="0" eb="2">
      <t>ヨサン</t>
    </rPh>
    <rPh sb="2" eb="3">
      <t>サ</t>
    </rPh>
    <phoneticPr fontId="4"/>
  </si>
  <si>
    <t>前年比</t>
    <rPh sb="0" eb="3">
      <t>ゼンネンヒ</t>
    </rPh>
    <phoneticPr fontId="4"/>
  </si>
  <si>
    <t>前年差</t>
    <rPh sb="0" eb="1">
      <t>ゼン</t>
    </rPh>
    <rPh sb="1" eb="2">
      <t>ネン</t>
    </rPh>
    <rPh sb="2" eb="3">
      <t>サ</t>
    </rPh>
    <phoneticPr fontId="4"/>
  </si>
  <si>
    <t>新規（WEB）</t>
    <rPh sb="0" eb="2">
      <t>シンキ</t>
    </rPh>
    <phoneticPr fontId="4"/>
  </si>
  <si>
    <t>新規（法人）</t>
    <rPh sb="0" eb="2">
      <t>シンキ</t>
    </rPh>
    <rPh sb="3" eb="5">
      <t>ホウジン</t>
    </rPh>
    <phoneticPr fontId="4"/>
  </si>
  <si>
    <t>新規（代理店）</t>
    <rPh sb="0" eb="2">
      <t>シンキ</t>
    </rPh>
    <rPh sb="3" eb="6">
      <t>ダイリテン</t>
    </rPh>
    <phoneticPr fontId="4"/>
  </si>
  <si>
    <t>新規　ストック計</t>
    <rPh sb="0" eb="2">
      <t>シンキ</t>
    </rPh>
    <rPh sb="7" eb="8">
      <t>ケイ</t>
    </rPh>
    <phoneticPr fontId="4"/>
  </si>
  <si>
    <t>クロスセル</t>
    <phoneticPr fontId="4"/>
  </si>
  <si>
    <t>既存（25年以前）</t>
    <phoneticPr fontId="4"/>
  </si>
  <si>
    <t>既存　ストック計</t>
    <rPh sb="0" eb="2">
      <t>キゾン</t>
    </rPh>
    <rPh sb="7" eb="8">
      <t>ケイ</t>
    </rPh>
    <phoneticPr fontId="4"/>
  </si>
  <si>
    <t>セミナー＋プログラム</t>
    <phoneticPr fontId="4"/>
  </si>
  <si>
    <t>ストア内EC</t>
    <phoneticPr fontId="4"/>
  </si>
  <si>
    <t>通信+ちゃんねる</t>
    <rPh sb="0" eb="2">
      <t>ツウシン</t>
    </rPh>
    <phoneticPr fontId="4"/>
  </si>
  <si>
    <t>通販</t>
    <rPh sb="0" eb="2">
      <t>ツウハン</t>
    </rPh>
    <phoneticPr fontId="4"/>
  </si>
  <si>
    <t>卸売り＋企業内手売り</t>
    <rPh sb="0" eb="2">
      <t>オロシウ</t>
    </rPh>
    <rPh sb="4" eb="7">
      <t>キギョウナイ</t>
    </rPh>
    <rPh sb="7" eb="8">
      <t>テ</t>
    </rPh>
    <rPh sb="8" eb="9">
      <t>ウ</t>
    </rPh>
    <phoneticPr fontId="4"/>
  </si>
  <si>
    <t>フロー計</t>
    <rPh sb="3" eb="4">
      <t>ケイ</t>
    </rPh>
    <phoneticPr fontId="4"/>
  </si>
  <si>
    <t>計</t>
    <rPh sb="0" eb="1">
      <t>ケイ</t>
    </rPh>
    <phoneticPr fontId="4"/>
  </si>
  <si>
    <t>■KPI</t>
    <phoneticPr fontId="4"/>
  </si>
  <si>
    <t>項目</t>
    <rPh sb="0" eb="2">
      <t>コウモク</t>
    </rPh>
    <phoneticPr fontId="4"/>
  </si>
  <si>
    <t>新規リード数</t>
    <rPh sb="0" eb="2">
      <t>シンキ</t>
    </rPh>
    <rPh sb="5" eb="6">
      <t>スウ</t>
    </rPh>
    <phoneticPr fontId="4"/>
  </si>
  <si>
    <t>商談ステージ</t>
    <rPh sb="0" eb="2">
      <t>ショウダン</t>
    </rPh>
    <phoneticPr fontId="4"/>
  </si>
  <si>
    <t>具体検討ステージ</t>
  </si>
  <si>
    <t>内諾ステージ</t>
    <rPh sb="0" eb="2">
      <t>ナイダク</t>
    </rPh>
    <phoneticPr fontId="4"/>
  </si>
  <si>
    <r>
      <t>新規アプリ獲得数</t>
    </r>
    <r>
      <rPr>
        <sz val="9"/>
        <color theme="0"/>
        <rFont val="Meiryo UI"/>
        <family val="3"/>
        <charset val="128"/>
      </rPr>
      <t>（単月）</t>
    </r>
    <rPh sb="0" eb="2">
      <t>シンキ</t>
    </rPh>
    <rPh sb="5" eb="8">
      <t>カクトクスウ</t>
    </rPh>
    <phoneticPr fontId="4"/>
  </si>
  <si>
    <t>※データに存在しないが項目として仮設定</t>
    <rPh sb="5" eb="7">
      <t>ソンザイ</t>
    </rPh>
    <rPh sb="11" eb="13">
      <t>コウモク</t>
    </rPh>
    <rPh sb="16" eb="19">
      <t>カリセッテイ</t>
    </rPh>
    <phoneticPr fontId="4"/>
  </si>
  <si>
    <t>１月</t>
    <rPh sb="1" eb="2">
      <t>ガツ</t>
    </rPh>
    <phoneticPr fontId="4"/>
  </si>
  <si>
    <t>２月</t>
    <rPh sb="1" eb="2">
      <t>ガツ</t>
    </rPh>
    <phoneticPr fontId="4"/>
  </si>
  <si>
    <t>３月</t>
    <rPh sb="1" eb="2">
      <t>ガツ</t>
    </rPh>
    <phoneticPr fontId="4"/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</si>
  <si>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</si>
  <si>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</si>
  <si>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</si>
  <si>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</si>
  <si>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</si>
  <si>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</si>
  <si>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</si>
  <si>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</si>
  <si>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</si>
  <si>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商談ステージ数</t>
    <rPh sb="0" eb="2">
      <t>ショウダン</t>
    </rPh>
    <rPh sb="6" eb="7">
      <t>スウ</t>
    </rPh>
    <phoneticPr fontId="4"/>
  </si>
  <si>
    <t>WEB</t>
    <phoneticPr fontId="4"/>
  </si>
  <si>
    <t>計画</t>
    <rPh sb="0" eb="2">
      <t>ケイカク</t>
    </rPh>
    <phoneticPr fontId="4"/>
  </si>
  <si>
    <t>具体検討ステージ数</t>
    <rPh sb="0" eb="2">
      <t>グタイ</t>
    </rPh>
    <rPh sb="2" eb="4">
      <t>ケントウ</t>
    </rPh>
    <rPh sb="8" eb="9">
      <t>スウ</t>
    </rPh>
    <phoneticPr fontId="4"/>
  </si>
  <si>
    <t>具体検討移行率</t>
    <rPh sb="0" eb="2">
      <t>グタイ</t>
    </rPh>
    <rPh sb="2" eb="4">
      <t>ケントウ</t>
    </rPh>
    <rPh sb="4" eb="6">
      <t>イコウ</t>
    </rPh>
    <rPh sb="6" eb="7">
      <t>リツ</t>
    </rPh>
    <phoneticPr fontId="4"/>
  </si>
  <si>
    <t>1月</t>
    <rPh sb="1" eb="2">
      <t>ガツ</t>
    </rPh>
    <phoneticPr fontId="4"/>
  </si>
  <si>
    <t xml:space="preserve"> </t>
    <phoneticPr fontId="4"/>
  </si>
  <si>
    <t>2月</t>
    <rPh sb="1" eb="2">
      <t>ガツ</t>
    </rPh>
    <phoneticPr fontId="4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</si>
  <si>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</si>
  <si>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</si>
  <si>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</si>
  <si>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</si>
  <si>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</si>
  <si>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</si>
  <si>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</si>
  <si>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</si>
  <si>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</si>
  <si>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</si>
  <si>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新規リード</t>
    <rPh sb="0" eb="2">
      <t>シンキ</t>
    </rPh>
    <phoneticPr fontId="4"/>
  </si>
  <si>
    <t>ＴＪＫ</t>
    <phoneticPr fontId="4"/>
  </si>
  <si>
    <t>社労士</t>
    <rPh sb="0" eb="3">
      <t>シャロウシ</t>
    </rPh>
    <phoneticPr fontId="4"/>
  </si>
  <si>
    <t>その他</t>
    <rPh sb="2" eb="3">
      <t>タ</t>
    </rPh>
    <phoneticPr fontId="4"/>
  </si>
  <si>
    <t>有効ステージ</t>
    <rPh sb="0" eb="2">
      <t>ユウコウ</t>
    </rPh>
    <phoneticPr fontId="4"/>
  </si>
  <si>
    <t>ＴＪＫ</t>
  </si>
  <si>
    <t>その他</t>
    <rPh sb="2" eb="3">
      <t>ホカ</t>
    </rPh>
    <phoneticPr fontId="4"/>
  </si>
  <si>
    <t>断念ステージ</t>
    <rPh sb="0" eb="2">
      <t>ダンネン</t>
    </rPh>
    <phoneticPr fontId="4"/>
  </si>
  <si>
    <t>具体検討ステージ</t>
    <rPh sb="0" eb="2">
      <t>グタイ</t>
    </rPh>
    <rPh sb="2" eb="4">
      <t>ケントウ</t>
    </rPh>
    <phoneticPr fontId="4"/>
  </si>
  <si>
    <t>締結ステージ</t>
    <rPh sb="0" eb="2">
      <t>テイケツ</t>
    </rPh>
    <phoneticPr fontId="4"/>
  </si>
  <si>
    <t>具体検討化率</t>
    <rPh sb="0" eb="2">
      <t>グタイ</t>
    </rPh>
    <rPh sb="2" eb="4">
      <t>ケントウ</t>
    </rPh>
    <rPh sb="4" eb="5">
      <t>カ</t>
    </rPh>
    <rPh sb="5" eb="6">
      <t>リツ</t>
    </rPh>
    <phoneticPr fontId="4"/>
  </si>
  <si>
    <t>内諾率</t>
    <rPh sb="0" eb="2">
      <t>ナイダク</t>
    </rPh>
    <rPh sb="2" eb="3">
      <t>リツ</t>
    </rPh>
    <phoneticPr fontId="4"/>
  </si>
  <si>
    <t>ステージ</t>
    <phoneticPr fontId="4"/>
  </si>
  <si>
    <t>転換率</t>
    <rPh sb="0" eb="2">
      <t>テンカン</t>
    </rPh>
    <rPh sb="2" eb="3">
      <t>リツ</t>
    </rPh>
    <phoneticPr fontId="4"/>
  </si>
  <si>
    <t>以下、濱西メモ</t>
    <rPh sb="0" eb="2">
      <t>イカ</t>
    </rPh>
    <rPh sb="3" eb="5">
      <t>ハマニシ</t>
    </rPh>
    <phoneticPr fontId="4"/>
  </si>
  <si>
    <t>企業名</t>
  </si>
  <si>
    <t>株式会社ヒロケイ、SASクラウド株式会社、株式会社エフエム・スタッフ</t>
    <phoneticPr fontId="4"/>
  </si>
  <si>
    <t>株式会社岩井システムクリエイティブ、株式会社アドバンテッジリスクマネジメント</t>
    <phoneticPr fontId="4"/>
  </si>
  <si>
    <t>株式会社ＮＸワンビシアーカイブズ、株式会社総研システムズ、株式会社アドヴァンスト・インフォーメイション・デザイン、ＪＦＥコムサービス株式会社、株式会社ニッポンダイナミックシステムズ、ラバブルマーケティンググループ</t>
    <phoneticPr fontId="4"/>
  </si>
  <si>
    <t>日本郵政インフォメーションテクノロジー株式会社、
株式会社ＮＸワンビシアーカイブズ</t>
    <phoneticPr fontId="4"/>
  </si>
  <si>
    <t>平成医会</t>
    <rPh sb="0" eb="2">
      <t>ヘイセイ</t>
    </rPh>
    <rPh sb="2" eb="3">
      <t>イ</t>
    </rPh>
    <rPh sb="3" eb="4">
      <t>カイ</t>
    </rPh>
    <phoneticPr fontId="4"/>
  </si>
  <si>
    <t>ベリーベスト弁護士、ベリーベスト税理士</t>
  </si>
  <si>
    <t>DADWAY、オオヨドコーポレーション</t>
  </si>
  <si>
    <t>ネイル協会</t>
    <rPh sb="3" eb="5">
      <t>キョウカイ</t>
    </rPh>
    <phoneticPr fontId="4"/>
  </si>
  <si>
    <t>土岐市立病院</t>
    <rPh sb="0" eb="4">
      <t>トキシリツ</t>
    </rPh>
    <rPh sb="4" eb="6">
      <t>ビョウイン</t>
    </rPh>
    <phoneticPr fontId="4"/>
  </si>
  <si>
    <t>株式会社ヒロケイ、SASクラウド株式会社、株式会社アドバンテッジリスクマネジメント</t>
    <phoneticPr fontId="4"/>
  </si>
  <si>
    <t>ベリーベスト弁護士</t>
  </si>
  <si>
    <t>株式会社エフエム・スタッフ</t>
    <phoneticPr fontId="4"/>
  </si>
  <si>
    <t>株式会社岩井システムクリエイティブ</t>
    <phoneticPr fontId="4"/>
  </si>
  <si>
    <t>株式会社岩井システムクリエイティブ、株式会社総研システムズ</t>
    <phoneticPr fontId="4"/>
  </si>
  <si>
    <t>日本郵政インフォメーションテクノロジー株式会社</t>
    <phoneticPr fontId="4"/>
  </si>
  <si>
    <t>ベリーベスト弁護士</t>
    <phoneticPr fontId="4"/>
  </si>
  <si>
    <t>DADWAY、オオヨドコーポレーション、ベリーベスト弁護士</t>
    <phoneticPr fontId="4"/>
  </si>
  <si>
    <t>DADWAY、オオヨドコーポレーション、ベリーベスト弁護士、平成医会</t>
    <phoneticPr fontId="4"/>
  </si>
  <si>
    <t>ラバブルマーケティンググループ</t>
    <phoneticPr fontId="4"/>
  </si>
  <si>
    <t>株式会社岩井システムクリエイティブ、株式会社総研システムズ、ラバブルマーケティンググループ</t>
    <phoneticPr fontId="4"/>
  </si>
  <si>
    <t>東濃ハウジング</t>
    <rPh sb="0" eb="2">
      <t>トウノウ</t>
    </rPh>
    <phoneticPr fontId="4"/>
  </si>
  <si>
    <t>TJKベネフィット</t>
    <phoneticPr fontId="4"/>
  </si>
  <si>
    <t>レアホア</t>
    <phoneticPr fontId="4"/>
  </si>
  <si>
    <t>レアホア、KS経営労務コンサルタントオフィス（元港区社労士支部長）</t>
    <phoneticPr fontId="4"/>
  </si>
  <si>
    <t>八神製作所、三菱地所PM</t>
    <rPh sb="0" eb="2">
      <t>ヤガミ</t>
    </rPh>
    <rPh sb="2" eb="5">
      <t>セイサクショ</t>
    </rPh>
    <rPh sb="6" eb="8">
      <t>ミツビシ</t>
    </rPh>
    <rPh sb="8" eb="10">
      <t>ジショ</t>
    </rPh>
    <phoneticPr fontId="4"/>
  </si>
  <si>
    <t>八神製作所、三菱地所PM、ジャパン介護ラボラトリー</t>
    <rPh sb="0" eb="2">
      <t>ヤガミ</t>
    </rPh>
    <rPh sb="2" eb="5">
      <t>セイサクショ</t>
    </rPh>
    <rPh sb="6" eb="8">
      <t>ミツビシ</t>
    </rPh>
    <rPh sb="8" eb="10">
      <t>ジショ</t>
    </rPh>
    <rPh sb="17" eb="19">
      <t>カイゴ</t>
    </rPh>
    <phoneticPr fontId="4"/>
  </si>
  <si>
    <t>八神製作所、三菱地所PM、ジャパン介護ラボラトリー、三千和商工</t>
    <rPh sb="0" eb="2">
      <t>ヤガミ</t>
    </rPh>
    <rPh sb="2" eb="5">
      <t>セイサクショ</t>
    </rPh>
    <rPh sb="6" eb="8">
      <t>ミツビシ</t>
    </rPh>
    <rPh sb="8" eb="10">
      <t>ジショ</t>
    </rPh>
    <rPh sb="26" eb="28">
      <t>サンゼン</t>
    </rPh>
    <rPh sb="28" eb="29">
      <t>ワ</t>
    </rPh>
    <rPh sb="29" eb="31">
      <t>ショウコウ</t>
    </rPh>
    <phoneticPr fontId="4"/>
  </si>
  <si>
    <t>八神製作所、三菱地所PM、ジャパン介護ラボラトリー、三千和商工、ウィルオブワーク、プレミアリサーチ株式会社、HIS、平成医会</t>
    <rPh sb="0" eb="2">
      <t>ヤガミ</t>
    </rPh>
    <rPh sb="2" eb="5">
      <t>セイサクショ</t>
    </rPh>
    <rPh sb="6" eb="8">
      <t>ミツビシ</t>
    </rPh>
    <rPh sb="8" eb="10">
      <t>ジショ</t>
    </rPh>
    <rPh sb="17" eb="19">
      <t>カイゴ</t>
    </rPh>
    <rPh sb="26" eb="28">
      <t>サンゼン</t>
    </rPh>
    <rPh sb="28" eb="29">
      <t>ワ</t>
    </rPh>
    <rPh sb="29" eb="31">
      <t>ショウコウ</t>
    </rPh>
    <rPh sb="49" eb="53">
      <t>カブシキガイシャ</t>
    </rPh>
    <rPh sb="58" eb="60">
      <t>ヘイセイ</t>
    </rPh>
    <rPh sb="60" eb="61">
      <t>イ</t>
    </rPh>
    <rPh sb="61" eb="62">
      <t>カイ</t>
    </rPh>
    <phoneticPr fontId="4"/>
  </si>
  <si>
    <t>その他計画</t>
    <rPh sb="2" eb="3">
      <t>タ</t>
    </rPh>
    <rPh sb="3" eb="5">
      <t>ケイカク</t>
    </rPh>
    <phoneticPr fontId="4"/>
  </si>
  <si>
    <t>八神製作所</t>
    <rPh sb="0" eb="2">
      <t>ヤガミ</t>
    </rPh>
    <rPh sb="2" eb="5">
      <t>セイサクショ</t>
    </rPh>
    <phoneticPr fontId="4"/>
  </si>
  <si>
    <t>ジャパン介護ラボラトリー</t>
    <rPh sb="4" eb="6">
      <t>カイゴ</t>
    </rPh>
    <phoneticPr fontId="4"/>
  </si>
  <si>
    <t>ココログループ</t>
    <phoneticPr fontId="4"/>
  </si>
  <si>
    <t>ウィルオブワーク</t>
    <phoneticPr fontId="4"/>
  </si>
  <si>
    <t>HIS</t>
    <phoneticPr fontId="4"/>
  </si>
  <si>
    <t>三千和商工</t>
    <rPh sb="0" eb="2">
      <t>サンゼン</t>
    </rPh>
    <rPh sb="2" eb="3">
      <t>ワ</t>
    </rPh>
    <rPh sb="3" eb="5">
      <t>ショウコウ</t>
    </rPh>
    <phoneticPr fontId="4"/>
  </si>
  <si>
    <t>計画差</t>
    <rPh sb="0" eb="2">
      <t>ケイカク</t>
    </rPh>
    <phoneticPr fontId="4"/>
  </si>
  <si>
    <t>計画比</t>
    <rPh sb="0" eb="2">
      <t>ケイカク</t>
    </rPh>
    <rPh sb="2" eb="3">
      <t>ヒ</t>
    </rPh>
    <phoneticPr fontId="4"/>
  </si>
  <si>
    <t>24実績</t>
    <rPh sb="2" eb="4">
      <t>ジッセキ</t>
    </rPh>
    <phoneticPr fontId="4"/>
  </si>
  <si>
    <t>24年実績</t>
  </si>
  <si>
    <t>２５-24年差分</t>
  </si>
  <si>
    <t>25年販売構成比</t>
  </si>
  <si>
    <t>累月前年比</t>
    <rPh sb="0" eb="2">
      <t>ルイゲツ</t>
    </rPh>
    <rPh sb="2" eb="5">
      <t>ゼンネンヒ</t>
    </rPh>
    <phoneticPr fontId="4"/>
  </si>
  <si>
    <t>単月前年比</t>
    <rPh sb="0" eb="1">
      <t>タン</t>
    </rPh>
    <rPh sb="1" eb="2">
      <t>ゲツ</t>
    </rPh>
    <rPh sb="2" eb="5">
      <t>ゼンネンヒ</t>
    </rPh>
    <phoneticPr fontId="4"/>
  </si>
  <si>
    <t>アプリ</t>
  </si>
  <si>
    <t>スタンド（宅急便）　※電子M除く</t>
    <rPh sb="5" eb="8">
      <t>タッキュウビン</t>
    </rPh>
    <rPh sb="11" eb="13">
      <t>デンシ</t>
    </rPh>
    <rPh sb="14" eb="15">
      <t>ノゾ</t>
    </rPh>
    <phoneticPr fontId="4"/>
  </si>
  <si>
    <t>スタンド（ＦＳ）</t>
  </si>
  <si>
    <t>スタンド（ＦＳ）　※elepay除く</t>
    <rPh sb="16" eb="17">
      <t>ノゾ</t>
    </rPh>
    <phoneticPr fontId="4"/>
  </si>
  <si>
    <t>スタンド（宅急便）　※電子M除く</t>
    <rPh sb="5" eb="8">
      <t>タッキュウビン</t>
    </rPh>
    <phoneticPr fontId="4"/>
  </si>
  <si>
    <t>スタンド（ＦＳ）　※elepay除く</t>
    <phoneticPr fontId="4"/>
  </si>
  <si>
    <t>クロスセル</t>
  </si>
  <si>
    <t>体力測定</t>
    <rPh sb="0" eb="2">
      <t>タイリョク</t>
    </rPh>
    <rPh sb="2" eb="4">
      <t>ソクテイ</t>
    </rPh>
    <phoneticPr fontId="4"/>
  </si>
  <si>
    <t>サーベイ</t>
    <phoneticPr fontId="4"/>
  </si>
  <si>
    <t>既存（25年以前）</t>
    <rPh sb="0" eb="2">
      <t>キゾン</t>
    </rPh>
    <phoneticPr fontId="4"/>
  </si>
  <si>
    <t>既存（24年以前）</t>
    <rPh sb="0" eb="2">
      <t>キゾン</t>
    </rPh>
    <phoneticPr fontId="4"/>
  </si>
  <si>
    <t>フロー①</t>
    <phoneticPr fontId="4"/>
  </si>
  <si>
    <t>セミナー＋プログラム</t>
  </si>
  <si>
    <t>フロー①</t>
  </si>
  <si>
    <t>フロー②</t>
    <phoneticPr fontId="4"/>
  </si>
  <si>
    <t>ストア内EC</t>
  </si>
  <si>
    <t>フロー②</t>
  </si>
  <si>
    <t>フロー③</t>
    <phoneticPr fontId="4"/>
  </si>
  <si>
    <t>フロー③</t>
  </si>
  <si>
    <t>フロー④</t>
    <phoneticPr fontId="4"/>
  </si>
  <si>
    <t>フロー④</t>
  </si>
  <si>
    <t>フロー⑤</t>
    <phoneticPr fontId="4"/>
  </si>
  <si>
    <t>フロー⑤</t>
  </si>
  <si>
    <t>電子マネー+FS</t>
    <rPh sb="0" eb="2">
      <t>デンシ</t>
    </rPh>
    <phoneticPr fontId="4"/>
  </si>
  <si>
    <t>獲得件数（累月）</t>
    <rPh sb="0" eb="2">
      <t>カクトク</t>
    </rPh>
    <rPh sb="2" eb="4">
      <t>ケンスウ</t>
    </rPh>
    <rPh sb="5" eb="7">
      <t>ルイゲツ</t>
    </rPh>
    <phoneticPr fontId="4"/>
  </si>
  <si>
    <t>目標件数</t>
    <rPh sb="0" eb="2">
      <t>モクヒョウ</t>
    </rPh>
    <rPh sb="2" eb="3">
      <t>ケン</t>
    </rPh>
    <rPh sb="3" eb="4">
      <t>スウ</t>
    </rPh>
    <phoneticPr fontId="4"/>
  </si>
  <si>
    <t>1/2で計上しています</t>
    <rPh sb="4" eb="6">
      <t>ケイジョウ</t>
    </rPh>
    <phoneticPr fontId="4"/>
  </si>
  <si>
    <t>フロー</t>
  </si>
  <si>
    <t>※25年以降獲得件数</t>
    <rPh sb="3" eb="4">
      <t>ネン</t>
    </rPh>
    <rPh sb="4" eb="6">
      <t>イコウ</t>
    </rPh>
    <rPh sb="6" eb="8">
      <t>カクトク</t>
    </rPh>
    <rPh sb="8" eb="10">
      <t>ケンスウ</t>
    </rPh>
    <phoneticPr fontId="4"/>
  </si>
  <si>
    <t>50%OFF</t>
    <phoneticPr fontId="4"/>
  </si>
  <si>
    <t>平均800名×月額250円（50%OFF）で提供</t>
    <rPh sb="0" eb="2">
      <t>ヘイキン</t>
    </rPh>
    <rPh sb="5" eb="6">
      <t>メイ</t>
    </rPh>
    <rPh sb="7" eb="9">
      <t>ゲツガク</t>
    </rPh>
    <rPh sb="12" eb="13">
      <t>エン</t>
    </rPh>
    <rPh sb="22" eb="24">
      <t>テイキョウ</t>
    </rPh>
    <phoneticPr fontId="4"/>
  </si>
  <si>
    <t>体力測定１回50万</t>
    <rPh sb="0" eb="2">
      <t>タイリョク</t>
    </rPh>
    <rPh sb="2" eb="4">
      <t>ソクテイ</t>
    </rPh>
    <rPh sb="5" eb="6">
      <t>カイ</t>
    </rPh>
    <rPh sb="8" eb="9">
      <t>マン</t>
    </rPh>
    <phoneticPr fontId="4"/>
  </si>
  <si>
    <t>サーベイ１回40万</t>
    <rPh sb="5" eb="6">
      <t>カイ</t>
    </rPh>
    <rPh sb="8" eb="9">
      <t>マン</t>
    </rPh>
    <phoneticPr fontId="4"/>
  </si>
  <si>
    <t>指標</t>
  </si>
  <si>
    <t>※商談化件数：案件月の1か月前に設定、商談後具体検討率は３０％に設定</t>
    <rPh sb="7" eb="9">
      <t>アンケン</t>
    </rPh>
    <rPh sb="9" eb="10">
      <t>ツキ</t>
    </rPh>
    <rPh sb="13" eb="14">
      <t>ゲツ</t>
    </rPh>
    <rPh sb="14" eb="15">
      <t>マエ</t>
    </rPh>
    <rPh sb="16" eb="18">
      <t>セッテイ</t>
    </rPh>
    <rPh sb="19" eb="21">
      <t>ショウダン</t>
    </rPh>
    <rPh sb="21" eb="22">
      <t>ゴ</t>
    </rPh>
    <rPh sb="26" eb="27">
      <t>リツ</t>
    </rPh>
    <rPh sb="32" eb="34">
      <t>セッテイ</t>
    </rPh>
    <phoneticPr fontId="4"/>
  </si>
  <si>
    <t>具体検討ステージ</t>
    <phoneticPr fontId="4"/>
  </si>
  <si>
    <t>※具体検討件数：内諾月の１か月前に設定、案件後内諾率は２５％に設定</t>
    <rPh sb="5" eb="7">
      <t>ケンスウ</t>
    </rPh>
    <rPh sb="8" eb="10">
      <t>ナイダク</t>
    </rPh>
    <rPh sb="10" eb="11">
      <t>ツキ</t>
    </rPh>
    <rPh sb="14" eb="15">
      <t>ゲツ</t>
    </rPh>
    <rPh sb="15" eb="16">
      <t>マエ</t>
    </rPh>
    <rPh sb="17" eb="19">
      <t>セッテイ</t>
    </rPh>
    <rPh sb="20" eb="22">
      <t>アンケン</t>
    </rPh>
    <rPh sb="22" eb="23">
      <t>ゴ</t>
    </rPh>
    <rPh sb="23" eb="25">
      <t>ナイダク</t>
    </rPh>
    <rPh sb="25" eb="26">
      <t>リツ</t>
    </rPh>
    <rPh sb="31" eb="33">
      <t>セッテイ</t>
    </rPh>
    <phoneticPr fontId="4"/>
  </si>
  <si>
    <t>※内諾件数：成約月の2か月前に設定、内諾後成約率は９０％に設定</t>
    <rPh sb="1" eb="3">
      <t>ナイダク</t>
    </rPh>
    <rPh sb="3" eb="5">
      <t>ケンスウ</t>
    </rPh>
    <rPh sb="6" eb="8">
      <t>セイヤク</t>
    </rPh>
    <rPh sb="8" eb="9">
      <t>ツキ</t>
    </rPh>
    <rPh sb="12" eb="13">
      <t>ゲツ</t>
    </rPh>
    <rPh sb="13" eb="14">
      <t>マエ</t>
    </rPh>
    <rPh sb="15" eb="17">
      <t>セッテイ</t>
    </rPh>
    <rPh sb="18" eb="20">
      <t>ナイダク</t>
    </rPh>
    <rPh sb="20" eb="21">
      <t>ゴ</t>
    </rPh>
    <rPh sb="21" eb="23">
      <t>セイヤク</t>
    </rPh>
    <rPh sb="23" eb="24">
      <t>リツ</t>
    </rPh>
    <rPh sb="29" eb="31">
      <t>セッテイ</t>
    </rPh>
    <phoneticPr fontId="4"/>
  </si>
  <si>
    <t>新規アプリ獲得数（単月）</t>
    <rPh sb="0" eb="2">
      <t>シンキ</t>
    </rPh>
    <rPh sb="5" eb="8">
      <t>カクトクスウ</t>
    </rPh>
    <rPh sb="9" eb="11">
      <t>タンゲツ</t>
    </rPh>
    <phoneticPr fontId="4"/>
  </si>
  <si>
    <t>新規アプリ獲得数（累月）</t>
    <rPh sb="0" eb="2">
      <t>シンキ</t>
    </rPh>
    <rPh sb="5" eb="8">
      <t>カクトクスウ</t>
    </rPh>
    <rPh sb="9" eb="11">
      <t>ルイゲツ</t>
    </rPh>
    <phoneticPr fontId="4"/>
  </si>
  <si>
    <t>新規スタンド獲得数（累月）</t>
    <rPh sb="0" eb="2">
      <t>シンキ</t>
    </rPh>
    <rPh sb="6" eb="9">
      <t>カクトクスウ</t>
    </rPh>
    <rPh sb="10" eb="12">
      <t>ルイゲツ</t>
    </rPh>
    <phoneticPr fontId="4"/>
  </si>
  <si>
    <t>　ー商談ステージ（新規）</t>
    <rPh sb="2" eb="4">
      <t>ショウダン</t>
    </rPh>
    <rPh sb="9" eb="11">
      <t>シンキ</t>
    </rPh>
    <phoneticPr fontId="4"/>
  </si>
  <si>
    <t>※商談化件数：具体検討月の１か月前に設定、商談後具体検討率は３８％に設定</t>
    <rPh sb="1" eb="3">
      <t>ショウダン</t>
    </rPh>
    <rPh sb="3" eb="4">
      <t>カ</t>
    </rPh>
    <rPh sb="4" eb="6">
      <t>ケンスウ</t>
    </rPh>
    <rPh sb="11" eb="12">
      <t>ツキ</t>
    </rPh>
    <rPh sb="15" eb="16">
      <t>ゲツ</t>
    </rPh>
    <rPh sb="16" eb="17">
      <t>マエ</t>
    </rPh>
    <rPh sb="18" eb="20">
      <t>セッテイ</t>
    </rPh>
    <rPh sb="21" eb="23">
      <t>ショウダン</t>
    </rPh>
    <rPh sb="23" eb="24">
      <t>ゴ</t>
    </rPh>
    <rPh sb="28" eb="29">
      <t>リツ</t>
    </rPh>
    <rPh sb="34" eb="36">
      <t>セッテイ</t>
    </rPh>
    <phoneticPr fontId="4"/>
  </si>
  <si>
    <t>　ー商談ステージ（滞留）</t>
    <rPh sb="2" eb="4">
      <t>ショウダン</t>
    </rPh>
    <rPh sb="9" eb="11">
      <t>タイリュウ</t>
    </rPh>
    <phoneticPr fontId="4"/>
  </si>
  <si>
    <t>　－具体検討ステージ（滞留期間：2か月以内）</t>
    <rPh sb="11" eb="13">
      <t>タイリュウ</t>
    </rPh>
    <rPh sb="13" eb="15">
      <t>キカン</t>
    </rPh>
    <rPh sb="18" eb="19">
      <t>ゲツ</t>
    </rPh>
    <rPh sb="19" eb="21">
      <t>イナイ</t>
    </rPh>
    <phoneticPr fontId="4"/>
  </si>
  <si>
    <t>※具体検討件数：内諾月の２か月前に設定、案件後内諾率は４０％に設定</t>
    <rPh sb="5" eb="7">
      <t>ケンスウ</t>
    </rPh>
    <rPh sb="8" eb="10">
      <t>ナイダク</t>
    </rPh>
    <rPh sb="10" eb="11">
      <t>ツキ</t>
    </rPh>
    <rPh sb="14" eb="15">
      <t>ゲツ</t>
    </rPh>
    <rPh sb="15" eb="16">
      <t>マエ</t>
    </rPh>
    <rPh sb="17" eb="19">
      <t>セッテイ</t>
    </rPh>
    <rPh sb="20" eb="22">
      <t>アンケン</t>
    </rPh>
    <rPh sb="22" eb="23">
      <t>ゴ</t>
    </rPh>
    <rPh sb="23" eb="25">
      <t>ナイダク</t>
    </rPh>
    <rPh sb="25" eb="26">
      <t>リツ</t>
    </rPh>
    <rPh sb="31" eb="33">
      <t>セッテイ</t>
    </rPh>
    <phoneticPr fontId="4"/>
  </si>
  <si>
    <t>　－具体検討ステージ（滞留期間：３か月以上）</t>
    <rPh sb="11" eb="13">
      <t>タイリュウ</t>
    </rPh>
    <rPh sb="13" eb="15">
      <t>キカン</t>
    </rPh>
    <rPh sb="18" eb="19">
      <t>ゲツ</t>
    </rPh>
    <rPh sb="19" eb="21">
      <t>イジョウ</t>
    </rPh>
    <phoneticPr fontId="4"/>
  </si>
  <si>
    <t>※内諾件数：成約月の2か月前に設定、内諾後成約率は１００％に設定</t>
    <rPh sb="1" eb="3">
      <t>ナイダク</t>
    </rPh>
    <rPh sb="3" eb="5">
      <t>ケンスウ</t>
    </rPh>
    <rPh sb="6" eb="8">
      <t>セイヤク</t>
    </rPh>
    <rPh sb="8" eb="9">
      <t>ツキ</t>
    </rPh>
    <rPh sb="12" eb="13">
      <t>ゲツ</t>
    </rPh>
    <rPh sb="13" eb="14">
      <t>マエ</t>
    </rPh>
    <rPh sb="15" eb="17">
      <t>セッテイ</t>
    </rPh>
    <rPh sb="18" eb="20">
      <t>ナイダク</t>
    </rPh>
    <rPh sb="20" eb="21">
      <t>ゴ</t>
    </rPh>
    <rPh sb="21" eb="23">
      <t>セイヤク</t>
    </rPh>
    <rPh sb="23" eb="24">
      <t>リツ</t>
    </rPh>
    <rPh sb="30" eb="32">
      <t>セッテイ</t>
    </rPh>
    <phoneticPr fontId="4"/>
  </si>
  <si>
    <t>※具体検討件数：内諾月の1か月前に設定、案件後内諾率は6０％に設定</t>
    <rPh sb="5" eb="7">
      <t>ケンスウ</t>
    </rPh>
    <rPh sb="8" eb="10">
      <t>ナイダク</t>
    </rPh>
    <rPh sb="10" eb="11">
      <t>ツキ</t>
    </rPh>
    <rPh sb="14" eb="15">
      <t>ゲツ</t>
    </rPh>
    <rPh sb="15" eb="16">
      <t>マエ</t>
    </rPh>
    <rPh sb="17" eb="19">
      <t>セッテイ</t>
    </rPh>
    <rPh sb="20" eb="22">
      <t>アンケン</t>
    </rPh>
    <rPh sb="22" eb="23">
      <t>ゴ</t>
    </rPh>
    <rPh sb="23" eb="25">
      <t>ナイダク</t>
    </rPh>
    <rPh sb="25" eb="26">
      <t>リツ</t>
    </rPh>
    <rPh sb="31" eb="33">
      <t>セッテイ</t>
    </rPh>
    <phoneticPr fontId="4"/>
  </si>
  <si>
    <t>アプローチ数</t>
    <phoneticPr fontId="4"/>
  </si>
  <si>
    <t>断念ステージ（商談後）</t>
    <rPh sb="0" eb="2">
      <t>ダンネン</t>
    </rPh>
    <rPh sb="7" eb="9">
      <t>ショウダン</t>
    </rPh>
    <rPh sb="9" eb="10">
      <t>アト</t>
    </rPh>
    <phoneticPr fontId="4"/>
  </si>
  <si>
    <t>詳細：代理店</t>
    <rPh sb="0" eb="2">
      <t>ショウサイ</t>
    </rPh>
    <rPh sb="3" eb="6">
      <t>ダイリテン</t>
    </rPh>
    <phoneticPr fontId="4"/>
  </si>
  <si>
    <t>2月</t>
  </si>
  <si>
    <t>予算計</t>
    <rPh sb="0" eb="2">
      <t>ヨサン</t>
    </rPh>
    <rPh sb="2" eb="3">
      <t>ケイ</t>
    </rPh>
    <phoneticPr fontId="4"/>
  </si>
  <si>
    <t>実績計</t>
    <rPh sb="0" eb="2">
      <t>ジッセキ</t>
    </rPh>
    <rPh sb="2" eb="3">
      <t>ケイ</t>
    </rPh>
    <phoneticPr fontId="4"/>
  </si>
  <si>
    <t>年間着地</t>
    <rPh sb="0" eb="2">
      <t>ネンカン</t>
    </rPh>
    <rPh sb="2" eb="4">
      <t>チャクチ</t>
    </rPh>
    <phoneticPr fontId="4"/>
  </si>
  <si>
    <t>25年以前</t>
  </si>
  <si>
    <t>予算差額</t>
    <rPh sb="0" eb="2">
      <t>ヨサン</t>
    </rPh>
    <rPh sb="2" eb="4">
      <t>サガク</t>
    </rPh>
    <phoneticPr fontId="4"/>
  </si>
  <si>
    <t>※詳細は25-27年予算シート参照</t>
    <rPh sb="1" eb="3">
      <t>ショウサイ</t>
    </rPh>
    <rPh sb="9" eb="10">
      <t>ネン</t>
    </rPh>
    <rPh sb="10" eb="12">
      <t>ヨサン</t>
    </rPh>
    <rPh sb="15" eb="17">
      <t>サンショウ</t>
    </rPh>
    <phoneticPr fontId="4"/>
  </si>
  <si>
    <t>3累</t>
    <rPh sb="1" eb="2">
      <t>ルイ</t>
    </rPh>
    <phoneticPr fontId="4"/>
  </si>
  <si>
    <t>■構成比案</t>
    <rPh sb="1" eb="4">
      <t>コウセイヒ</t>
    </rPh>
    <rPh sb="4" eb="5">
      <t>アン</t>
    </rPh>
    <phoneticPr fontId="4"/>
  </si>
  <si>
    <t>善田確認事項</t>
  </si>
  <si>
    <t>合計/進捗</t>
    <rPh sb="0" eb="2">
      <t>ゴウケイケイ</t>
    </rPh>
    <rPh sb="3" eb="5">
      <t>シンチョク</t>
    </rPh>
    <phoneticPr fontId="4"/>
  </si>
  <si>
    <t>年間目標</t>
    <rPh sb="0" eb="2">
      <t>ネンカン</t>
    </rPh>
    <rPh sb="2" eb="4">
      <t>モクヒョウ</t>
    </rPh>
    <phoneticPr fontId="4"/>
  </si>
  <si>
    <t>乖離</t>
    <rPh sb="0" eb="2">
      <t>カイリ</t>
    </rPh>
    <phoneticPr fontId="4"/>
  </si>
  <si>
    <t>１．ストック型なのに毎月の売上が積みあがらないのは何故か？</t>
  </si>
  <si>
    <t>２．新規（WEB）の異常値は何か？</t>
  </si>
  <si>
    <t>３．数字の組み立て根拠を善田に教えてほしい（月別商材別の獲得計画、客単価）</t>
    <rPh sb="2" eb="4">
      <t>スウジ</t>
    </rPh>
    <rPh sb="5" eb="6">
      <t>ク</t>
    </rPh>
    <rPh sb="7" eb="8">
      <t>タ</t>
    </rPh>
    <rPh sb="9" eb="11">
      <t>コンキョ</t>
    </rPh>
    <rPh sb="12" eb="13">
      <t>ゼン</t>
    </rPh>
    <rPh sb="13" eb="14">
      <t>タ</t>
    </rPh>
    <rPh sb="15" eb="16">
      <t>オシ</t>
    </rPh>
    <rPh sb="22" eb="24">
      <t>ツキベツ</t>
    </rPh>
    <rPh sb="24" eb="26">
      <t>ショウザイ</t>
    </rPh>
    <rPh sb="26" eb="27">
      <t>ベツ</t>
    </rPh>
    <rPh sb="28" eb="30">
      <t>カクトク</t>
    </rPh>
    <rPh sb="30" eb="32">
      <t>ケイカク</t>
    </rPh>
    <rPh sb="33" eb="36">
      <t>キャクタンカ</t>
    </rPh>
    <phoneticPr fontId="4"/>
  </si>
  <si>
    <t>※25年度はエントリープラン半額予定</t>
    <rPh sb="3" eb="4">
      <t>ネン</t>
    </rPh>
    <rPh sb="4" eb="5">
      <t>ド</t>
    </rPh>
    <rPh sb="14" eb="16">
      <t>ハンガク</t>
    </rPh>
    <rPh sb="16" eb="18">
      <t>ヨテイ</t>
    </rPh>
    <phoneticPr fontId="4"/>
  </si>
  <si>
    <t>平均800名×13社（3000名以上の企業を除外）かつ月額250円で提供</t>
  </si>
  <si>
    <t>サーベイ、体力測定を想定</t>
    <rPh sb="5" eb="7">
      <t>タイリョク</t>
    </rPh>
    <rPh sb="7" eb="9">
      <t>ソクテイ</t>
    </rPh>
    <rPh sb="10" eb="12">
      <t>ソウテイ</t>
    </rPh>
    <phoneticPr fontId="4"/>
  </si>
  <si>
    <t>EC</t>
    <phoneticPr fontId="4"/>
  </si>
  <si>
    <t>ウェルネスストア</t>
    <phoneticPr fontId="4"/>
  </si>
  <si>
    <t>アプリ＋スタンド</t>
    <phoneticPr fontId="4"/>
  </si>
  <si>
    <t>既存計</t>
    <rPh sb="0" eb="2">
      <t>キゾン</t>
    </rPh>
    <rPh sb="2" eb="3">
      <t>ケイ</t>
    </rPh>
    <phoneticPr fontId="4"/>
  </si>
  <si>
    <t>クロスセル計</t>
    <rPh sb="5" eb="6">
      <t>ケイ</t>
    </rPh>
    <phoneticPr fontId="4"/>
  </si>
  <si>
    <t>新規計</t>
    <rPh sb="0" eb="2">
      <t>シンキ</t>
    </rPh>
    <rPh sb="2" eb="3">
      <t>ケイ</t>
    </rPh>
    <phoneticPr fontId="4"/>
  </si>
  <si>
    <t>※2月までは確定実績（赤字）</t>
    <rPh sb="2" eb="3">
      <t>ガツ</t>
    </rPh>
    <rPh sb="6" eb="8">
      <t>カクテイ</t>
    </rPh>
    <rPh sb="8" eb="10">
      <t>ジッセキ</t>
    </rPh>
    <rPh sb="11" eb="13">
      <t>アカジ</t>
    </rPh>
    <phoneticPr fontId="4"/>
  </si>
  <si>
    <t>目標積み上げ計</t>
    <rPh sb="0" eb="2">
      <t>モクヒョウ</t>
    </rPh>
    <rPh sb="2" eb="3">
      <t>ツ</t>
    </rPh>
    <rPh sb="4" eb="5">
      <t>ア</t>
    </rPh>
    <rPh sb="6" eb="7">
      <t>ケイ</t>
    </rPh>
    <phoneticPr fontId="4"/>
  </si>
  <si>
    <t>※既存は全体PL-新規</t>
    <rPh sb="1" eb="3">
      <t>キゾン</t>
    </rPh>
    <rPh sb="4" eb="6">
      <t>ゼンタイ</t>
    </rPh>
    <rPh sb="9" eb="11">
      <t>シンキ</t>
    </rPh>
    <phoneticPr fontId="4"/>
  </si>
  <si>
    <t>25年予算</t>
    <rPh sb="2" eb="3">
      <t>ネン</t>
    </rPh>
    <rPh sb="3" eb="5">
      <t>ヨサン</t>
    </rPh>
    <phoneticPr fontId="4"/>
  </si>
  <si>
    <t>※新規サービスの欄も追加</t>
    <rPh sb="1" eb="3">
      <t>シンキ</t>
    </rPh>
    <rPh sb="8" eb="9">
      <t>ラン</t>
    </rPh>
    <rPh sb="10" eb="12">
      <t>ツイカ</t>
    </rPh>
    <phoneticPr fontId="4"/>
  </si>
  <si>
    <t>■既存・新規目標</t>
    <rPh sb="1" eb="3">
      <t>キゾン</t>
    </rPh>
    <rPh sb="4" eb="6">
      <t>シンキ</t>
    </rPh>
    <rPh sb="6" eb="8">
      <t>モクヒョウ</t>
    </rPh>
    <phoneticPr fontId="4"/>
  </si>
  <si>
    <t>※サービス開発：単価の差分</t>
    <rPh sb="5" eb="7">
      <t>カイハツ</t>
    </rPh>
    <rPh sb="8" eb="10">
      <t>タンカ</t>
    </rPh>
    <rPh sb="11" eb="13">
      <t>サブン</t>
    </rPh>
    <phoneticPr fontId="4"/>
  </si>
  <si>
    <t>月間目標</t>
    <rPh sb="0" eb="2">
      <t>ゲッカン</t>
    </rPh>
    <rPh sb="2" eb="4">
      <t>モクヒョウ</t>
    </rPh>
    <phoneticPr fontId="4"/>
  </si>
  <si>
    <t>■考え方</t>
    <rPh sb="1" eb="2">
      <t>カンガ</t>
    </rPh>
    <rPh sb="3" eb="4">
      <t>カタ</t>
    </rPh>
    <phoneticPr fontId="4"/>
  </si>
  <si>
    <t>※スタンド新規</t>
    <rPh sb="5" eb="7">
      <t>シンキ</t>
    </rPh>
    <phoneticPr fontId="4"/>
  </si>
  <si>
    <t>実績の出し方は、月次管理表から抽出</t>
    <rPh sb="0" eb="2">
      <t>ジッセキ</t>
    </rPh>
    <rPh sb="3" eb="4">
      <t>ダ</t>
    </rPh>
    <rPh sb="5" eb="6">
      <t>カタ</t>
    </rPh>
    <rPh sb="8" eb="10">
      <t>ゲツジ</t>
    </rPh>
    <rPh sb="10" eb="12">
      <t>カンリ</t>
    </rPh>
    <rPh sb="12" eb="13">
      <t>ヒョウ</t>
    </rPh>
    <rPh sb="15" eb="17">
      <t>チュウシュツ</t>
    </rPh>
    <phoneticPr fontId="4"/>
  </si>
  <si>
    <t>フローは損益管理表より抽出</t>
    <rPh sb="4" eb="6">
      <t>ソンエキ</t>
    </rPh>
    <rPh sb="6" eb="8">
      <t>カンリ</t>
    </rPh>
    <rPh sb="8" eb="9">
      <t>ヒョウ</t>
    </rPh>
    <rPh sb="11" eb="13">
      <t>チュウシュツ</t>
    </rPh>
    <phoneticPr fontId="4"/>
  </si>
  <si>
    <t>■ステップ</t>
    <phoneticPr fontId="4"/>
  </si>
  <si>
    <t>各自の予算策定→サービス開発へのオーダーが湧く（逆算していく）</t>
    <rPh sb="0" eb="2">
      <t>カクジ</t>
    </rPh>
    <rPh sb="3" eb="5">
      <t>ヨサン</t>
    </rPh>
    <rPh sb="5" eb="7">
      <t>サクテイ</t>
    </rPh>
    <phoneticPr fontId="4"/>
  </si>
  <si>
    <t>予算達成に向けていつまでにそのサービスが必要なのかを明確にする。</t>
    <rPh sb="0" eb="2">
      <t>ヨサン</t>
    </rPh>
    <rPh sb="2" eb="4">
      <t>タッセイ</t>
    </rPh>
    <rPh sb="5" eb="6">
      <t>ム</t>
    </rPh>
    <rPh sb="20" eb="22">
      <t>ヒツヨウ</t>
    </rPh>
    <rPh sb="26" eb="28">
      <t>メイカク</t>
    </rPh>
    <phoneticPr fontId="4"/>
  </si>
  <si>
    <t>■物販詳細目標</t>
    <rPh sb="1" eb="3">
      <t>ブッパン</t>
    </rPh>
    <rPh sb="3" eb="5">
      <t>ショウサイ</t>
    </rPh>
    <rPh sb="5" eb="7">
      <t>モクヒョウ</t>
    </rPh>
    <phoneticPr fontId="4"/>
  </si>
  <si>
    <t>EC(ストア)</t>
    <phoneticPr fontId="4"/>
  </si>
  <si>
    <t>ステイ</t>
    <phoneticPr fontId="4"/>
  </si>
  <si>
    <t>卸売り</t>
    <rPh sb="0" eb="2">
      <t>オロシウ</t>
    </rPh>
    <phoneticPr fontId="4"/>
  </si>
  <si>
    <t>企業内手売り</t>
    <rPh sb="0" eb="3">
      <t>キギョウナイ</t>
    </rPh>
    <rPh sb="3" eb="4">
      <t>テ</t>
    </rPh>
    <rPh sb="4" eb="5">
      <t>ウ</t>
    </rPh>
    <phoneticPr fontId="4"/>
  </si>
  <si>
    <t>卸売り＋企業内</t>
    <rPh sb="0" eb="1">
      <t>オロ</t>
    </rPh>
    <rPh sb="1" eb="2">
      <t>ウ</t>
    </rPh>
    <rPh sb="4" eb="7">
      <t>キギョウナイ</t>
    </rPh>
    <phoneticPr fontId="4"/>
  </si>
  <si>
    <t>■セミナー/プログラム</t>
    <phoneticPr fontId="4"/>
  </si>
  <si>
    <t>プログラム</t>
    <phoneticPr fontId="4"/>
  </si>
  <si>
    <t>セミナー</t>
    <phoneticPr fontId="4"/>
  </si>
  <si>
    <t>■既存（アプリスタンド）</t>
    <rPh sb="1" eb="3">
      <t>キゾン</t>
    </rPh>
    <phoneticPr fontId="4"/>
  </si>
  <si>
    <t>売上高シート参照</t>
    <rPh sb="0" eb="2">
      <t>ウリアゲ</t>
    </rPh>
    <rPh sb="2" eb="3">
      <t>ダカ</t>
    </rPh>
    <rPh sb="6" eb="8">
      <t>サンショウ</t>
    </rPh>
    <phoneticPr fontId="4"/>
  </si>
  <si>
    <t>■既存計</t>
    <rPh sb="1" eb="3">
      <t>キゾン</t>
    </rPh>
    <rPh sb="3" eb="4">
      <t>ケイ</t>
    </rPh>
    <phoneticPr fontId="4"/>
  </si>
  <si>
    <t>■全体事業金額</t>
    <rPh sb="1" eb="3">
      <t>ゼンタイ</t>
    </rPh>
    <rPh sb="3" eb="5">
      <t>ジギョウ</t>
    </rPh>
    <rPh sb="5" eb="7">
      <t>キンガク</t>
    </rPh>
    <phoneticPr fontId="4"/>
  </si>
  <si>
    <t>フロー（セミナー他）</t>
    <rPh sb="8" eb="9">
      <t>ホカ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</si>
</sst>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%"/>
    <numFmt numFmtId="177" formatCode="#,##0.0;[Red]\-#,##0.0"/>
    <numFmt numFmtId="178" formatCode="0&quot;月&quot;"/>
    <numFmt numFmtId="179" formatCode="0&quot;累&quot;"/>
    <numFmt numFmtId="180" formatCode="0&quot;月概況&quot;"/>
    <numFmt numFmtId="181" formatCode="0&quot;月累月&quot;"/>
    <numFmt numFmtId="182" formatCode="0&quot;月単月&quot;"/>
    <numFmt numFmtId="183" formatCode="#,##0;[Red]\▲#,##0"/>
    <numFmt numFmtId="184" formatCode="0&quot;単&quot;"/>
  </numFmts>
  <fonts count="61">
    <font>
      <sz val="10"/>
      <color theme="1"/>
      <name val="ＭＳ 明朝"/>
      <family val="2"/>
      <charset val="128"/>
    </font>
    <font>
      <sz val="10"/>
      <color theme="1"/>
      <name val="ＭＳ 明朝"/>
      <family val="2"/>
      <charset val="128"/>
    </font>
    <font>
      <b/>
      <sz val="13"/>
      <color theme="3"/>
      <name val="ＭＳ 明朝"/>
      <family val="2"/>
      <charset val="128"/>
    </font>
    <font>
      <sz val="9"/>
      <color theme="1"/>
      <name val="BIZ UDPゴシック"/>
      <family val="3"/>
      <charset val="128"/>
    </font>
    <font>
      <sz val="6"/>
      <name val="ＭＳ 明朝"/>
      <family val="2"/>
      <charset val="128"/>
    </font>
    <font>
      <sz val="9"/>
      <color theme="0" tint="-0.249977111117893"/>
      <name val="BIZ UDPゴシック"/>
      <family val="3"/>
      <charset val="128"/>
    </font>
    <font>
      <sz val="9"/>
      <name val="BIZ UDPゴシック"/>
      <family val="3"/>
      <charset val="128"/>
    </font>
    <font>
      <b/>
      <sz val="9"/>
      <color theme="1"/>
      <name val="BIZ UDPゴシック"/>
      <family val="3"/>
      <charset val="128"/>
    </font>
    <font>
      <b/>
      <sz val="9"/>
      <color theme="0"/>
      <name val="BIZ UDPゴシック"/>
      <family val="3"/>
      <charset val="128"/>
    </font>
    <font>
      <b/>
      <sz val="9"/>
      <name val="BIZ UDPゴシック"/>
      <family val="3"/>
      <charset val="128"/>
    </font>
    <font>
      <sz val="9"/>
      <color theme="0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rgb="FFFF0000"/>
      <name val="BIZ UDPゴシック"/>
      <family val="3"/>
      <charset val="128"/>
    </font>
    <font>
      <sz val="8"/>
      <color theme="1"/>
      <name val="BIZ UDPゴシック"/>
      <family val="3"/>
    </font>
    <font>
      <sz val="8"/>
      <color theme="0" tint="-0.499984740745262"/>
      <name val="BIZ UDPゴシック"/>
      <family val="3"/>
      <charset val="128"/>
    </font>
    <font>
      <sz val="8"/>
      <color theme="0"/>
      <name val="BIZ UDPゴシック"/>
      <family val="3"/>
      <charset val="128"/>
    </font>
    <font>
      <sz val="8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sz val="8"/>
      <color rgb="FFFF0000"/>
      <name val="BIZ UDPゴシック"/>
      <family val="3"/>
    </font>
    <font>
      <sz val="8"/>
      <color theme="0" tint="-0.499984740745262"/>
      <name val="BIZ UDPゴシック"/>
      <family val="3"/>
    </font>
    <font>
      <sz val="8"/>
      <name val="BIZ UDPゴシック"/>
      <family val="3"/>
    </font>
    <font>
      <sz val="8"/>
      <color theme="0"/>
      <name val="BIZ UDPゴシック"/>
      <family val="3"/>
    </font>
    <font>
      <sz val="10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color theme="1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8"/>
      <color theme="1"/>
      <name val="游ゴシック Light"/>
      <family val="3"/>
      <charset val="128"/>
      <scheme val="major"/>
    </font>
    <font>
      <b/>
      <sz val="8"/>
      <color theme="1"/>
      <name val="BIZ UDPゴシック"/>
      <family val="3"/>
    </font>
    <font>
      <sz val="10"/>
      <color theme="1"/>
      <name val="BIZ UDPゴシック"/>
      <family val="3"/>
    </font>
    <font>
      <sz val="10"/>
      <color theme="1"/>
      <name val="Meiryo UI"/>
      <family val="3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</font>
    <font>
      <sz val="10"/>
      <name val="BIZ UDPゴシック"/>
      <family val="3"/>
      <charset val="128"/>
    </font>
    <font>
      <sz val="10"/>
      <name val="BIZ UDPゴシック"/>
      <family val="3"/>
    </font>
    <font>
      <sz val="10"/>
      <color rgb="FF00B050"/>
      <name val="BIZ UDPゴシック"/>
      <family val="3"/>
      <charset val="128"/>
    </font>
    <font>
      <sz val="10"/>
      <color theme="5"/>
      <name val="BIZ UDPゴシック"/>
      <family val="3"/>
      <charset val="128"/>
    </font>
    <font>
      <sz val="10"/>
      <color theme="4"/>
      <name val="BIZ UDPゴシック"/>
      <family val="3"/>
      <charset val="128"/>
    </font>
    <font>
      <sz val="10"/>
      <color rgb="FFC00000"/>
      <name val="BIZ UDPゴシック"/>
      <family val="3"/>
      <charset val="128"/>
    </font>
    <font>
      <sz val="10"/>
      <color rgb="FF00B050"/>
      <name val="BIZ UDPゴシック"/>
      <family val="3"/>
    </font>
    <font>
      <sz val="10"/>
      <color rgb="FFFF5050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10"/>
      <color rgb="FF00B050"/>
      <name val="BIZ UDPゴシック"/>
      <family val="3"/>
      <charset val="128"/>
    </font>
    <font>
      <b/>
      <sz val="10"/>
      <color rgb="FF00B050"/>
      <name val="BIZ UDPゴシック"/>
      <family val="3"/>
    </font>
    <font>
      <b/>
      <sz val="10"/>
      <name val="BIZ UDPゴシック"/>
      <family val="3"/>
      <charset val="128"/>
    </font>
    <font>
      <b/>
      <sz val="10"/>
      <color theme="1"/>
      <name val="BIZ UDPゴシック"/>
      <family val="3"/>
    </font>
    <font>
      <b/>
      <sz val="10"/>
      <color theme="4"/>
      <name val="BIZ UDPゴシック"/>
      <family val="3"/>
      <charset val="128"/>
    </font>
    <font>
      <b/>
      <sz val="10"/>
      <color rgb="FFFF5050"/>
      <name val="BIZ UDPゴシック"/>
      <family val="3"/>
      <charset val="128"/>
    </font>
    <font>
      <b/>
      <sz val="10"/>
      <color theme="5"/>
      <name val="BIZ UDPゴシック"/>
      <family val="3"/>
      <charset val="128"/>
    </font>
    <font>
      <sz val="10"/>
      <color rgb="FFFF5050"/>
      <name val="BIZ UDPゴシック"/>
      <family val="3"/>
    </font>
    <font>
      <b/>
      <sz val="10"/>
      <color rgb="FFFF5050"/>
      <name val="BIZ UDPゴシック"/>
      <family val="3"/>
    </font>
    <font>
      <b/>
      <sz val="10"/>
      <color theme="4"/>
      <name val="BIZ UDPゴシック"/>
      <family val="3"/>
    </font>
    <font>
      <sz val="10"/>
      <color theme="5"/>
      <name val="BIZ UDPゴシック"/>
      <family val="3"/>
    </font>
    <font>
      <sz val="10"/>
      <color theme="4"/>
      <name val="BIZ UDPゴシック"/>
      <family val="3"/>
    </font>
    <font>
      <sz val="10"/>
      <color rgb="FFC00000"/>
      <name val="BIZ UDPゴシック"/>
      <family val="3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medium">
        <color indexed="64"/>
      </right>
      <top/>
      <bottom style="double">
        <color indexed="64"/>
      </bottom>
      <diagonal/>
    </border>
    <border>
      <left style="dotted">
        <color indexed="64"/>
      </left>
      <right style="medium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uble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9" fontId="3" fillId="2" borderId="0" xfId="2" applyFont="1" applyFill="1">
      <alignment vertical="center"/>
    </xf>
    <xf numFmtId="38" fontId="3" fillId="0" borderId="0" xfId="1" applyFont="1">
      <alignment vertical="center"/>
    </xf>
    <xf numFmtId="38" fontId="3" fillId="2" borderId="0" xfId="1" applyFont="1" applyFill="1">
      <alignment vertical="center"/>
    </xf>
    <xf numFmtId="9" fontId="3" fillId="0" borderId="0" xfId="2" applyFont="1">
      <alignment vertical="center"/>
    </xf>
    <xf numFmtId="38" fontId="3" fillId="0" borderId="0" xfId="1" applyFont="1" applyFill="1">
      <alignment vertical="center"/>
    </xf>
    <xf numFmtId="0" fontId="5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38" fontId="3" fillId="4" borderId="0" xfId="1" applyFont="1" applyFill="1">
      <alignment vertical="center"/>
    </xf>
    <xf numFmtId="10" fontId="3" fillId="0" borderId="0" xfId="2" applyNumberFormat="1" applyFont="1">
      <alignment vertical="center"/>
    </xf>
    <xf numFmtId="10" fontId="3" fillId="0" borderId="0" xfId="2" applyNumberFormat="1" applyFont="1" applyFill="1">
      <alignment vertical="center"/>
    </xf>
    <xf numFmtId="10" fontId="3" fillId="2" borderId="0" xfId="2" applyNumberFormat="1" applyFont="1" applyFill="1">
      <alignment vertical="center"/>
    </xf>
    <xf numFmtId="0" fontId="3" fillId="5" borderId="0" xfId="0" applyFont="1" applyFill="1">
      <alignment vertical="center"/>
    </xf>
    <xf numFmtId="38" fontId="3" fillId="3" borderId="0" xfId="1" applyFont="1" applyFill="1">
      <alignment vertical="center"/>
    </xf>
    <xf numFmtId="0" fontId="3" fillId="6" borderId="0" xfId="0" applyFont="1" applyFill="1">
      <alignment vertical="center"/>
    </xf>
    <xf numFmtId="9" fontId="3" fillId="6" borderId="0" xfId="2" applyFont="1" applyFill="1">
      <alignment vertical="center"/>
    </xf>
    <xf numFmtId="10" fontId="6" fillId="2" borderId="0" xfId="2" applyNumberFormat="1" applyFont="1" applyFill="1">
      <alignment vertical="center"/>
    </xf>
    <xf numFmtId="0" fontId="3" fillId="0" borderId="1" xfId="0" applyFont="1" applyBorder="1">
      <alignment vertical="center"/>
    </xf>
    <xf numFmtId="38" fontId="3" fillId="0" borderId="0" xfId="1" applyFont="1" applyFill="1" applyBorder="1">
      <alignment vertical="center"/>
    </xf>
    <xf numFmtId="38" fontId="3" fillId="0" borderId="2" xfId="1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1" applyFont="1" applyBorder="1" applyAlignment="1">
      <alignment horizontal="center" vertical="center"/>
    </xf>
    <xf numFmtId="38" fontId="3" fillId="0" borderId="9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8" fontId="3" fillId="0" borderId="0" xfId="1" applyFont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0" xfId="0" applyFont="1" applyFill="1" applyBorder="1">
      <alignment vertical="center"/>
    </xf>
    <xf numFmtId="38" fontId="3" fillId="3" borderId="0" xfId="1" applyFont="1" applyFill="1" applyBorder="1">
      <alignment vertical="center"/>
    </xf>
    <xf numFmtId="38" fontId="3" fillId="3" borderId="2" xfId="1" applyFont="1" applyFill="1" applyBorder="1">
      <alignment vertical="center"/>
    </xf>
    <xf numFmtId="0" fontId="3" fillId="3" borderId="2" xfId="0" applyFont="1" applyFill="1" applyBorder="1">
      <alignment vertical="center"/>
    </xf>
    <xf numFmtId="176" fontId="3" fillId="0" borderId="0" xfId="2" applyNumberFormat="1" applyFont="1">
      <alignment vertical="center"/>
    </xf>
    <xf numFmtId="177" fontId="3" fillId="0" borderId="0" xfId="1" applyNumberFormat="1" applyFont="1">
      <alignment vertical="center"/>
    </xf>
    <xf numFmtId="176" fontId="3" fillId="2" borderId="0" xfId="2" applyNumberFormat="1" applyFont="1" applyFill="1">
      <alignment vertical="center"/>
    </xf>
    <xf numFmtId="9" fontId="3" fillId="0" borderId="0" xfId="2" applyFont="1" applyFill="1" applyBorder="1">
      <alignment vertical="center"/>
    </xf>
    <xf numFmtId="9" fontId="3" fillId="0" borderId="2" xfId="2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5" xfId="0" applyFont="1" applyBorder="1">
      <alignment vertical="center"/>
    </xf>
    <xf numFmtId="9" fontId="3" fillId="0" borderId="4" xfId="2" applyFont="1" applyFill="1" applyBorder="1">
      <alignment vertical="center"/>
    </xf>
    <xf numFmtId="9" fontId="3" fillId="0" borderId="5" xfId="2" applyFont="1" applyFill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8" fillId="7" borderId="11" xfId="0" applyFont="1" applyFill="1" applyBorder="1">
      <alignment vertical="center"/>
    </xf>
    <xf numFmtId="0" fontId="8" fillId="7" borderId="12" xfId="0" applyFont="1" applyFill="1" applyBorder="1">
      <alignment vertical="center"/>
    </xf>
    <xf numFmtId="0" fontId="8" fillId="8" borderId="11" xfId="0" applyFont="1" applyFill="1" applyBorder="1">
      <alignment vertical="center"/>
    </xf>
    <xf numFmtId="0" fontId="8" fillId="8" borderId="12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11" xfId="0" applyFont="1" applyBorder="1">
      <alignment vertical="center"/>
    </xf>
    <xf numFmtId="0" fontId="9" fillId="0" borderId="1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9" fontId="6" fillId="0" borderId="0" xfId="2" applyFont="1" applyFill="1" applyBorder="1">
      <alignment vertical="center"/>
    </xf>
    <xf numFmtId="9" fontId="6" fillId="0" borderId="2" xfId="2" applyFont="1" applyFill="1" applyBorder="1">
      <alignment vertical="center"/>
    </xf>
    <xf numFmtId="0" fontId="6" fillId="0" borderId="0" xfId="0" applyFont="1">
      <alignment vertical="center"/>
    </xf>
    <xf numFmtId="0" fontId="8" fillId="9" borderId="11" xfId="0" applyFont="1" applyFill="1" applyBorder="1">
      <alignment vertical="center"/>
    </xf>
    <xf numFmtId="0" fontId="8" fillId="9" borderId="12" xfId="0" applyFont="1" applyFill="1" applyBorder="1">
      <alignment vertical="center"/>
    </xf>
    <xf numFmtId="38" fontId="3" fillId="6" borderId="0" xfId="1" applyFont="1" applyFill="1">
      <alignment vertical="center"/>
    </xf>
    <xf numFmtId="0" fontId="3" fillId="10" borderId="0" xfId="0" applyFont="1" applyFill="1">
      <alignment vertical="center"/>
    </xf>
    <xf numFmtId="38" fontId="3" fillId="10" borderId="0" xfId="1" applyFont="1" applyFill="1">
      <alignment vertical="center"/>
    </xf>
    <xf numFmtId="0" fontId="10" fillId="8" borderId="0" xfId="0" applyFont="1" applyFill="1">
      <alignment vertical="center"/>
    </xf>
    <xf numFmtId="38" fontId="10" fillId="8" borderId="0" xfId="1" applyFont="1" applyFill="1">
      <alignment vertical="center"/>
    </xf>
    <xf numFmtId="0" fontId="11" fillId="0" borderId="0" xfId="0" applyFont="1">
      <alignment vertical="center"/>
    </xf>
    <xf numFmtId="0" fontId="11" fillId="0" borderId="13" xfId="0" applyFont="1" applyBorder="1">
      <alignment vertical="center"/>
    </xf>
    <xf numFmtId="0" fontId="11" fillId="0" borderId="13" xfId="0" applyFont="1" applyBorder="1" applyAlignment="1">
      <alignment horizontal="center" vertical="center"/>
    </xf>
    <xf numFmtId="38" fontId="11" fillId="0" borderId="13" xfId="1" applyFont="1" applyBorder="1">
      <alignment vertical="center"/>
    </xf>
    <xf numFmtId="38" fontId="11" fillId="0" borderId="0" xfId="1" applyFont="1">
      <alignment vertical="center"/>
    </xf>
    <xf numFmtId="38" fontId="11" fillId="0" borderId="0" xfId="0" applyNumberFormat="1" applyFont="1">
      <alignment vertical="center"/>
    </xf>
    <xf numFmtId="38" fontId="11" fillId="0" borderId="13" xfId="0" applyNumberFormat="1" applyFont="1" applyBorder="1">
      <alignment vertical="center"/>
    </xf>
    <xf numFmtId="0" fontId="11" fillId="0" borderId="18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6" xfId="0" applyFont="1" applyBorder="1">
      <alignment vertical="center"/>
    </xf>
    <xf numFmtId="0" fontId="11" fillId="2" borderId="15" xfId="0" applyFont="1" applyFill="1" applyBorder="1">
      <alignment vertical="center"/>
    </xf>
    <xf numFmtId="38" fontId="11" fillId="2" borderId="15" xfId="1" applyFont="1" applyFill="1" applyBorder="1">
      <alignment vertical="center"/>
    </xf>
    <xf numFmtId="0" fontId="11" fillId="2" borderId="13" xfId="0" applyFont="1" applyFill="1" applyBorder="1">
      <alignment vertical="center"/>
    </xf>
    <xf numFmtId="38" fontId="11" fillId="2" borderId="13" xfId="1" applyFont="1" applyFill="1" applyBorder="1">
      <alignment vertical="center"/>
    </xf>
    <xf numFmtId="38" fontId="11" fillId="2" borderId="20" xfId="1" applyFont="1" applyFill="1" applyBorder="1">
      <alignment vertical="center"/>
    </xf>
    <xf numFmtId="0" fontId="11" fillId="2" borderId="20" xfId="0" applyFont="1" applyFill="1" applyBorder="1">
      <alignment vertical="center"/>
    </xf>
    <xf numFmtId="38" fontId="11" fillId="2" borderId="23" xfId="1" applyFont="1" applyFill="1" applyBorder="1">
      <alignment vertical="center"/>
    </xf>
    <xf numFmtId="0" fontId="11" fillId="11" borderId="15" xfId="0" applyFont="1" applyFill="1" applyBorder="1">
      <alignment vertical="center"/>
    </xf>
    <xf numFmtId="0" fontId="11" fillId="11" borderId="13" xfId="0" applyFont="1" applyFill="1" applyBorder="1">
      <alignment vertical="center"/>
    </xf>
    <xf numFmtId="0" fontId="11" fillId="11" borderId="20" xfId="0" applyFont="1" applyFill="1" applyBorder="1">
      <alignment vertical="center"/>
    </xf>
    <xf numFmtId="38" fontId="11" fillId="11" borderId="15" xfId="1" applyFont="1" applyFill="1" applyBorder="1">
      <alignment vertical="center"/>
    </xf>
    <xf numFmtId="3" fontId="11" fillId="11" borderId="13" xfId="0" applyNumberFormat="1" applyFont="1" applyFill="1" applyBorder="1">
      <alignment vertical="center"/>
    </xf>
    <xf numFmtId="38" fontId="12" fillId="2" borderId="23" xfId="1" applyFont="1" applyFill="1" applyBorder="1">
      <alignment vertical="center"/>
    </xf>
    <xf numFmtId="0" fontId="11" fillId="0" borderId="28" xfId="0" applyFont="1" applyBorder="1" applyAlignment="1">
      <alignment horizontal="center" vertical="center"/>
    </xf>
    <xf numFmtId="38" fontId="11" fillId="2" borderId="29" xfId="1" applyFont="1" applyFill="1" applyBorder="1">
      <alignment vertical="center"/>
    </xf>
    <xf numFmtId="0" fontId="11" fillId="2" borderId="30" xfId="0" applyFont="1" applyFill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>
      <alignment vertical="center"/>
    </xf>
    <xf numFmtId="38" fontId="11" fillId="0" borderId="34" xfId="0" applyNumberFormat="1" applyFont="1" applyBorder="1">
      <alignment vertical="center"/>
    </xf>
    <xf numFmtId="0" fontId="11" fillId="0" borderId="34" xfId="0" applyFont="1" applyBorder="1">
      <alignment vertical="center"/>
    </xf>
    <xf numFmtId="0" fontId="11" fillId="0" borderId="35" xfId="0" applyFont="1" applyBorder="1">
      <alignment vertical="center"/>
    </xf>
    <xf numFmtId="0" fontId="11" fillId="0" borderId="36" xfId="0" applyFont="1" applyBorder="1">
      <alignment vertical="center"/>
    </xf>
    <xf numFmtId="38" fontId="11" fillId="0" borderId="35" xfId="0" applyNumberFormat="1" applyFont="1" applyBorder="1">
      <alignment vertical="center"/>
    </xf>
    <xf numFmtId="0" fontId="11" fillId="0" borderId="32" xfId="0" applyFont="1" applyBorder="1">
      <alignment vertical="center"/>
    </xf>
    <xf numFmtId="38" fontId="11" fillId="11" borderId="13" xfId="1" applyFont="1" applyFill="1" applyBorder="1">
      <alignment vertical="center"/>
    </xf>
    <xf numFmtId="38" fontId="11" fillId="2" borderId="28" xfId="1" applyFont="1" applyFill="1" applyBorder="1">
      <alignment vertical="center"/>
    </xf>
    <xf numFmtId="0" fontId="11" fillId="11" borderId="12" xfId="0" applyFont="1" applyFill="1" applyBorder="1">
      <alignment vertical="center"/>
    </xf>
    <xf numFmtId="0" fontId="11" fillId="0" borderId="22" xfId="0" applyFont="1" applyBorder="1" applyAlignment="1">
      <alignment horizontal="center" vertical="center"/>
    </xf>
    <xf numFmtId="0" fontId="11" fillId="11" borderId="37" xfId="0" applyFont="1" applyFill="1" applyBorder="1">
      <alignment vertical="center"/>
    </xf>
    <xf numFmtId="0" fontId="11" fillId="11" borderId="17" xfId="0" applyFont="1" applyFill="1" applyBorder="1">
      <alignment vertical="center"/>
    </xf>
    <xf numFmtId="0" fontId="11" fillId="11" borderId="19" xfId="0" applyFont="1" applyFill="1" applyBorder="1">
      <alignment vertical="center"/>
    </xf>
    <xf numFmtId="0" fontId="11" fillId="11" borderId="14" xfId="0" applyFont="1" applyFill="1" applyBorder="1">
      <alignment vertical="center"/>
    </xf>
    <xf numFmtId="38" fontId="12" fillId="2" borderId="22" xfId="1" applyFont="1" applyFill="1" applyBorder="1">
      <alignment vertical="center"/>
    </xf>
    <xf numFmtId="0" fontId="11" fillId="12" borderId="13" xfId="0" applyFont="1" applyFill="1" applyBorder="1">
      <alignment vertical="center"/>
    </xf>
    <xf numFmtId="0" fontId="11" fillId="12" borderId="13" xfId="0" applyFont="1" applyFill="1" applyBorder="1" applyAlignment="1">
      <alignment horizontal="center" vertical="center"/>
    </xf>
    <xf numFmtId="0" fontId="11" fillId="13" borderId="13" xfId="0" applyFont="1" applyFill="1" applyBorder="1">
      <alignment vertical="center"/>
    </xf>
    <xf numFmtId="0" fontId="11" fillId="13" borderId="13" xfId="0" applyFont="1" applyFill="1" applyBorder="1" applyAlignment="1">
      <alignment horizontal="center" vertical="center"/>
    </xf>
    <xf numFmtId="0" fontId="11" fillId="2" borderId="31" xfId="0" applyFont="1" applyFill="1" applyBorder="1">
      <alignment vertical="center"/>
    </xf>
    <xf numFmtId="0" fontId="11" fillId="2" borderId="29" xfId="0" applyFont="1" applyFill="1" applyBorder="1">
      <alignment vertical="center"/>
    </xf>
    <xf numFmtId="38" fontId="11" fillId="2" borderId="40" xfId="1" applyFont="1" applyFill="1" applyBorder="1">
      <alignment vertical="center"/>
    </xf>
    <xf numFmtId="38" fontId="11" fillId="2" borderId="34" xfId="1" applyFont="1" applyFill="1" applyBorder="1">
      <alignment vertical="center"/>
    </xf>
    <xf numFmtId="38" fontId="11" fillId="2" borderId="36" xfId="1" applyFont="1" applyFill="1" applyBorder="1">
      <alignment vertical="center"/>
    </xf>
    <xf numFmtId="38" fontId="11" fillId="2" borderId="33" xfId="1" applyFont="1" applyFill="1" applyBorder="1">
      <alignment vertical="center"/>
    </xf>
    <xf numFmtId="0" fontId="11" fillId="0" borderId="41" xfId="0" applyFont="1" applyBorder="1" applyAlignment="1">
      <alignment horizontal="center" vertical="center"/>
    </xf>
    <xf numFmtId="38" fontId="11" fillId="2" borderId="42" xfId="1" applyFont="1" applyFill="1" applyBorder="1">
      <alignment vertical="center"/>
    </xf>
    <xf numFmtId="38" fontId="11" fillId="2" borderId="43" xfId="1" applyFont="1" applyFill="1" applyBorder="1">
      <alignment vertical="center"/>
    </xf>
    <xf numFmtId="38" fontId="11" fillId="2" borderId="44" xfId="1" applyFont="1" applyFill="1" applyBorder="1">
      <alignment vertical="center"/>
    </xf>
    <xf numFmtId="0" fontId="11" fillId="0" borderId="45" xfId="0" applyFont="1" applyBorder="1" applyAlignment="1">
      <alignment horizontal="center" vertical="center"/>
    </xf>
    <xf numFmtId="38" fontId="11" fillId="0" borderId="45" xfId="0" applyNumberFormat="1" applyFont="1" applyBorder="1">
      <alignment vertical="center"/>
    </xf>
    <xf numFmtId="0" fontId="11" fillId="0" borderId="38" xfId="0" applyFont="1" applyBorder="1">
      <alignment vertical="center"/>
    </xf>
    <xf numFmtId="0" fontId="11" fillId="0" borderId="39" xfId="0" applyFont="1" applyBorder="1">
      <alignment vertical="center"/>
    </xf>
    <xf numFmtId="38" fontId="11" fillId="2" borderId="25" xfId="1" applyFont="1" applyFill="1" applyBorder="1">
      <alignment vertical="center"/>
    </xf>
    <xf numFmtId="38" fontId="11" fillId="2" borderId="26" xfId="1" applyFont="1" applyFill="1" applyBorder="1">
      <alignment vertical="center"/>
    </xf>
    <xf numFmtId="0" fontId="11" fillId="2" borderId="26" xfId="0" applyFont="1" applyFill="1" applyBorder="1">
      <alignment vertical="center"/>
    </xf>
    <xf numFmtId="38" fontId="11" fillId="2" borderId="46" xfId="1" applyFont="1" applyFill="1" applyBorder="1">
      <alignment vertical="center"/>
    </xf>
    <xf numFmtId="38" fontId="11" fillId="2" borderId="47" xfId="1" applyFont="1" applyFill="1" applyBorder="1">
      <alignment vertical="center"/>
    </xf>
    <xf numFmtId="0" fontId="11" fillId="0" borderId="48" xfId="0" applyFont="1" applyBorder="1">
      <alignment vertical="center"/>
    </xf>
    <xf numFmtId="0" fontId="11" fillId="11" borderId="49" xfId="0" applyFont="1" applyFill="1" applyBorder="1">
      <alignment vertical="center"/>
    </xf>
    <xf numFmtId="38" fontId="11" fillId="11" borderId="50" xfId="1" applyFont="1" applyFill="1" applyBorder="1">
      <alignment vertical="center"/>
    </xf>
    <xf numFmtId="38" fontId="11" fillId="2" borderId="50" xfId="1" applyFont="1" applyFill="1" applyBorder="1">
      <alignment vertical="center"/>
    </xf>
    <xf numFmtId="38" fontId="11" fillId="2" borderId="51" xfId="1" applyFont="1" applyFill="1" applyBorder="1">
      <alignment vertical="center"/>
    </xf>
    <xf numFmtId="38" fontId="11" fillId="2" borderId="48" xfId="1" applyFont="1" applyFill="1" applyBorder="1">
      <alignment vertical="center"/>
    </xf>
    <xf numFmtId="0" fontId="11" fillId="0" borderId="52" xfId="0" applyFont="1" applyBorder="1">
      <alignment vertical="center"/>
    </xf>
    <xf numFmtId="38" fontId="11" fillId="11" borderId="39" xfId="1" applyFont="1" applyFill="1" applyBorder="1">
      <alignment vertical="center"/>
    </xf>
    <xf numFmtId="38" fontId="11" fillId="11" borderId="53" xfId="1" applyFont="1" applyFill="1" applyBorder="1">
      <alignment vertical="center"/>
    </xf>
    <xf numFmtId="38" fontId="11" fillId="2" borderId="53" xfId="1" applyFont="1" applyFill="1" applyBorder="1">
      <alignment vertical="center"/>
    </xf>
    <xf numFmtId="38" fontId="11" fillId="0" borderId="13" xfId="1" applyFont="1" applyBorder="1" applyAlignment="1">
      <alignment horizontal="center" vertical="center"/>
    </xf>
    <xf numFmtId="38" fontId="11" fillId="2" borderId="55" xfId="1" applyFont="1" applyFill="1" applyBorder="1">
      <alignment vertical="center"/>
    </xf>
    <xf numFmtId="38" fontId="11" fillId="2" borderId="56" xfId="1" applyFont="1" applyFill="1" applyBorder="1">
      <alignment vertical="center"/>
    </xf>
    <xf numFmtId="38" fontId="11" fillId="2" borderId="45" xfId="1" applyFont="1" applyFill="1" applyBorder="1">
      <alignment vertical="center"/>
    </xf>
    <xf numFmtId="0" fontId="11" fillId="0" borderId="57" xfId="0" applyFont="1" applyBorder="1">
      <alignment vertical="center"/>
    </xf>
    <xf numFmtId="0" fontId="11" fillId="0" borderId="17" xfId="0" applyFont="1" applyBorder="1">
      <alignment vertical="center"/>
    </xf>
    <xf numFmtId="38" fontId="11" fillId="0" borderId="33" xfId="0" applyNumberFormat="1" applyFont="1" applyBorder="1">
      <alignment vertical="center"/>
    </xf>
    <xf numFmtId="38" fontId="11" fillId="0" borderId="40" xfId="0" applyNumberFormat="1" applyFont="1" applyBorder="1">
      <alignment vertical="center"/>
    </xf>
    <xf numFmtId="38" fontId="11" fillId="0" borderId="32" xfId="0" applyNumberFormat="1" applyFont="1" applyBorder="1">
      <alignment vertical="center"/>
    </xf>
    <xf numFmtId="0" fontId="11" fillId="0" borderId="4" xfId="0" applyFont="1" applyBorder="1">
      <alignment vertical="center"/>
    </xf>
    <xf numFmtId="0" fontId="11" fillId="0" borderId="58" xfId="0" applyFont="1" applyBorder="1">
      <alignment vertical="center"/>
    </xf>
    <xf numFmtId="0" fontId="11" fillId="0" borderId="55" xfId="0" applyFont="1" applyBorder="1">
      <alignment vertical="center"/>
    </xf>
    <xf numFmtId="38" fontId="11" fillId="2" borderId="15" xfId="0" applyNumberFormat="1" applyFont="1" applyFill="1" applyBorder="1">
      <alignment vertical="center"/>
    </xf>
    <xf numFmtId="38" fontId="11" fillId="0" borderId="52" xfId="0" applyNumberFormat="1" applyFont="1" applyBorder="1">
      <alignment vertical="center"/>
    </xf>
    <xf numFmtId="38" fontId="11" fillId="11" borderId="17" xfId="1" applyFont="1" applyFill="1" applyBorder="1">
      <alignment vertical="center"/>
    </xf>
    <xf numFmtId="38" fontId="11" fillId="0" borderId="54" xfId="0" applyNumberFormat="1" applyFont="1" applyBorder="1">
      <alignment vertical="center"/>
    </xf>
    <xf numFmtId="38" fontId="11" fillId="2" borderId="30" xfId="1" applyFont="1" applyFill="1" applyBorder="1">
      <alignment vertical="center"/>
    </xf>
    <xf numFmtId="38" fontId="11" fillId="2" borderId="12" xfId="1" applyFont="1" applyFill="1" applyBorder="1">
      <alignment vertical="center"/>
    </xf>
    <xf numFmtId="38" fontId="13" fillId="2" borderId="12" xfId="1" applyFont="1" applyFill="1" applyBorder="1">
      <alignment vertical="center"/>
    </xf>
    <xf numFmtId="38" fontId="13" fillId="2" borderId="13" xfId="1" applyFont="1" applyFill="1" applyBorder="1">
      <alignment vertical="center"/>
    </xf>
    <xf numFmtId="38" fontId="11" fillId="2" borderId="31" xfId="1" applyFont="1" applyFill="1" applyBorder="1">
      <alignment vertical="center"/>
    </xf>
    <xf numFmtId="38" fontId="12" fillId="2" borderId="14" xfId="1" applyFont="1" applyFill="1" applyBorder="1">
      <alignment vertical="center"/>
    </xf>
    <xf numFmtId="38" fontId="12" fillId="2" borderId="59" xfId="1" applyFont="1" applyFill="1" applyBorder="1">
      <alignment vertical="center"/>
    </xf>
    <xf numFmtId="0" fontId="12" fillId="0" borderId="0" xfId="0" applyFont="1">
      <alignment vertical="center"/>
    </xf>
    <xf numFmtId="0" fontId="11" fillId="14" borderId="0" xfId="0" applyFont="1" applyFill="1">
      <alignment vertical="center"/>
    </xf>
    <xf numFmtId="38" fontId="11" fillId="14" borderId="0" xfId="1" applyFont="1" applyFill="1">
      <alignment vertical="center"/>
    </xf>
    <xf numFmtId="38" fontId="11" fillId="2" borderId="0" xfId="1" applyFont="1" applyFill="1">
      <alignment vertical="center"/>
    </xf>
    <xf numFmtId="0" fontId="14" fillId="0" borderId="0" xfId="0" applyFont="1">
      <alignment vertical="center"/>
    </xf>
    <xf numFmtId="0" fontId="11" fillId="3" borderId="0" xfId="0" applyFont="1" applyFill="1">
      <alignment vertical="center"/>
    </xf>
    <xf numFmtId="38" fontId="11" fillId="3" borderId="0" xfId="1" applyFont="1" applyFill="1">
      <alignment vertical="center"/>
    </xf>
    <xf numFmtId="0" fontId="16" fillId="3" borderId="0" xfId="0" applyFont="1" applyFill="1">
      <alignment vertical="center"/>
    </xf>
    <xf numFmtId="38" fontId="16" fillId="3" borderId="0" xfId="1" applyFont="1" applyFill="1">
      <alignment vertical="center"/>
    </xf>
    <xf numFmtId="38" fontId="11" fillId="0" borderId="0" xfId="1" applyFont="1" applyFill="1">
      <alignment vertical="center"/>
    </xf>
    <xf numFmtId="0" fontId="15" fillId="15" borderId="0" xfId="0" applyFont="1" applyFill="1">
      <alignment vertical="center"/>
    </xf>
    <xf numFmtId="38" fontId="15" fillId="15" borderId="0" xfId="1" applyFont="1" applyFill="1">
      <alignment vertical="center"/>
    </xf>
    <xf numFmtId="0" fontId="15" fillId="7" borderId="0" xfId="0" applyFont="1" applyFill="1">
      <alignment vertical="center"/>
    </xf>
    <xf numFmtId="38" fontId="15" fillId="7" borderId="0" xfId="1" applyFont="1" applyFill="1">
      <alignment vertical="center"/>
    </xf>
    <xf numFmtId="0" fontId="15" fillId="16" borderId="0" xfId="0" applyFont="1" applyFill="1">
      <alignment vertical="center"/>
    </xf>
    <xf numFmtId="38" fontId="15" fillId="16" borderId="0" xfId="1" applyFont="1" applyFill="1">
      <alignment vertical="center"/>
    </xf>
    <xf numFmtId="38" fontId="12" fillId="0" borderId="0" xfId="1" applyFont="1">
      <alignment vertical="center"/>
    </xf>
    <xf numFmtId="0" fontId="13" fillId="0" borderId="0" xfId="0" applyFont="1">
      <alignment vertical="center"/>
    </xf>
    <xf numFmtId="38" fontId="13" fillId="0" borderId="0" xfId="1" applyFont="1">
      <alignment vertical="center"/>
    </xf>
    <xf numFmtId="0" fontId="13" fillId="14" borderId="0" xfId="0" applyFont="1" applyFill="1">
      <alignment vertical="center"/>
    </xf>
    <xf numFmtId="38" fontId="13" fillId="14" borderId="0" xfId="1" applyFont="1" applyFill="1">
      <alignment vertical="center"/>
    </xf>
    <xf numFmtId="38" fontId="13" fillId="2" borderId="0" xfId="1" applyFont="1" applyFill="1">
      <alignment vertical="center"/>
    </xf>
    <xf numFmtId="0" fontId="18" fillId="0" borderId="0" xfId="0" applyFont="1">
      <alignment vertical="center"/>
    </xf>
    <xf numFmtId="0" fontId="13" fillId="3" borderId="0" xfId="0" applyFont="1" applyFill="1">
      <alignment vertical="center"/>
    </xf>
    <xf numFmtId="38" fontId="13" fillId="3" borderId="0" xfId="1" applyFont="1" applyFill="1">
      <alignment vertical="center"/>
    </xf>
    <xf numFmtId="0" fontId="19" fillId="0" borderId="0" xfId="0" applyFont="1">
      <alignment vertical="center"/>
    </xf>
    <xf numFmtId="0" fontId="20" fillId="3" borderId="0" xfId="0" applyFont="1" applyFill="1">
      <alignment vertical="center"/>
    </xf>
    <xf numFmtId="38" fontId="20" fillId="3" borderId="0" xfId="1" applyFont="1" applyFill="1">
      <alignment vertical="center"/>
    </xf>
    <xf numFmtId="0" fontId="21" fillId="5" borderId="0" xfId="0" applyFont="1" applyFill="1">
      <alignment vertical="center"/>
    </xf>
    <xf numFmtId="38" fontId="21" fillId="5" borderId="0" xfId="1" applyFont="1" applyFill="1">
      <alignment vertical="center"/>
    </xf>
    <xf numFmtId="9" fontId="13" fillId="0" borderId="0" xfId="2" applyFont="1">
      <alignment vertical="center"/>
    </xf>
    <xf numFmtId="38" fontId="13" fillId="2" borderId="60" xfId="1" applyFont="1" applyFill="1" applyBorder="1">
      <alignment vertical="center"/>
    </xf>
    <xf numFmtId="38" fontId="13" fillId="2" borderId="61" xfId="1" applyFont="1" applyFill="1" applyBorder="1">
      <alignment vertical="center"/>
    </xf>
    <xf numFmtId="38" fontId="13" fillId="11" borderId="61" xfId="1" applyFont="1" applyFill="1" applyBorder="1">
      <alignment vertical="center"/>
    </xf>
    <xf numFmtId="38" fontId="11" fillId="2" borderId="62" xfId="1" applyFont="1" applyFill="1" applyBorder="1">
      <alignment vertical="center"/>
    </xf>
    <xf numFmtId="38" fontId="11" fillId="2" borderId="63" xfId="1" applyFont="1" applyFill="1" applyBorder="1">
      <alignment vertical="center"/>
    </xf>
    <xf numFmtId="38" fontId="13" fillId="2" borderId="63" xfId="1" applyFont="1" applyFill="1" applyBorder="1">
      <alignment vertical="center"/>
    </xf>
    <xf numFmtId="38" fontId="13" fillId="2" borderId="64" xfId="1" applyFont="1" applyFill="1" applyBorder="1">
      <alignment vertical="center"/>
    </xf>
    <xf numFmtId="38" fontId="11" fillId="11" borderId="38" xfId="1" applyFont="1" applyFill="1" applyBorder="1">
      <alignment vertical="center"/>
    </xf>
    <xf numFmtId="38" fontId="11" fillId="11" borderId="61" xfId="1" applyFont="1" applyFill="1" applyBorder="1">
      <alignment vertical="center"/>
    </xf>
    <xf numFmtId="0" fontId="11" fillId="0" borderId="0" xfId="0" applyFont="1" applyAlignment="1">
      <alignment vertical="center" wrapText="1"/>
    </xf>
    <xf numFmtId="38" fontId="12" fillId="2" borderId="0" xfId="1" applyFont="1" applyFill="1">
      <alignment vertical="center"/>
    </xf>
    <xf numFmtId="38" fontId="18" fillId="2" borderId="0" xfId="1" applyFont="1" applyFill="1">
      <alignment vertical="center"/>
    </xf>
    <xf numFmtId="38" fontId="17" fillId="0" borderId="0" xfId="1" applyFont="1">
      <alignment vertical="center"/>
    </xf>
    <xf numFmtId="0" fontId="11" fillId="0" borderId="65" xfId="0" applyFont="1" applyBorder="1">
      <alignment vertical="center"/>
    </xf>
    <xf numFmtId="38" fontId="11" fillId="2" borderId="65" xfId="1" applyFont="1" applyFill="1" applyBorder="1">
      <alignment vertical="center"/>
    </xf>
    <xf numFmtId="38" fontId="12" fillId="2" borderId="65" xfId="1" applyFont="1" applyFill="1" applyBorder="1">
      <alignment vertical="center"/>
    </xf>
    <xf numFmtId="38" fontId="11" fillId="0" borderId="65" xfId="1" applyFont="1" applyBorder="1">
      <alignment vertical="center"/>
    </xf>
    <xf numFmtId="9" fontId="11" fillId="0" borderId="0" xfId="0" applyNumberFormat="1" applyFont="1">
      <alignment vertical="center"/>
    </xf>
    <xf numFmtId="38" fontId="13" fillId="0" borderId="0" xfId="1" applyFont="1" applyFill="1">
      <alignment vertical="center"/>
    </xf>
    <xf numFmtId="38" fontId="13" fillId="0" borderId="0" xfId="0" applyNumberFormat="1" applyFont="1">
      <alignment vertical="center"/>
    </xf>
    <xf numFmtId="9" fontId="13" fillId="2" borderId="0" xfId="2" applyFont="1" applyFill="1">
      <alignment vertical="center"/>
    </xf>
    <xf numFmtId="9" fontId="20" fillId="3" borderId="0" xfId="2" applyFont="1" applyFill="1">
      <alignment vertical="center"/>
    </xf>
    <xf numFmtId="9" fontId="11" fillId="2" borderId="0" xfId="2" applyFont="1" applyFill="1">
      <alignment vertical="center"/>
    </xf>
    <xf numFmtId="9" fontId="11" fillId="2" borderId="65" xfId="2" applyFont="1" applyFill="1" applyBorder="1">
      <alignment vertical="center"/>
    </xf>
    <xf numFmtId="9" fontId="11" fillId="3" borderId="0" xfId="2" applyFont="1" applyFill="1">
      <alignment vertical="center"/>
    </xf>
    <xf numFmtId="9" fontId="16" fillId="3" borderId="0" xfId="2" applyFont="1" applyFill="1">
      <alignment vertical="center"/>
    </xf>
    <xf numFmtId="9" fontId="11" fillId="0" borderId="0" xfId="2" applyFont="1">
      <alignment vertical="center"/>
    </xf>
    <xf numFmtId="9" fontId="11" fillId="0" borderId="65" xfId="2" applyFont="1" applyBorder="1">
      <alignment vertical="center"/>
    </xf>
    <xf numFmtId="0" fontId="15" fillId="0" borderId="0" xfId="0" applyFont="1">
      <alignment vertical="center"/>
    </xf>
    <xf numFmtId="0" fontId="21" fillId="0" borderId="0" xfId="0" applyFont="1">
      <alignment vertical="center"/>
    </xf>
    <xf numFmtId="38" fontId="11" fillId="10" borderId="0" xfId="1" applyFont="1" applyFill="1">
      <alignment vertical="center"/>
    </xf>
    <xf numFmtId="38" fontId="11" fillId="2" borderId="66" xfId="1" applyFont="1" applyFill="1" applyBorder="1">
      <alignment vertical="center"/>
    </xf>
    <xf numFmtId="38" fontId="11" fillId="0" borderId="66" xfId="1" applyFont="1" applyFill="1" applyBorder="1">
      <alignment vertical="center"/>
    </xf>
    <xf numFmtId="38" fontId="11" fillId="0" borderId="0" xfId="1" applyFont="1" applyFill="1" applyBorder="1">
      <alignment vertical="center"/>
    </xf>
    <xf numFmtId="9" fontId="11" fillId="0" borderId="66" xfId="2" applyFont="1" applyBorder="1">
      <alignment vertical="center"/>
    </xf>
    <xf numFmtId="9" fontId="11" fillId="0" borderId="0" xfId="2" applyFont="1" applyFill="1">
      <alignment vertical="center"/>
    </xf>
    <xf numFmtId="9" fontId="11" fillId="0" borderId="66" xfId="2" applyFont="1" applyFill="1" applyBorder="1">
      <alignment vertical="center"/>
    </xf>
    <xf numFmtId="38" fontId="11" fillId="11" borderId="0" xfId="1" applyFont="1" applyFill="1">
      <alignment vertical="center"/>
    </xf>
    <xf numFmtId="38" fontId="11" fillId="3" borderId="0" xfId="0" applyNumberFormat="1" applyFont="1" applyFill="1">
      <alignment vertical="center"/>
    </xf>
    <xf numFmtId="9" fontId="11" fillId="0" borderId="0" xfId="2" applyFont="1" applyBorder="1">
      <alignment vertical="center"/>
    </xf>
    <xf numFmtId="9" fontId="11" fillId="0" borderId="0" xfId="2" applyFont="1" applyFill="1" applyBorder="1">
      <alignment vertical="center"/>
    </xf>
    <xf numFmtId="38" fontId="11" fillId="2" borderId="0" xfId="1" applyFont="1" applyFill="1" applyBorder="1">
      <alignment vertical="center"/>
    </xf>
    <xf numFmtId="38" fontId="11" fillId="0" borderId="0" xfId="1" applyFont="1" applyBorder="1">
      <alignment vertical="center"/>
    </xf>
    <xf numFmtId="9" fontId="11" fillId="3" borderId="0" xfId="2" applyFont="1" applyFill="1" applyBorder="1">
      <alignment vertical="center"/>
    </xf>
    <xf numFmtId="38" fontId="11" fillId="3" borderId="0" xfId="1" applyFont="1" applyFill="1" applyBorder="1">
      <alignment vertical="center"/>
    </xf>
    <xf numFmtId="38" fontId="11" fillId="3" borderId="13" xfId="1" applyFont="1" applyFill="1" applyBorder="1">
      <alignment vertical="center"/>
    </xf>
    <xf numFmtId="38" fontId="11" fillId="0" borderId="13" xfId="1" applyFont="1" applyFill="1" applyBorder="1">
      <alignment vertical="center"/>
    </xf>
    <xf numFmtId="38" fontId="11" fillId="3" borderId="15" xfId="1" applyFont="1" applyFill="1" applyBorder="1">
      <alignment vertical="center"/>
    </xf>
    <xf numFmtId="38" fontId="11" fillId="3" borderId="16" xfId="1" applyFont="1" applyFill="1" applyBorder="1">
      <alignment vertical="center"/>
    </xf>
    <xf numFmtId="38" fontId="11" fillId="0" borderId="18" xfId="1" applyFont="1" applyFill="1" applyBorder="1">
      <alignment vertical="center"/>
    </xf>
    <xf numFmtId="38" fontId="11" fillId="3" borderId="18" xfId="1" applyFont="1" applyFill="1" applyBorder="1">
      <alignment vertical="center"/>
    </xf>
    <xf numFmtId="9" fontId="11" fillId="0" borderId="20" xfId="2" applyFont="1" applyFill="1" applyBorder="1">
      <alignment vertical="center"/>
    </xf>
    <xf numFmtId="38" fontId="11" fillId="3" borderId="59" xfId="1" applyFont="1" applyFill="1" applyBorder="1">
      <alignment vertical="center"/>
    </xf>
    <xf numFmtId="38" fontId="11" fillId="0" borderId="68" xfId="1" applyFont="1" applyFill="1" applyBorder="1">
      <alignment vertical="center"/>
    </xf>
    <xf numFmtId="38" fontId="11" fillId="3" borderId="68" xfId="1" applyFont="1" applyFill="1" applyBorder="1">
      <alignment vertical="center"/>
    </xf>
    <xf numFmtId="9" fontId="11" fillId="0" borderId="69" xfId="2" applyFont="1" applyFill="1" applyBorder="1">
      <alignment vertical="center"/>
    </xf>
    <xf numFmtId="0" fontId="11" fillId="3" borderId="33" xfId="0" applyFont="1" applyFill="1" applyBorder="1">
      <alignment vertical="center"/>
    </xf>
    <xf numFmtId="0" fontId="11" fillId="3" borderId="34" xfId="0" applyFont="1" applyFill="1" applyBorder="1">
      <alignment vertical="center"/>
    </xf>
    <xf numFmtId="0" fontId="11" fillId="17" borderId="50" xfId="0" applyFont="1" applyFill="1" applyBorder="1">
      <alignment vertical="center"/>
    </xf>
    <xf numFmtId="0" fontId="11" fillId="17" borderId="11" xfId="0" applyFont="1" applyFill="1" applyBorder="1">
      <alignment vertical="center"/>
    </xf>
    <xf numFmtId="0" fontId="11" fillId="17" borderId="12" xfId="0" applyFont="1" applyFill="1" applyBorder="1">
      <alignment vertical="center"/>
    </xf>
    <xf numFmtId="9" fontId="11" fillId="0" borderId="73" xfId="2" applyFont="1" applyFill="1" applyBorder="1">
      <alignment vertical="center"/>
    </xf>
    <xf numFmtId="9" fontId="11" fillId="0" borderId="50" xfId="2" applyFont="1" applyFill="1" applyBorder="1">
      <alignment vertical="center"/>
    </xf>
    <xf numFmtId="9" fontId="11" fillId="0" borderId="74" xfId="2" applyFont="1" applyFill="1" applyBorder="1">
      <alignment vertical="center"/>
    </xf>
    <xf numFmtId="38" fontId="16" fillId="3" borderId="13" xfId="1" applyFont="1" applyFill="1" applyBorder="1">
      <alignment vertical="center"/>
    </xf>
    <xf numFmtId="0" fontId="11" fillId="3" borderId="13" xfId="0" applyFont="1" applyFill="1" applyBorder="1">
      <alignment vertical="center"/>
    </xf>
    <xf numFmtId="0" fontId="16" fillId="3" borderId="40" xfId="0" applyFont="1" applyFill="1" applyBorder="1">
      <alignment vertical="center"/>
    </xf>
    <xf numFmtId="38" fontId="16" fillId="3" borderId="12" xfId="1" applyFont="1" applyFill="1" applyBorder="1">
      <alignment vertical="center"/>
    </xf>
    <xf numFmtId="38" fontId="11" fillId="0" borderId="16" xfId="1" applyFont="1" applyBorder="1">
      <alignment vertical="center"/>
    </xf>
    <xf numFmtId="38" fontId="11" fillId="0" borderId="18" xfId="1" applyFont="1" applyBorder="1">
      <alignment vertical="center"/>
    </xf>
    <xf numFmtId="38" fontId="11" fillId="0" borderId="21" xfId="1" applyFont="1" applyBorder="1">
      <alignment vertical="center"/>
    </xf>
    <xf numFmtId="38" fontId="16" fillId="3" borderId="14" xfId="1" applyFont="1" applyFill="1" applyBorder="1">
      <alignment vertical="center"/>
    </xf>
    <xf numFmtId="38" fontId="16" fillId="3" borderId="15" xfId="1" applyFont="1" applyFill="1" applyBorder="1">
      <alignment vertical="center"/>
    </xf>
    <xf numFmtId="38" fontId="16" fillId="3" borderId="16" xfId="1" applyFont="1" applyFill="1" applyBorder="1">
      <alignment vertical="center"/>
    </xf>
    <xf numFmtId="38" fontId="11" fillId="3" borderId="17" xfId="1" applyFont="1" applyFill="1" applyBorder="1">
      <alignment vertical="center"/>
    </xf>
    <xf numFmtId="0" fontId="11" fillId="3" borderId="17" xfId="0" applyFont="1" applyFill="1" applyBorder="1">
      <alignment vertical="center"/>
    </xf>
    <xf numFmtId="0" fontId="16" fillId="3" borderId="37" xfId="0" applyFont="1" applyFill="1" applyBorder="1">
      <alignment vertical="center"/>
    </xf>
    <xf numFmtId="38" fontId="16" fillId="3" borderId="75" xfId="1" applyFont="1" applyFill="1" applyBorder="1">
      <alignment vertical="center"/>
    </xf>
    <xf numFmtId="0" fontId="11" fillId="0" borderId="19" xfId="0" applyFont="1" applyBorder="1">
      <alignment vertical="center"/>
    </xf>
    <xf numFmtId="38" fontId="13" fillId="0" borderId="13" xfId="1" applyFont="1" applyBorder="1">
      <alignment vertical="center"/>
    </xf>
    <xf numFmtId="38" fontId="20" fillId="3" borderId="13" xfId="1" applyFont="1" applyFill="1" applyBorder="1">
      <alignment vertical="center"/>
    </xf>
    <xf numFmtId="0" fontId="20" fillId="3" borderId="37" xfId="0" applyFont="1" applyFill="1" applyBorder="1">
      <alignment vertical="center"/>
    </xf>
    <xf numFmtId="38" fontId="20" fillId="3" borderId="12" xfId="1" applyFont="1" applyFill="1" applyBorder="1">
      <alignment vertical="center"/>
    </xf>
    <xf numFmtId="38" fontId="20" fillId="3" borderId="75" xfId="1" applyFont="1" applyFill="1" applyBorder="1">
      <alignment vertical="center"/>
    </xf>
    <xf numFmtId="38" fontId="15" fillId="16" borderId="77" xfId="1" applyFont="1" applyFill="1" applyBorder="1" applyAlignment="1">
      <alignment horizontal="center" vertical="center"/>
    </xf>
    <xf numFmtId="38" fontId="15" fillId="16" borderId="61" xfId="1" applyFont="1" applyFill="1" applyBorder="1" applyAlignment="1">
      <alignment horizontal="center" vertical="center"/>
    </xf>
    <xf numFmtId="38" fontId="15" fillId="16" borderId="76" xfId="1" applyFont="1" applyFill="1" applyBorder="1" applyAlignment="1">
      <alignment horizontal="center" vertical="center"/>
    </xf>
    <xf numFmtId="0" fontId="11" fillId="3" borderId="40" xfId="0" applyFont="1" applyFill="1" applyBorder="1">
      <alignment vertical="center"/>
    </xf>
    <xf numFmtId="38" fontId="11" fillId="3" borderId="5" xfId="1" applyFont="1" applyFill="1" applyBorder="1">
      <alignment vertical="center"/>
    </xf>
    <xf numFmtId="38" fontId="11" fillId="3" borderId="12" xfId="1" applyFont="1" applyFill="1" applyBorder="1">
      <alignment vertical="center"/>
    </xf>
    <xf numFmtId="38" fontId="11" fillId="3" borderId="75" xfId="1" applyFont="1" applyFill="1" applyBorder="1">
      <alignment vertical="center"/>
    </xf>
    <xf numFmtId="38" fontId="11" fillId="0" borderId="20" xfId="1" applyFont="1" applyFill="1" applyBorder="1">
      <alignment vertical="center"/>
    </xf>
    <xf numFmtId="38" fontId="11" fillId="0" borderId="21" xfId="1" applyFont="1" applyFill="1" applyBorder="1">
      <alignment vertical="center"/>
    </xf>
    <xf numFmtId="38" fontId="11" fillId="0" borderId="17" xfId="1" applyFont="1" applyFill="1" applyBorder="1">
      <alignment vertical="center"/>
    </xf>
    <xf numFmtId="38" fontId="11" fillId="0" borderId="49" xfId="1" applyFont="1" applyFill="1" applyBorder="1">
      <alignment vertical="center"/>
    </xf>
    <xf numFmtId="38" fontId="11" fillId="0" borderId="50" xfId="1" applyFont="1" applyFill="1" applyBorder="1">
      <alignment vertical="center"/>
    </xf>
    <xf numFmtId="38" fontId="11" fillId="0" borderId="74" xfId="1" applyFont="1" applyFill="1" applyBorder="1">
      <alignment vertical="center"/>
    </xf>
    <xf numFmtId="0" fontId="11" fillId="0" borderId="49" xfId="0" applyFont="1" applyBorder="1">
      <alignment vertical="center"/>
    </xf>
    <xf numFmtId="9" fontId="11" fillId="2" borderId="0" xfId="2" applyFont="1" applyFill="1" applyBorder="1">
      <alignment vertical="center"/>
    </xf>
    <xf numFmtId="38" fontId="11" fillId="0" borderId="15" xfId="1" applyFont="1" applyFill="1" applyBorder="1">
      <alignment vertical="center"/>
    </xf>
    <xf numFmtId="38" fontId="12" fillId="0" borderId="13" xfId="1" applyFont="1" applyFill="1" applyBorder="1">
      <alignment vertical="center"/>
    </xf>
    <xf numFmtId="38" fontId="12" fillId="0" borderId="20" xfId="1" applyFont="1" applyFill="1" applyBorder="1">
      <alignment vertical="center"/>
    </xf>
    <xf numFmtId="38" fontId="12" fillId="3" borderId="13" xfId="1" applyFont="1" applyFill="1" applyBorder="1">
      <alignment vertical="center"/>
    </xf>
    <xf numFmtId="0" fontId="11" fillId="18" borderId="33" xfId="0" applyFont="1" applyFill="1" applyBorder="1">
      <alignment vertical="center"/>
    </xf>
    <xf numFmtId="38" fontId="11" fillId="18" borderId="59" xfId="1" applyFont="1" applyFill="1" applyBorder="1">
      <alignment vertical="center"/>
    </xf>
    <xf numFmtId="38" fontId="11" fillId="18" borderId="15" xfId="1" applyFont="1" applyFill="1" applyBorder="1">
      <alignment vertical="center"/>
    </xf>
    <xf numFmtId="38" fontId="11" fillId="18" borderId="16" xfId="1" applyFont="1" applyFill="1" applyBorder="1">
      <alignment vertical="center"/>
    </xf>
    <xf numFmtId="0" fontId="11" fillId="18" borderId="34" xfId="0" applyFont="1" applyFill="1" applyBorder="1">
      <alignment vertical="center"/>
    </xf>
    <xf numFmtId="38" fontId="11" fillId="18" borderId="68" xfId="1" applyFont="1" applyFill="1" applyBorder="1">
      <alignment vertical="center"/>
    </xf>
    <xf numFmtId="38" fontId="11" fillId="18" borderId="13" xfId="1" applyFont="1" applyFill="1" applyBorder="1">
      <alignment vertical="center"/>
    </xf>
    <xf numFmtId="38" fontId="11" fillId="18" borderId="18" xfId="1" applyFont="1" applyFill="1" applyBorder="1">
      <alignment vertical="center"/>
    </xf>
    <xf numFmtId="0" fontId="11" fillId="18" borderId="36" xfId="0" applyFont="1" applyFill="1" applyBorder="1">
      <alignment vertical="center"/>
    </xf>
    <xf numFmtId="38" fontId="11" fillId="18" borderId="69" xfId="1" applyFont="1" applyFill="1" applyBorder="1">
      <alignment vertical="center"/>
    </xf>
    <xf numFmtId="38" fontId="11" fillId="18" borderId="20" xfId="1" applyFont="1" applyFill="1" applyBorder="1">
      <alignment vertical="center"/>
    </xf>
    <xf numFmtId="38" fontId="11" fillId="18" borderId="21" xfId="1" applyFont="1" applyFill="1" applyBorder="1">
      <alignment vertical="center"/>
    </xf>
    <xf numFmtId="0" fontId="11" fillId="18" borderId="40" xfId="0" applyFont="1" applyFill="1" applyBorder="1">
      <alignment vertical="center"/>
    </xf>
    <xf numFmtId="38" fontId="11" fillId="18" borderId="5" xfId="1" applyFont="1" applyFill="1" applyBorder="1">
      <alignment vertical="center"/>
    </xf>
    <xf numFmtId="38" fontId="11" fillId="18" borderId="12" xfId="1" applyFont="1" applyFill="1" applyBorder="1">
      <alignment vertical="center"/>
    </xf>
    <xf numFmtId="38" fontId="11" fillId="18" borderId="75" xfId="1" applyFont="1" applyFill="1" applyBorder="1">
      <alignment vertical="center"/>
    </xf>
    <xf numFmtId="0" fontId="11" fillId="18" borderId="14" xfId="0" applyFont="1" applyFill="1" applyBorder="1">
      <alignment vertical="center"/>
    </xf>
    <xf numFmtId="0" fontId="11" fillId="18" borderId="17" xfId="0" applyFont="1" applyFill="1" applyBorder="1">
      <alignment vertical="center"/>
    </xf>
    <xf numFmtId="0" fontId="11" fillId="18" borderId="19" xfId="0" applyFont="1" applyFill="1" applyBorder="1">
      <alignment vertical="center"/>
    </xf>
    <xf numFmtId="0" fontId="13" fillId="18" borderId="14" xfId="0" applyFont="1" applyFill="1" applyBorder="1">
      <alignment vertical="center"/>
    </xf>
    <xf numFmtId="38" fontId="13" fillId="18" borderId="15" xfId="1" applyFont="1" applyFill="1" applyBorder="1">
      <alignment vertical="center"/>
    </xf>
    <xf numFmtId="38" fontId="13" fillId="18" borderId="16" xfId="1" applyFont="1" applyFill="1" applyBorder="1">
      <alignment vertical="center"/>
    </xf>
    <xf numFmtId="0" fontId="13" fillId="18" borderId="17" xfId="0" applyFont="1" applyFill="1" applyBorder="1">
      <alignment vertical="center"/>
    </xf>
    <xf numFmtId="38" fontId="13" fillId="18" borderId="13" xfId="1" applyFont="1" applyFill="1" applyBorder="1">
      <alignment vertical="center"/>
    </xf>
    <xf numFmtId="38" fontId="13" fillId="18" borderId="18" xfId="1" applyFont="1" applyFill="1" applyBorder="1">
      <alignment vertical="center"/>
    </xf>
    <xf numFmtId="0" fontId="13" fillId="18" borderId="19" xfId="0" applyFont="1" applyFill="1" applyBorder="1">
      <alignment vertical="center"/>
    </xf>
    <xf numFmtId="38" fontId="13" fillId="18" borderId="20" xfId="1" applyFont="1" applyFill="1" applyBorder="1">
      <alignment vertical="center"/>
    </xf>
    <xf numFmtId="38" fontId="13" fillId="18" borderId="21" xfId="1" applyFont="1" applyFill="1" applyBorder="1">
      <alignment vertical="center"/>
    </xf>
    <xf numFmtId="38" fontId="12" fillId="18" borderId="13" xfId="1" applyFont="1" applyFill="1" applyBorder="1">
      <alignment vertical="center"/>
    </xf>
    <xf numFmtId="38" fontId="12" fillId="18" borderId="20" xfId="1" applyFont="1" applyFill="1" applyBorder="1">
      <alignment vertical="center"/>
    </xf>
    <xf numFmtId="38" fontId="11" fillId="11" borderId="0" xfId="1" applyFont="1" applyFill="1" applyBorder="1">
      <alignment vertical="center"/>
    </xf>
    <xf numFmtId="38" fontId="16" fillId="3" borderId="0" xfId="1" applyFont="1" applyFill="1" applyBorder="1">
      <alignment vertical="center"/>
    </xf>
    <xf numFmtId="38" fontId="13" fillId="2" borderId="0" xfId="1" applyFont="1" applyFill="1" applyBorder="1">
      <alignment vertical="center"/>
    </xf>
    <xf numFmtId="38" fontId="13" fillId="3" borderId="0" xfId="1" applyFont="1" applyFill="1" applyBorder="1">
      <alignment vertical="center"/>
    </xf>
    <xf numFmtId="38" fontId="20" fillId="3" borderId="0" xfId="1" applyFont="1" applyFill="1" applyBorder="1">
      <alignment vertical="center"/>
    </xf>
    <xf numFmtId="0" fontId="15" fillId="16" borderId="71" xfId="0" applyFont="1" applyFill="1" applyBorder="1">
      <alignment vertical="center"/>
    </xf>
    <xf numFmtId="38" fontId="15" fillId="16" borderId="78" xfId="1" applyFont="1" applyFill="1" applyBorder="1">
      <alignment vertical="center"/>
    </xf>
    <xf numFmtId="38" fontId="15" fillId="16" borderId="60" xfId="1" applyFont="1" applyFill="1" applyBorder="1">
      <alignment vertical="center"/>
    </xf>
    <xf numFmtId="0" fontId="11" fillId="0" borderId="70" xfId="0" applyFont="1" applyBorder="1">
      <alignment vertical="center"/>
    </xf>
    <xf numFmtId="38" fontId="11" fillId="2" borderId="27" xfId="1" applyFont="1" applyFill="1" applyBorder="1">
      <alignment vertical="center"/>
    </xf>
    <xf numFmtId="0" fontId="14" fillId="0" borderId="70" xfId="0" applyFont="1" applyBorder="1">
      <alignment vertical="center"/>
    </xf>
    <xf numFmtId="0" fontId="11" fillId="3" borderId="70" xfId="0" applyFont="1" applyFill="1" applyBorder="1">
      <alignment vertical="center"/>
    </xf>
    <xf numFmtId="38" fontId="11" fillId="3" borderId="27" xfId="1" applyFont="1" applyFill="1" applyBorder="1">
      <alignment vertical="center"/>
    </xf>
    <xf numFmtId="0" fontId="11" fillId="3" borderId="72" xfId="0" applyFont="1" applyFill="1" applyBorder="1">
      <alignment vertical="center"/>
    </xf>
    <xf numFmtId="9" fontId="11" fillId="3" borderId="55" xfId="2" applyFont="1" applyFill="1" applyBorder="1">
      <alignment vertical="center"/>
    </xf>
    <xf numFmtId="9" fontId="11" fillId="3" borderId="54" xfId="2" applyFont="1" applyFill="1" applyBorder="1">
      <alignment vertical="center"/>
    </xf>
    <xf numFmtId="0" fontId="11" fillId="0" borderId="71" xfId="0" applyFont="1" applyBorder="1">
      <alignment vertical="center"/>
    </xf>
    <xf numFmtId="38" fontId="11" fillId="2" borderId="78" xfId="1" applyFont="1" applyFill="1" applyBorder="1">
      <alignment vertical="center"/>
    </xf>
    <xf numFmtId="38" fontId="11" fillId="2" borderId="60" xfId="1" applyFont="1" applyFill="1" applyBorder="1">
      <alignment vertical="center"/>
    </xf>
    <xf numFmtId="38" fontId="11" fillId="11" borderId="27" xfId="1" applyFont="1" applyFill="1" applyBorder="1">
      <alignment vertical="center"/>
    </xf>
    <xf numFmtId="0" fontId="14" fillId="3" borderId="70" xfId="0" applyFont="1" applyFill="1" applyBorder="1">
      <alignment vertical="center"/>
    </xf>
    <xf numFmtId="0" fontId="16" fillId="3" borderId="70" xfId="0" applyFont="1" applyFill="1" applyBorder="1">
      <alignment vertical="center"/>
    </xf>
    <xf numFmtId="0" fontId="16" fillId="3" borderId="72" xfId="0" applyFont="1" applyFill="1" applyBorder="1">
      <alignment vertical="center"/>
    </xf>
    <xf numFmtId="9" fontId="16" fillId="3" borderId="55" xfId="2" applyFont="1" applyFill="1" applyBorder="1">
      <alignment vertical="center"/>
    </xf>
    <xf numFmtId="9" fontId="16" fillId="3" borderId="54" xfId="2" applyFont="1" applyFill="1" applyBorder="1">
      <alignment vertical="center"/>
    </xf>
    <xf numFmtId="0" fontId="13" fillId="0" borderId="71" xfId="0" applyFont="1" applyBorder="1">
      <alignment vertical="center"/>
    </xf>
    <xf numFmtId="38" fontId="13" fillId="2" borderId="78" xfId="1" applyFont="1" applyFill="1" applyBorder="1">
      <alignment vertical="center"/>
    </xf>
    <xf numFmtId="0" fontId="19" fillId="0" borderId="70" xfId="0" applyFont="1" applyBorder="1">
      <alignment vertical="center"/>
    </xf>
    <xf numFmtId="0" fontId="19" fillId="3" borderId="70" xfId="0" applyFont="1" applyFill="1" applyBorder="1">
      <alignment vertical="center"/>
    </xf>
    <xf numFmtId="0" fontId="20" fillId="3" borderId="70" xfId="0" applyFont="1" applyFill="1" applyBorder="1">
      <alignment vertical="center"/>
    </xf>
    <xf numFmtId="0" fontId="20" fillId="3" borderId="72" xfId="0" applyFont="1" applyFill="1" applyBorder="1">
      <alignment vertical="center"/>
    </xf>
    <xf numFmtId="9" fontId="20" fillId="3" borderId="55" xfId="2" applyFont="1" applyFill="1" applyBorder="1">
      <alignment vertical="center"/>
    </xf>
    <xf numFmtId="9" fontId="20" fillId="3" borderId="54" xfId="2" applyFont="1" applyFill="1" applyBorder="1">
      <alignment vertical="center"/>
    </xf>
    <xf numFmtId="38" fontId="11" fillId="0" borderId="78" xfId="1" applyFont="1" applyBorder="1">
      <alignment vertical="center"/>
    </xf>
    <xf numFmtId="38" fontId="13" fillId="0" borderId="78" xfId="1" applyFont="1" applyBorder="1">
      <alignment vertical="center"/>
    </xf>
    <xf numFmtId="38" fontId="11" fillId="0" borderId="60" xfId="1" applyFont="1" applyBorder="1">
      <alignment vertical="center"/>
    </xf>
    <xf numFmtId="38" fontId="11" fillId="0" borderId="27" xfId="1" applyFont="1" applyBorder="1">
      <alignment vertical="center"/>
    </xf>
    <xf numFmtId="0" fontId="14" fillId="0" borderId="72" xfId="0" applyFont="1" applyBorder="1">
      <alignment vertical="center"/>
    </xf>
    <xf numFmtId="9" fontId="11" fillId="0" borderId="55" xfId="2" applyFont="1" applyBorder="1">
      <alignment vertical="center"/>
    </xf>
    <xf numFmtId="9" fontId="11" fillId="0" borderId="54" xfId="2" applyFont="1" applyBorder="1">
      <alignment vertical="center"/>
    </xf>
    <xf numFmtId="0" fontId="15" fillId="16" borderId="60" xfId="0" applyFont="1" applyFill="1" applyBorder="1">
      <alignment vertical="center"/>
    </xf>
    <xf numFmtId="0" fontId="11" fillId="3" borderId="27" xfId="0" applyFont="1" applyFill="1" applyBorder="1">
      <alignment vertical="center"/>
    </xf>
    <xf numFmtId="0" fontId="11" fillId="3" borderId="54" xfId="0" applyFont="1" applyFill="1" applyBorder="1">
      <alignment vertical="center"/>
    </xf>
    <xf numFmtId="0" fontId="11" fillId="0" borderId="60" xfId="0" applyFont="1" applyBorder="1">
      <alignment vertical="center"/>
    </xf>
    <xf numFmtId="0" fontId="13" fillId="0" borderId="60" xfId="0" applyFont="1" applyBorder="1">
      <alignment vertical="center"/>
    </xf>
    <xf numFmtId="0" fontId="13" fillId="0" borderId="27" xfId="0" applyFont="1" applyBorder="1">
      <alignment vertical="center"/>
    </xf>
    <xf numFmtId="0" fontId="11" fillId="0" borderId="54" xfId="0" applyFont="1" applyBorder="1">
      <alignment vertical="center"/>
    </xf>
    <xf numFmtId="38" fontId="11" fillId="2" borderId="13" xfId="0" applyNumberFormat="1" applyFont="1" applyFill="1" applyBorder="1">
      <alignment vertical="center"/>
    </xf>
    <xf numFmtId="0" fontId="13" fillId="2" borderId="13" xfId="0" applyFont="1" applyFill="1" applyBorder="1">
      <alignment vertical="center"/>
    </xf>
    <xf numFmtId="38" fontId="11" fillId="2" borderId="16" xfId="1" applyFont="1" applyFill="1" applyBorder="1">
      <alignment vertical="center"/>
    </xf>
    <xf numFmtId="38" fontId="11" fillId="2" borderId="18" xfId="1" applyFont="1" applyFill="1" applyBorder="1">
      <alignment vertical="center"/>
    </xf>
    <xf numFmtId="38" fontId="11" fillId="2" borderId="18" xfId="0" applyNumberFormat="1" applyFont="1" applyFill="1" applyBorder="1">
      <alignment vertical="center"/>
    </xf>
    <xf numFmtId="9" fontId="11" fillId="2" borderId="20" xfId="2" applyFont="1" applyFill="1" applyBorder="1">
      <alignment vertical="center"/>
    </xf>
    <xf numFmtId="9" fontId="11" fillId="2" borderId="21" xfId="2" applyFont="1" applyFill="1" applyBorder="1">
      <alignment vertical="center"/>
    </xf>
    <xf numFmtId="38" fontId="11" fillId="2" borderId="68" xfId="1" applyFont="1" applyFill="1" applyBorder="1">
      <alignment vertical="center"/>
    </xf>
    <xf numFmtId="38" fontId="20" fillId="3" borderId="68" xfId="1" applyFont="1" applyFill="1" applyBorder="1">
      <alignment vertical="center"/>
    </xf>
    <xf numFmtId="38" fontId="11" fillId="19" borderId="18" xfId="1" applyFont="1" applyFill="1" applyBorder="1">
      <alignment vertical="center"/>
    </xf>
    <xf numFmtId="0" fontId="11" fillId="3" borderId="20" xfId="0" applyFont="1" applyFill="1" applyBorder="1">
      <alignment vertical="center"/>
    </xf>
    <xf numFmtId="9" fontId="20" fillId="3" borderId="20" xfId="2" applyFont="1" applyFill="1" applyBorder="1">
      <alignment vertical="center"/>
    </xf>
    <xf numFmtId="9" fontId="11" fillId="19" borderId="21" xfId="2" applyFont="1" applyFill="1" applyBorder="1">
      <alignment vertical="center"/>
    </xf>
    <xf numFmtId="38" fontId="13" fillId="0" borderId="68" xfId="1" applyFont="1" applyBorder="1">
      <alignment vertical="center"/>
    </xf>
    <xf numFmtId="0" fontId="13" fillId="2" borderId="15" xfId="0" applyFont="1" applyFill="1" applyBorder="1">
      <alignment vertical="center"/>
    </xf>
    <xf numFmtId="38" fontId="13" fillId="2" borderId="15" xfId="1" applyFont="1" applyFill="1" applyBorder="1">
      <alignment vertical="center"/>
    </xf>
    <xf numFmtId="38" fontId="11" fillId="0" borderId="68" xfId="1" applyFont="1" applyBorder="1">
      <alignment vertical="center"/>
    </xf>
    <xf numFmtId="38" fontId="16" fillId="3" borderId="68" xfId="1" applyFont="1" applyFill="1" applyBorder="1">
      <alignment vertical="center"/>
    </xf>
    <xf numFmtId="9" fontId="16" fillId="3" borderId="20" xfId="2" applyFont="1" applyFill="1" applyBorder="1">
      <alignment vertical="center"/>
    </xf>
    <xf numFmtId="9" fontId="11" fillId="19" borderId="20" xfId="2" applyFont="1" applyFill="1" applyBorder="1">
      <alignment vertical="center"/>
    </xf>
    <xf numFmtId="0" fontId="11" fillId="2" borderId="12" xfId="0" applyFont="1" applyFill="1" applyBorder="1">
      <alignment vertical="center"/>
    </xf>
    <xf numFmtId="38" fontId="11" fillId="2" borderId="75" xfId="1" applyFont="1" applyFill="1" applyBorder="1">
      <alignment vertical="center"/>
    </xf>
    <xf numFmtId="0" fontId="15" fillId="16" borderId="22" xfId="0" applyFont="1" applyFill="1" applyBorder="1">
      <alignment vertical="center"/>
    </xf>
    <xf numFmtId="0" fontId="15" fillId="16" borderId="23" xfId="0" applyFont="1" applyFill="1" applyBorder="1">
      <alignment vertical="center"/>
    </xf>
    <xf numFmtId="38" fontId="15" fillId="16" borderId="23" xfId="1" applyFont="1" applyFill="1" applyBorder="1">
      <alignment vertical="center"/>
    </xf>
    <xf numFmtId="38" fontId="15" fillId="16" borderId="24" xfId="1" applyFont="1" applyFill="1" applyBorder="1">
      <alignment vertical="center"/>
    </xf>
    <xf numFmtId="0" fontId="21" fillId="20" borderId="0" xfId="0" applyFont="1" applyFill="1">
      <alignment vertical="center"/>
    </xf>
    <xf numFmtId="0" fontId="11" fillId="21" borderId="0" xfId="0" applyFont="1" applyFill="1">
      <alignment vertical="center"/>
    </xf>
    <xf numFmtId="38" fontId="11" fillId="21" borderId="0" xfId="1" applyFont="1" applyFill="1">
      <alignment vertical="center"/>
    </xf>
    <xf numFmtId="38" fontId="11" fillId="0" borderId="0" xfId="1" applyFont="1" applyAlignment="1">
      <alignment vertical="center" wrapText="1"/>
    </xf>
    <xf numFmtId="0" fontId="16" fillId="0" borderId="0" xfId="0" applyFont="1">
      <alignment vertical="center"/>
    </xf>
    <xf numFmtId="0" fontId="16" fillId="21" borderId="0" xfId="0" applyFont="1" applyFill="1">
      <alignment vertical="center"/>
    </xf>
    <xf numFmtId="0" fontId="11" fillId="6" borderId="0" xfId="0" applyFont="1" applyFill="1">
      <alignment vertical="center"/>
    </xf>
    <xf numFmtId="0" fontId="16" fillId="6" borderId="0" xfId="0" applyFont="1" applyFill="1">
      <alignment vertical="center"/>
    </xf>
    <xf numFmtId="38" fontId="11" fillId="6" borderId="0" xfId="1" applyFont="1" applyFill="1">
      <alignment vertical="center"/>
    </xf>
    <xf numFmtId="38" fontId="16" fillId="0" borderId="0" xfId="1" applyFont="1">
      <alignment vertical="center"/>
    </xf>
    <xf numFmtId="38" fontId="16" fillId="6" borderId="0" xfId="1" applyFont="1" applyFill="1">
      <alignment vertical="center"/>
    </xf>
    <xf numFmtId="38" fontId="16" fillId="0" borderId="0" xfId="1" applyFont="1" applyFill="1">
      <alignment vertical="center"/>
    </xf>
    <xf numFmtId="1" fontId="11" fillId="0" borderId="0" xfId="1" applyNumberFormat="1" applyFont="1" applyFill="1">
      <alignment vertical="center"/>
    </xf>
    <xf numFmtId="1" fontId="13" fillId="0" borderId="0" xfId="1" applyNumberFormat="1" applyFont="1" applyFill="1">
      <alignment vertical="center"/>
    </xf>
    <xf numFmtId="38" fontId="15" fillId="16" borderId="0" xfId="1" applyFont="1" applyFill="1" applyAlignment="1">
      <alignment horizontal="center" vertical="center"/>
    </xf>
    <xf numFmtId="178" fontId="15" fillId="16" borderId="0" xfId="1" applyNumberFormat="1" applyFont="1" applyFill="1" applyAlignment="1">
      <alignment horizontal="center" vertical="center"/>
    </xf>
    <xf numFmtId="178" fontId="15" fillId="22" borderId="0" xfId="1" applyNumberFormat="1" applyFont="1" applyFill="1" applyAlignment="1">
      <alignment horizontal="center" vertical="center"/>
    </xf>
    <xf numFmtId="38" fontId="15" fillId="22" borderId="0" xfId="1" applyFont="1" applyFill="1" applyAlignment="1">
      <alignment horizontal="center" vertical="center"/>
    </xf>
    <xf numFmtId="0" fontId="15" fillId="22" borderId="0" xfId="0" applyFont="1" applyFill="1">
      <alignment vertical="center"/>
    </xf>
    <xf numFmtId="178" fontId="15" fillId="15" borderId="0" xfId="1" applyNumberFormat="1" applyFont="1" applyFill="1" applyAlignment="1">
      <alignment horizontal="center" vertical="center"/>
    </xf>
    <xf numFmtId="38" fontId="15" fillId="15" borderId="0" xfId="1" applyFont="1" applyFill="1" applyAlignment="1">
      <alignment horizontal="center" vertical="center"/>
    </xf>
    <xf numFmtId="178" fontId="15" fillId="5" borderId="0" xfId="1" applyNumberFormat="1" applyFont="1" applyFill="1" applyAlignment="1">
      <alignment horizontal="center" vertical="center"/>
    </xf>
    <xf numFmtId="38" fontId="15" fillId="5" borderId="0" xfId="1" applyFont="1" applyFill="1" applyAlignment="1">
      <alignment horizontal="center" vertical="center"/>
    </xf>
    <xf numFmtId="0" fontId="15" fillId="5" borderId="0" xfId="0" applyFont="1" applyFill="1">
      <alignment vertical="center"/>
    </xf>
    <xf numFmtId="178" fontId="15" fillId="23" borderId="0" xfId="1" applyNumberFormat="1" applyFont="1" applyFill="1" applyAlignment="1">
      <alignment horizontal="center" vertical="center"/>
    </xf>
    <xf numFmtId="38" fontId="15" fillId="23" borderId="0" xfId="1" applyFont="1" applyFill="1" applyAlignment="1">
      <alignment horizontal="center" vertical="center"/>
    </xf>
    <xf numFmtId="0" fontId="15" fillId="23" borderId="0" xfId="0" applyFont="1" applyFill="1">
      <alignment vertical="center"/>
    </xf>
    <xf numFmtId="0" fontId="22" fillId="0" borderId="0" xfId="0" applyFont="1">
      <alignment vertical="center"/>
    </xf>
    <xf numFmtId="179" fontId="15" fillId="16" borderId="0" xfId="1" applyNumberFormat="1" applyFont="1" applyFill="1" applyAlignment="1">
      <alignment horizontal="center" vertical="center"/>
    </xf>
    <xf numFmtId="179" fontId="15" fillId="22" borderId="0" xfId="1" applyNumberFormat="1" applyFont="1" applyFill="1" applyAlignment="1">
      <alignment horizontal="center" vertical="center"/>
    </xf>
    <xf numFmtId="179" fontId="15" fillId="15" borderId="0" xfId="1" applyNumberFormat="1" applyFont="1" applyFill="1" applyAlignment="1">
      <alignment horizontal="center" vertical="center"/>
    </xf>
    <xf numFmtId="179" fontId="15" fillId="5" borderId="0" xfId="1" applyNumberFormat="1" applyFont="1" applyFill="1" applyAlignment="1">
      <alignment horizontal="center" vertical="center"/>
    </xf>
    <xf numFmtId="0" fontId="21" fillId="23" borderId="0" xfId="0" applyFont="1" applyFill="1">
      <alignment vertical="center"/>
    </xf>
    <xf numFmtId="179" fontId="15" fillId="23" borderId="0" xfId="1" applyNumberFormat="1" applyFont="1" applyFill="1" applyAlignment="1">
      <alignment horizontal="center" vertical="center"/>
    </xf>
    <xf numFmtId="38" fontId="21" fillId="23" borderId="0" xfId="1" applyFont="1" applyFill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3" fillId="24" borderId="97" xfId="0" applyFont="1" applyFill="1" applyBorder="1" applyAlignment="1">
      <alignment horizontal="center" vertical="center"/>
    </xf>
    <xf numFmtId="0" fontId="23" fillId="24" borderId="98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3" fillId="24" borderId="99" xfId="0" applyFont="1" applyFill="1" applyBorder="1" applyAlignment="1">
      <alignment horizontal="center" vertical="center"/>
    </xf>
    <xf numFmtId="0" fontId="23" fillId="24" borderId="107" xfId="0" applyFont="1" applyFill="1" applyBorder="1" applyAlignment="1">
      <alignment horizontal="center" vertical="center"/>
    </xf>
    <xf numFmtId="0" fontId="26" fillId="0" borderId="91" xfId="0" applyFont="1" applyBorder="1">
      <alignment vertical="center"/>
    </xf>
    <xf numFmtId="0" fontId="26" fillId="0" borderId="94" xfId="0" applyFont="1" applyBorder="1">
      <alignment vertical="center"/>
    </xf>
    <xf numFmtId="0" fontId="26" fillId="0" borderId="90" xfId="0" applyFont="1" applyBorder="1">
      <alignment vertical="center"/>
    </xf>
    <xf numFmtId="0" fontId="26" fillId="0" borderId="92" xfId="0" applyFont="1" applyBorder="1">
      <alignment vertical="center"/>
    </xf>
    <xf numFmtId="0" fontId="26" fillId="0" borderId="119" xfId="0" applyFont="1" applyBorder="1">
      <alignment vertical="center"/>
    </xf>
    <xf numFmtId="0" fontId="27" fillId="0" borderId="0" xfId="0" applyFont="1">
      <alignment vertical="center"/>
    </xf>
    <xf numFmtId="176" fontId="22" fillId="0" borderId="89" xfId="2" applyNumberFormat="1" applyFont="1" applyBorder="1">
      <alignment vertical="center"/>
    </xf>
    <xf numFmtId="176" fontId="22" fillId="0" borderId="82" xfId="2" applyNumberFormat="1" applyFont="1" applyBorder="1">
      <alignment vertical="center"/>
    </xf>
    <xf numFmtId="176" fontId="22" fillId="0" borderId="87" xfId="2" applyNumberFormat="1" applyFont="1" applyBorder="1">
      <alignment vertical="center"/>
    </xf>
    <xf numFmtId="176" fontId="22" fillId="6" borderId="85" xfId="2" applyNumberFormat="1" applyFont="1" applyFill="1" applyBorder="1">
      <alignment vertical="center"/>
    </xf>
    <xf numFmtId="176" fontId="22" fillId="3" borderId="85" xfId="2" applyNumberFormat="1" applyFont="1" applyFill="1" applyBorder="1">
      <alignment vertical="center"/>
    </xf>
    <xf numFmtId="176" fontId="22" fillId="4" borderId="85" xfId="2" applyNumberFormat="1" applyFont="1" applyFill="1" applyBorder="1">
      <alignment vertical="center"/>
    </xf>
    <xf numFmtId="176" fontId="24" fillId="0" borderId="105" xfId="2" applyNumberFormat="1" applyFont="1" applyBorder="1">
      <alignment vertical="center"/>
    </xf>
    <xf numFmtId="176" fontId="22" fillId="0" borderId="80" xfId="2" applyNumberFormat="1" applyFont="1" applyBorder="1">
      <alignment vertical="center"/>
    </xf>
    <xf numFmtId="176" fontId="24" fillId="0" borderId="115" xfId="2" applyNumberFormat="1" applyFont="1" applyBorder="1">
      <alignment vertical="center"/>
    </xf>
    <xf numFmtId="176" fontId="22" fillId="26" borderId="82" xfId="2" applyNumberFormat="1" applyFont="1" applyFill="1" applyBorder="1">
      <alignment vertical="center"/>
    </xf>
    <xf numFmtId="176" fontId="22" fillId="26" borderId="87" xfId="2" applyNumberFormat="1" applyFont="1" applyFill="1" applyBorder="1">
      <alignment vertical="center"/>
    </xf>
    <xf numFmtId="176" fontId="22" fillId="0" borderId="96" xfId="2" applyNumberFormat="1" applyFont="1" applyBorder="1">
      <alignment vertical="center"/>
    </xf>
    <xf numFmtId="176" fontId="22" fillId="0" borderId="84" xfId="2" applyNumberFormat="1" applyFont="1" applyBorder="1">
      <alignment vertical="center"/>
    </xf>
    <xf numFmtId="176" fontId="22" fillId="0" borderId="121" xfId="2" applyNumberFormat="1" applyFont="1" applyBorder="1">
      <alignment vertical="center"/>
    </xf>
    <xf numFmtId="0" fontId="23" fillId="24" borderId="128" xfId="0" applyFont="1" applyFill="1" applyBorder="1" applyAlignment="1">
      <alignment horizontal="center" vertical="center"/>
    </xf>
    <xf numFmtId="0" fontId="26" fillId="0" borderId="129" xfId="0" applyFont="1" applyBorder="1">
      <alignment vertical="center"/>
    </xf>
    <xf numFmtId="183" fontId="22" fillId="0" borderId="88" xfId="1" applyNumberFormat="1" applyFont="1" applyBorder="1">
      <alignment vertical="center"/>
    </xf>
    <xf numFmtId="183" fontId="22" fillId="0" borderId="89" xfId="1" applyNumberFormat="1" applyFont="1" applyBorder="1">
      <alignment vertical="center"/>
    </xf>
    <xf numFmtId="183" fontId="22" fillId="0" borderId="81" xfId="1" applyNumberFormat="1" applyFont="1" applyBorder="1">
      <alignment vertical="center"/>
    </xf>
    <xf numFmtId="183" fontId="22" fillId="0" borderId="82" xfId="1" applyNumberFormat="1" applyFont="1" applyBorder="1">
      <alignment vertical="center"/>
    </xf>
    <xf numFmtId="183" fontId="22" fillId="0" borderId="86" xfId="1" applyNumberFormat="1" applyFont="1" applyBorder="1">
      <alignment vertical="center"/>
    </xf>
    <xf numFmtId="183" fontId="22" fillId="0" borderId="87" xfId="1" applyNumberFormat="1" applyFont="1" applyBorder="1">
      <alignment vertical="center"/>
    </xf>
    <xf numFmtId="183" fontId="22" fillId="6" borderId="93" xfId="1" applyNumberFormat="1" applyFont="1" applyFill="1" applyBorder="1">
      <alignment vertical="center"/>
    </xf>
    <xf numFmtId="183" fontId="22" fillId="6" borderId="85" xfId="1" applyNumberFormat="1" applyFont="1" applyFill="1" applyBorder="1">
      <alignment vertical="center"/>
    </xf>
    <xf numFmtId="183" fontId="22" fillId="3" borderId="93" xfId="1" applyNumberFormat="1" applyFont="1" applyFill="1" applyBorder="1">
      <alignment vertical="center"/>
    </xf>
    <xf numFmtId="183" fontId="22" fillId="3" borderId="85" xfId="1" applyNumberFormat="1" applyFont="1" applyFill="1" applyBorder="1">
      <alignment vertical="center"/>
    </xf>
    <xf numFmtId="183" fontId="22" fillId="4" borderId="93" xfId="1" applyNumberFormat="1" applyFont="1" applyFill="1" applyBorder="1">
      <alignment vertical="center"/>
    </xf>
    <xf numFmtId="183" fontId="22" fillId="4" borderId="85" xfId="1" applyNumberFormat="1" applyFont="1" applyFill="1" applyBorder="1">
      <alignment vertical="center"/>
    </xf>
    <xf numFmtId="183" fontId="24" fillId="0" borderId="104" xfId="1" applyNumberFormat="1" applyFont="1" applyBorder="1">
      <alignment vertical="center"/>
    </xf>
    <xf numFmtId="183" fontId="24" fillId="0" borderId="105" xfId="1" applyNumberFormat="1" applyFont="1" applyBorder="1">
      <alignment vertical="center"/>
    </xf>
    <xf numFmtId="183" fontId="22" fillId="0" borderId="100" xfId="1" applyNumberFormat="1" applyFont="1" applyBorder="1">
      <alignment vertical="center"/>
    </xf>
    <xf numFmtId="183" fontId="22" fillId="0" borderId="101" xfId="1" applyNumberFormat="1" applyFont="1" applyBorder="1">
      <alignment vertical="center"/>
    </xf>
    <xf numFmtId="183" fontId="22" fillId="0" borderId="102" xfId="1" applyNumberFormat="1" applyFont="1" applyBorder="1">
      <alignment vertical="center"/>
    </xf>
    <xf numFmtId="183" fontId="22" fillId="6" borderId="103" xfId="1" applyNumberFormat="1" applyFont="1" applyFill="1" applyBorder="1">
      <alignment vertical="center"/>
    </xf>
    <xf numFmtId="183" fontId="22" fillId="3" borderId="103" xfId="1" applyNumberFormat="1" applyFont="1" applyFill="1" applyBorder="1">
      <alignment vertical="center"/>
    </xf>
    <xf numFmtId="183" fontId="22" fillId="4" borderId="103" xfId="1" applyNumberFormat="1" applyFont="1" applyFill="1" applyBorder="1">
      <alignment vertical="center"/>
    </xf>
    <xf numFmtId="183" fontId="24" fillId="0" borderId="106" xfId="1" applyNumberFormat="1" applyFont="1" applyBorder="1">
      <alignment vertical="center"/>
    </xf>
    <xf numFmtId="183" fontId="22" fillId="0" borderId="108" xfId="1" applyNumberFormat="1" applyFont="1" applyBorder="1">
      <alignment vertical="center"/>
    </xf>
    <xf numFmtId="183" fontId="22" fillId="0" borderId="80" xfId="1" applyNumberFormat="1" applyFont="1" applyBorder="1">
      <alignment vertical="center"/>
    </xf>
    <xf numFmtId="183" fontId="22" fillId="0" borderId="110" xfId="1" applyNumberFormat="1" applyFont="1" applyBorder="1">
      <alignment vertical="center"/>
    </xf>
    <xf numFmtId="183" fontId="22" fillId="0" borderId="111" xfId="1" applyNumberFormat="1" applyFont="1" applyBorder="1">
      <alignment vertical="center"/>
    </xf>
    <xf numFmtId="183" fontId="22" fillId="6" borderId="112" xfId="1" applyNumberFormat="1" applyFont="1" applyFill="1" applyBorder="1">
      <alignment vertical="center"/>
    </xf>
    <xf numFmtId="183" fontId="22" fillId="0" borderId="113" xfId="1" applyNumberFormat="1" applyFont="1" applyBorder="1">
      <alignment vertical="center"/>
    </xf>
    <xf numFmtId="183" fontId="22" fillId="3" borderId="112" xfId="1" applyNumberFormat="1" applyFont="1" applyFill="1" applyBorder="1">
      <alignment vertical="center"/>
    </xf>
    <xf numFmtId="183" fontId="22" fillId="4" borderId="112" xfId="1" applyNumberFormat="1" applyFont="1" applyFill="1" applyBorder="1">
      <alignment vertical="center"/>
    </xf>
    <xf numFmtId="183" fontId="24" fillId="0" borderId="114" xfId="1" applyNumberFormat="1" applyFont="1" applyBorder="1">
      <alignment vertical="center"/>
    </xf>
    <xf numFmtId="183" fontId="24" fillId="0" borderId="115" xfId="1" applyNumberFormat="1" applyFont="1" applyBorder="1">
      <alignment vertical="center"/>
    </xf>
    <xf numFmtId="183" fontId="22" fillId="0" borderId="109" xfId="1" applyNumberFormat="1" applyFont="1" applyBorder="1">
      <alignment vertical="center"/>
    </xf>
    <xf numFmtId="183" fontId="24" fillId="0" borderId="116" xfId="1" applyNumberFormat="1" applyFont="1" applyBorder="1">
      <alignment vertical="center"/>
    </xf>
    <xf numFmtId="183" fontId="22" fillId="0" borderId="82" xfId="1" applyNumberFormat="1" applyFont="1" applyFill="1" applyBorder="1">
      <alignment vertical="center"/>
    </xf>
    <xf numFmtId="183" fontId="22" fillId="26" borderId="81" xfId="1" applyNumberFormat="1" applyFont="1" applyFill="1" applyBorder="1">
      <alignment vertical="center"/>
    </xf>
    <xf numFmtId="183" fontId="22" fillId="26" borderId="82" xfId="1" applyNumberFormat="1" applyFont="1" applyFill="1" applyBorder="1">
      <alignment vertical="center"/>
    </xf>
    <xf numFmtId="183" fontId="22" fillId="26" borderId="86" xfId="1" applyNumberFormat="1" applyFont="1" applyFill="1" applyBorder="1">
      <alignment vertical="center"/>
    </xf>
    <xf numFmtId="183" fontId="22" fillId="26" borderId="87" xfId="1" applyNumberFormat="1" applyFont="1" applyFill="1" applyBorder="1">
      <alignment vertical="center"/>
    </xf>
    <xf numFmtId="183" fontId="22" fillId="0" borderId="83" xfId="1" applyNumberFormat="1" applyFont="1" applyFill="1" applyBorder="1">
      <alignment vertical="center"/>
    </xf>
    <xf numFmtId="183" fontId="22" fillId="0" borderId="87" xfId="1" applyNumberFormat="1" applyFont="1" applyFill="1" applyBorder="1">
      <alignment vertical="center"/>
    </xf>
    <xf numFmtId="183" fontId="22" fillId="0" borderId="95" xfId="1" applyNumberFormat="1" applyFont="1" applyFill="1" applyBorder="1">
      <alignment vertical="center"/>
    </xf>
    <xf numFmtId="183" fontId="22" fillId="0" borderId="96" xfId="1" applyNumberFormat="1" applyFont="1" applyFill="1" applyBorder="1">
      <alignment vertical="center"/>
    </xf>
    <xf numFmtId="183" fontId="22" fillId="0" borderId="84" xfId="1" applyNumberFormat="1" applyFont="1" applyFill="1" applyBorder="1">
      <alignment vertical="center"/>
    </xf>
    <xf numFmtId="183" fontId="22" fillId="0" borderId="120" xfId="1" applyNumberFormat="1" applyFont="1" applyFill="1" applyBorder="1">
      <alignment vertical="center"/>
    </xf>
    <xf numFmtId="183" fontId="22" fillId="0" borderId="121" xfId="1" applyNumberFormat="1" applyFont="1" applyFill="1" applyBorder="1">
      <alignment vertical="center"/>
    </xf>
    <xf numFmtId="183" fontId="22" fillId="0" borderId="96" xfId="1" applyNumberFormat="1" applyFont="1" applyBorder="1">
      <alignment vertical="center"/>
    </xf>
    <xf numFmtId="183" fontId="22" fillId="0" borderId="84" xfId="1" applyNumberFormat="1" applyFont="1" applyBorder="1">
      <alignment vertical="center"/>
    </xf>
    <xf numFmtId="183" fontId="22" fillId="0" borderId="121" xfId="1" applyNumberFormat="1" applyFont="1" applyBorder="1">
      <alignment vertical="center"/>
    </xf>
    <xf numFmtId="183" fontId="22" fillId="26" borderId="101" xfId="1" applyNumberFormat="1" applyFont="1" applyFill="1" applyBorder="1">
      <alignment vertical="center"/>
    </xf>
    <xf numFmtId="183" fontId="22" fillId="26" borderId="102" xfId="1" applyNumberFormat="1" applyFont="1" applyFill="1" applyBorder="1">
      <alignment vertical="center"/>
    </xf>
    <xf numFmtId="183" fontId="22" fillId="0" borderId="117" xfId="1" applyNumberFormat="1" applyFont="1" applyBorder="1">
      <alignment vertical="center"/>
    </xf>
    <xf numFmtId="183" fontId="22" fillId="0" borderId="118" xfId="1" applyNumberFormat="1" applyFont="1" applyBorder="1">
      <alignment vertical="center"/>
    </xf>
    <xf numFmtId="183" fontId="22" fillId="0" borderId="122" xfId="1" applyNumberFormat="1" applyFont="1" applyBorder="1">
      <alignment vertical="center"/>
    </xf>
    <xf numFmtId="183" fontId="22" fillId="0" borderId="123" xfId="1" applyNumberFormat="1" applyFont="1" applyBorder="1">
      <alignment vertical="center"/>
    </xf>
    <xf numFmtId="183" fontId="22" fillId="0" borderId="124" xfId="1" applyNumberFormat="1" applyFont="1" applyBorder="1">
      <alignment vertical="center"/>
    </xf>
    <xf numFmtId="183" fontId="22" fillId="0" borderId="125" xfId="1" applyNumberFormat="1" applyFont="1" applyBorder="1">
      <alignment vertical="center"/>
    </xf>
    <xf numFmtId="184" fontId="15" fillId="16" borderId="0" xfId="1" applyNumberFormat="1" applyFont="1" applyFill="1" applyAlignment="1">
      <alignment horizontal="center" vertical="center"/>
    </xf>
    <xf numFmtId="184" fontId="15" fillId="22" borderId="0" xfId="1" applyNumberFormat="1" applyFont="1" applyFill="1" applyAlignment="1">
      <alignment horizontal="center" vertical="center"/>
    </xf>
    <xf numFmtId="184" fontId="15" fillId="15" borderId="0" xfId="1" applyNumberFormat="1" applyFont="1" applyFill="1" applyAlignment="1">
      <alignment horizontal="center" vertical="center"/>
    </xf>
    <xf numFmtId="184" fontId="15" fillId="5" borderId="0" xfId="1" applyNumberFormat="1" applyFont="1" applyFill="1" applyAlignment="1">
      <alignment horizontal="center" vertical="center"/>
    </xf>
    <xf numFmtId="184" fontId="15" fillId="23" borderId="0" xfId="1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38" fontId="16" fillId="2" borderId="0" xfId="1" applyFont="1" applyFill="1">
      <alignment vertical="center"/>
    </xf>
    <xf numFmtId="1" fontId="11" fillId="2" borderId="0" xfId="1" applyNumberFormat="1" applyFont="1" applyFill="1">
      <alignment vertical="center"/>
    </xf>
    <xf numFmtId="1" fontId="13" fillId="2" borderId="0" xfId="1" applyNumberFormat="1" applyFont="1" applyFill="1">
      <alignment vertical="center"/>
    </xf>
    <xf numFmtId="38" fontId="20" fillId="2" borderId="0" xfId="1" applyFont="1" applyFill="1">
      <alignment vertical="center"/>
    </xf>
    <xf numFmtId="0" fontId="26" fillId="0" borderId="130" xfId="0" applyFont="1" applyBorder="1">
      <alignment vertical="center"/>
    </xf>
    <xf numFmtId="183" fontId="22" fillId="26" borderId="88" xfId="1" applyNumberFormat="1" applyFont="1" applyFill="1" applyBorder="1">
      <alignment vertical="center"/>
    </xf>
    <xf numFmtId="183" fontId="22" fillId="26" borderId="89" xfId="1" applyNumberFormat="1" applyFont="1" applyFill="1" applyBorder="1">
      <alignment vertical="center"/>
    </xf>
    <xf numFmtId="176" fontId="22" fillId="26" borderId="89" xfId="2" applyNumberFormat="1" applyFont="1" applyFill="1" applyBorder="1">
      <alignment vertical="center"/>
    </xf>
    <xf numFmtId="183" fontId="22" fillId="26" borderId="100" xfId="1" applyNumberFormat="1" applyFont="1" applyFill="1" applyBorder="1">
      <alignment vertical="center"/>
    </xf>
    <xf numFmtId="0" fontId="31" fillId="0" borderId="0" xfId="0" applyFont="1">
      <alignment vertical="center"/>
    </xf>
    <xf numFmtId="38" fontId="31" fillId="0" borderId="0" xfId="0" applyNumberFormat="1" applyFont="1">
      <alignment vertical="center"/>
    </xf>
    <xf numFmtId="9" fontId="31" fillId="0" borderId="0" xfId="2" applyFont="1">
      <alignment vertical="center"/>
    </xf>
    <xf numFmtId="38" fontId="31" fillId="0" borderId="0" xfId="1" applyFont="1">
      <alignment vertical="center"/>
    </xf>
    <xf numFmtId="0" fontId="11" fillId="11" borderId="0" xfId="0" applyFont="1" applyFill="1">
      <alignment vertical="center"/>
    </xf>
    <xf numFmtId="0" fontId="16" fillId="11" borderId="0" xfId="0" applyFont="1" applyFill="1">
      <alignment vertical="center"/>
    </xf>
    <xf numFmtId="9" fontId="11" fillId="11" borderId="0" xfId="0" applyNumberFormat="1" applyFont="1" applyFill="1">
      <alignment vertical="center"/>
    </xf>
    <xf numFmtId="0" fontId="31" fillId="7" borderId="0" xfId="0" applyFont="1" applyFill="1">
      <alignment vertical="center"/>
    </xf>
    <xf numFmtId="0" fontId="32" fillId="7" borderId="0" xfId="0" applyFont="1" applyFill="1">
      <alignment vertical="center"/>
    </xf>
    <xf numFmtId="38" fontId="33" fillId="2" borderId="0" xfId="1" applyFont="1" applyFill="1">
      <alignment vertical="center"/>
    </xf>
    <xf numFmtId="0" fontId="13" fillId="0" borderId="65" xfId="0" applyFont="1" applyBorder="1">
      <alignment vertical="center"/>
    </xf>
    <xf numFmtId="38" fontId="13" fillId="2" borderId="65" xfId="1" applyFont="1" applyFill="1" applyBorder="1">
      <alignment vertical="center"/>
    </xf>
    <xf numFmtId="38" fontId="13" fillId="0" borderId="65" xfId="1" applyFont="1" applyBorder="1">
      <alignment vertical="center"/>
    </xf>
    <xf numFmtId="38" fontId="34" fillId="0" borderId="0" xfId="1" applyFont="1">
      <alignment vertical="center"/>
    </xf>
    <xf numFmtId="178" fontId="21" fillId="16" borderId="0" xfId="1" applyNumberFormat="1" applyFont="1" applyFill="1" applyAlignment="1">
      <alignment horizontal="center" vertical="center"/>
    </xf>
    <xf numFmtId="38" fontId="21" fillId="16" borderId="0" xfId="1" applyFont="1" applyFill="1" applyAlignment="1">
      <alignment horizontal="center" vertical="center"/>
    </xf>
    <xf numFmtId="179" fontId="21" fillId="16" borderId="0" xfId="1" applyNumberFormat="1" applyFont="1" applyFill="1" applyAlignment="1">
      <alignment horizontal="center" vertical="center"/>
    </xf>
    <xf numFmtId="184" fontId="21" fillId="16" borderId="0" xfId="1" applyNumberFormat="1" applyFont="1" applyFill="1" applyAlignment="1">
      <alignment horizontal="center" vertical="center"/>
    </xf>
    <xf numFmtId="0" fontId="21" fillId="22" borderId="0" xfId="0" applyFont="1" applyFill="1">
      <alignment vertical="center"/>
    </xf>
    <xf numFmtId="178" fontId="21" fillId="22" borderId="0" xfId="1" applyNumberFormat="1" applyFont="1" applyFill="1" applyAlignment="1">
      <alignment horizontal="center" vertical="center"/>
    </xf>
    <xf numFmtId="38" fontId="21" fillId="22" borderId="0" xfId="1" applyFont="1" applyFill="1" applyAlignment="1">
      <alignment horizontal="center" vertical="center"/>
    </xf>
    <xf numFmtId="179" fontId="21" fillId="22" borderId="0" xfId="1" applyNumberFormat="1" applyFont="1" applyFill="1" applyAlignment="1">
      <alignment horizontal="center" vertical="center"/>
    </xf>
    <xf numFmtId="184" fontId="21" fillId="22" borderId="0" xfId="1" applyNumberFormat="1" applyFont="1" applyFill="1" applyAlignment="1">
      <alignment horizontal="center" vertical="center"/>
    </xf>
    <xf numFmtId="178" fontId="21" fillId="15" borderId="0" xfId="1" applyNumberFormat="1" applyFont="1" applyFill="1" applyAlignment="1">
      <alignment horizontal="center" vertical="center"/>
    </xf>
    <xf numFmtId="38" fontId="21" fillId="15" borderId="0" xfId="1" applyFont="1" applyFill="1" applyAlignment="1">
      <alignment horizontal="center" vertical="center"/>
    </xf>
    <xf numFmtId="179" fontId="21" fillId="15" borderId="0" xfId="1" applyNumberFormat="1" applyFont="1" applyFill="1" applyAlignment="1">
      <alignment horizontal="center" vertical="center"/>
    </xf>
    <xf numFmtId="184" fontId="21" fillId="15" borderId="0" xfId="1" applyNumberFormat="1" applyFont="1" applyFill="1" applyAlignment="1">
      <alignment horizontal="center" vertical="center"/>
    </xf>
    <xf numFmtId="178" fontId="21" fillId="5" borderId="0" xfId="1" applyNumberFormat="1" applyFont="1" applyFill="1" applyAlignment="1">
      <alignment horizontal="center" vertical="center"/>
    </xf>
    <xf numFmtId="38" fontId="21" fillId="5" borderId="0" xfId="1" applyFont="1" applyFill="1" applyAlignment="1">
      <alignment horizontal="center" vertical="center"/>
    </xf>
    <xf numFmtId="179" fontId="21" fillId="5" borderId="0" xfId="1" applyNumberFormat="1" applyFont="1" applyFill="1" applyAlignment="1">
      <alignment horizontal="center" vertical="center"/>
    </xf>
    <xf numFmtId="184" fontId="21" fillId="5" borderId="0" xfId="1" applyNumberFormat="1" applyFont="1" applyFill="1" applyAlignment="1">
      <alignment horizontal="center" vertical="center"/>
    </xf>
    <xf numFmtId="178" fontId="21" fillId="23" borderId="0" xfId="1" applyNumberFormat="1" applyFont="1" applyFill="1" applyAlignment="1">
      <alignment horizontal="center" vertical="center"/>
    </xf>
    <xf numFmtId="38" fontId="21" fillId="23" borderId="0" xfId="1" applyFont="1" applyFill="1" applyAlignment="1">
      <alignment horizontal="center" vertical="center"/>
    </xf>
    <xf numFmtId="179" fontId="21" fillId="23" borderId="0" xfId="1" applyNumberFormat="1" applyFont="1" applyFill="1" applyAlignment="1">
      <alignment horizontal="center" vertical="center"/>
    </xf>
    <xf numFmtId="184" fontId="21" fillId="23" borderId="0" xfId="1" applyNumberFormat="1" applyFont="1" applyFill="1" applyAlignment="1">
      <alignment horizontal="center" vertical="center"/>
    </xf>
    <xf numFmtId="0" fontId="20" fillId="0" borderId="0" xfId="0" applyFont="1">
      <alignment vertical="center"/>
    </xf>
    <xf numFmtId="0" fontId="13" fillId="6" borderId="0" xfId="0" applyFont="1" applyFill="1">
      <alignment vertical="center"/>
    </xf>
    <xf numFmtId="0" fontId="20" fillId="6" borderId="0" xfId="0" applyFont="1" applyFill="1">
      <alignment vertical="center"/>
    </xf>
    <xf numFmtId="38" fontId="13" fillId="6" borderId="0" xfId="1" applyFont="1" applyFill="1">
      <alignment vertical="center"/>
    </xf>
    <xf numFmtId="0" fontId="13" fillId="21" borderId="0" xfId="0" applyFont="1" applyFill="1">
      <alignment vertical="center"/>
    </xf>
    <xf numFmtId="0" fontId="20" fillId="21" borderId="0" xfId="0" applyFont="1" applyFill="1">
      <alignment vertical="center"/>
    </xf>
    <xf numFmtId="38" fontId="13" fillId="21" borderId="0" xfId="1" applyFont="1" applyFill="1">
      <alignment vertical="center"/>
    </xf>
    <xf numFmtId="38" fontId="20" fillId="0" borderId="0" xfId="1" applyFont="1">
      <alignment vertical="center"/>
    </xf>
    <xf numFmtId="38" fontId="20" fillId="6" borderId="0" xfId="1" applyFont="1" applyFill="1">
      <alignment vertical="center"/>
    </xf>
    <xf numFmtId="0" fontId="20" fillId="11" borderId="0" xfId="0" applyFont="1" applyFill="1">
      <alignment vertical="center"/>
    </xf>
    <xf numFmtId="38" fontId="13" fillId="11" borderId="0" xfId="1" applyFont="1" applyFill="1">
      <alignment vertical="center"/>
    </xf>
    <xf numFmtId="1" fontId="13" fillId="0" borderId="0" xfId="1" applyNumberFormat="1" applyFont="1">
      <alignment vertical="center"/>
    </xf>
    <xf numFmtId="38" fontId="13" fillId="0" borderId="0" xfId="1" applyFont="1" applyAlignment="1">
      <alignment vertical="center" wrapText="1"/>
    </xf>
    <xf numFmtId="38" fontId="13" fillId="10" borderId="0" xfId="1" applyFont="1" applyFill="1">
      <alignment vertical="center"/>
    </xf>
    <xf numFmtId="38" fontId="35" fillId="0" borderId="0" xfId="0" applyNumberFormat="1" applyFont="1">
      <alignment vertical="center"/>
    </xf>
    <xf numFmtId="176" fontId="11" fillId="0" borderId="0" xfId="2" applyNumberFormat="1" applyFont="1">
      <alignment vertical="center"/>
    </xf>
    <xf numFmtId="176" fontId="13" fillId="0" borderId="0" xfId="2" applyNumberFormat="1" applyFont="1">
      <alignment vertical="center"/>
    </xf>
    <xf numFmtId="183" fontId="36" fillId="0" borderId="131" xfId="1" applyNumberFormat="1" applyFont="1" applyBorder="1">
      <alignment vertical="center"/>
    </xf>
    <xf numFmtId="183" fontId="22" fillId="0" borderId="132" xfId="1" applyNumberFormat="1" applyFont="1" applyBorder="1">
      <alignment vertical="center"/>
    </xf>
    <xf numFmtId="0" fontId="23" fillId="24" borderId="133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38" fontId="35" fillId="0" borderId="0" xfId="0" applyNumberFormat="1" applyFont="1" applyAlignment="1">
      <alignment vertical="center" wrapText="1"/>
    </xf>
    <xf numFmtId="38" fontId="37" fillId="0" borderId="0" xfId="0" applyNumberFormat="1" applyFont="1">
      <alignment vertical="center"/>
    </xf>
    <xf numFmtId="0" fontId="37" fillId="0" borderId="0" xfId="0" applyFont="1">
      <alignment vertical="center"/>
    </xf>
    <xf numFmtId="9" fontId="31" fillId="25" borderId="0" xfId="2" applyFont="1" applyFill="1">
      <alignment vertical="center"/>
    </xf>
    <xf numFmtId="0" fontId="31" fillId="25" borderId="0" xfId="0" applyFont="1" applyFill="1">
      <alignment vertical="center"/>
    </xf>
    <xf numFmtId="9" fontId="35" fillId="0" borderId="0" xfId="2" applyFont="1">
      <alignment vertical="center"/>
    </xf>
    <xf numFmtId="0" fontId="38" fillId="7" borderId="0" xfId="0" applyFont="1" applyFill="1">
      <alignment vertical="center"/>
    </xf>
    <xf numFmtId="0" fontId="35" fillId="7" borderId="0" xfId="0" applyFont="1" applyFill="1">
      <alignment vertical="center"/>
    </xf>
    <xf numFmtId="0" fontId="39" fillId="0" borderId="0" xfId="0" applyFont="1">
      <alignment vertical="center"/>
    </xf>
    <xf numFmtId="38" fontId="39" fillId="0" borderId="0" xfId="0" applyNumberFormat="1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38" fontId="41" fillId="0" borderId="0" xfId="0" applyNumberFormat="1" applyFont="1">
      <alignment vertical="center"/>
    </xf>
    <xf numFmtId="0" fontId="42" fillId="0" borderId="0" xfId="0" applyFont="1">
      <alignment vertical="center"/>
    </xf>
    <xf numFmtId="38" fontId="42" fillId="0" borderId="0" xfId="0" applyNumberFormat="1" applyFont="1">
      <alignment vertical="center"/>
    </xf>
    <xf numFmtId="0" fontId="43" fillId="0" borderId="0" xfId="0" applyFont="1">
      <alignment vertical="center"/>
    </xf>
    <xf numFmtId="38" fontId="43" fillId="0" borderId="0" xfId="0" applyNumberFormat="1" applyFont="1">
      <alignment vertical="center"/>
    </xf>
    <xf numFmtId="0" fontId="44" fillId="0" borderId="0" xfId="0" applyFont="1">
      <alignment vertical="center"/>
    </xf>
    <xf numFmtId="38" fontId="44" fillId="0" borderId="0" xfId="0" applyNumberFormat="1" applyFont="1">
      <alignment vertical="center"/>
    </xf>
    <xf numFmtId="38" fontId="40" fillId="0" borderId="0" xfId="0" applyNumberFormat="1" applyFont="1">
      <alignment vertical="center"/>
    </xf>
    <xf numFmtId="38" fontId="46" fillId="0" borderId="0" xfId="0" applyNumberFormat="1" applyFont="1">
      <alignment vertical="center"/>
    </xf>
    <xf numFmtId="0" fontId="47" fillId="0" borderId="0" xfId="0" applyFont="1">
      <alignment vertical="center"/>
    </xf>
    <xf numFmtId="38" fontId="48" fillId="0" borderId="0" xfId="0" applyNumberFormat="1" applyFont="1">
      <alignment vertical="center"/>
    </xf>
    <xf numFmtId="38" fontId="49" fillId="0" borderId="0" xfId="0" applyNumberFormat="1" applyFont="1">
      <alignment vertical="center"/>
    </xf>
    <xf numFmtId="38" fontId="50" fillId="0" borderId="0" xfId="0" applyNumberFormat="1" applyFont="1">
      <alignment vertical="center"/>
    </xf>
    <xf numFmtId="38" fontId="51" fillId="0" borderId="0" xfId="0" applyNumberFormat="1" applyFont="1">
      <alignment vertical="center"/>
    </xf>
    <xf numFmtId="38" fontId="52" fillId="0" borderId="0" xfId="0" applyNumberFormat="1" applyFont="1">
      <alignment vertical="center"/>
    </xf>
    <xf numFmtId="38" fontId="53" fillId="0" borderId="0" xfId="0" applyNumberFormat="1" applyFont="1">
      <alignment vertical="center"/>
    </xf>
    <xf numFmtId="38" fontId="54" fillId="0" borderId="0" xfId="0" applyNumberFormat="1" applyFont="1">
      <alignment vertical="center"/>
    </xf>
    <xf numFmtId="38" fontId="48" fillId="25" borderId="0" xfId="0" applyNumberFormat="1" applyFont="1" applyFill="1">
      <alignment vertical="center"/>
    </xf>
    <xf numFmtId="38" fontId="55" fillId="0" borderId="0" xfId="0" applyNumberFormat="1" applyFont="1">
      <alignment vertical="center"/>
    </xf>
    <xf numFmtId="38" fontId="56" fillId="0" borderId="0" xfId="0" applyNumberFormat="1" applyFont="1">
      <alignment vertical="center"/>
    </xf>
    <xf numFmtId="38" fontId="57" fillId="0" borderId="0" xfId="0" applyNumberFormat="1" applyFont="1">
      <alignment vertical="center"/>
    </xf>
    <xf numFmtId="38" fontId="51" fillId="25" borderId="0" xfId="0" applyNumberFormat="1" applyFont="1" applyFill="1">
      <alignment vertical="center"/>
    </xf>
    <xf numFmtId="38" fontId="49" fillId="25" borderId="0" xfId="0" applyNumberFormat="1" applyFont="1" applyFill="1">
      <alignment vertical="center"/>
    </xf>
    <xf numFmtId="38" fontId="50" fillId="25" borderId="0" xfId="0" applyNumberFormat="1" applyFont="1" applyFill="1">
      <alignment vertical="center"/>
    </xf>
    <xf numFmtId="38" fontId="54" fillId="25" borderId="0" xfId="0" applyNumberFormat="1" applyFont="1" applyFill="1">
      <alignment vertical="center"/>
    </xf>
    <xf numFmtId="38" fontId="57" fillId="25" borderId="0" xfId="0" applyNumberFormat="1" applyFont="1" applyFill="1">
      <alignment vertical="center"/>
    </xf>
    <xf numFmtId="38" fontId="52" fillId="25" borderId="0" xfId="0" applyNumberFormat="1" applyFont="1" applyFill="1">
      <alignment vertical="center"/>
    </xf>
    <xf numFmtId="38" fontId="56" fillId="25" borderId="0" xfId="0" applyNumberFormat="1" applyFont="1" applyFill="1">
      <alignment vertical="center"/>
    </xf>
    <xf numFmtId="38" fontId="53" fillId="25" borderId="0" xfId="0" applyNumberFormat="1" applyFont="1" applyFill="1">
      <alignment vertical="center"/>
    </xf>
    <xf numFmtId="0" fontId="45" fillId="25" borderId="0" xfId="0" applyFont="1" applyFill="1">
      <alignment vertical="center"/>
    </xf>
    <xf numFmtId="0" fontId="58" fillId="25" borderId="0" xfId="0" applyFont="1" applyFill="1">
      <alignment vertical="center"/>
    </xf>
    <xf numFmtId="0" fontId="59" fillId="25" borderId="0" xfId="0" applyFont="1" applyFill="1">
      <alignment vertical="center"/>
    </xf>
    <xf numFmtId="0" fontId="60" fillId="25" borderId="0" xfId="0" applyFont="1" applyFill="1">
      <alignment vertical="center"/>
    </xf>
    <xf numFmtId="38" fontId="12" fillId="0" borderId="0" xfId="1" applyFont="1" applyFill="1">
      <alignment vertical="center"/>
    </xf>
    <xf numFmtId="0" fontId="24" fillId="3" borderId="42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2" fillId="0" borderId="126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4" fillId="4" borderId="42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30" fillId="24" borderId="14" xfId="0" applyFont="1" applyFill="1" applyBorder="1" applyAlignment="1">
      <alignment horizontal="center" vertical="center"/>
    </xf>
    <xf numFmtId="0" fontId="30" fillId="24" borderId="49" xfId="0" applyFont="1" applyFill="1" applyBorder="1" applyAlignment="1">
      <alignment horizontal="center" vertical="center"/>
    </xf>
    <xf numFmtId="181" fontId="30" fillId="24" borderId="61" xfId="0" applyNumberFormat="1" applyFont="1" applyFill="1" applyBorder="1" applyAlignment="1">
      <alignment horizontal="center" vertical="center"/>
    </xf>
    <xf numFmtId="181" fontId="30" fillId="24" borderId="76" xfId="0" applyNumberFormat="1" applyFont="1" applyFill="1" applyBorder="1" applyAlignment="1">
      <alignment horizontal="center" vertical="center"/>
    </xf>
    <xf numFmtId="182" fontId="30" fillId="24" borderId="38" xfId="0" applyNumberFormat="1" applyFont="1" applyFill="1" applyBorder="1" applyAlignment="1">
      <alignment horizontal="center" vertical="center"/>
    </xf>
    <xf numFmtId="182" fontId="30" fillId="24" borderId="61" xfId="0" applyNumberFormat="1" applyFont="1" applyFill="1" applyBorder="1" applyAlignment="1">
      <alignment horizontal="center" vertical="center"/>
    </xf>
    <xf numFmtId="182" fontId="30" fillId="24" borderId="76" xfId="0" applyNumberFormat="1" applyFont="1" applyFill="1" applyBorder="1" applyAlignment="1">
      <alignment horizontal="center" vertical="center"/>
    </xf>
    <xf numFmtId="0" fontId="24" fillId="6" borderId="42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180" fontId="28" fillId="25" borderId="0" xfId="0" applyNumberFormat="1" applyFont="1" applyFill="1" applyAlignment="1">
      <alignment horizontal="center" vertical="center"/>
    </xf>
    <xf numFmtId="0" fontId="30" fillId="24" borderId="71" xfId="0" applyFont="1" applyFill="1" applyBorder="1" applyAlignment="1">
      <alignment horizontal="center" vertical="center"/>
    </xf>
    <xf numFmtId="0" fontId="30" fillId="24" borderId="77" xfId="0" applyFont="1" applyFill="1" applyBorder="1" applyAlignment="1">
      <alignment horizontal="center" vertical="center"/>
    </xf>
    <xf numFmtId="0" fontId="30" fillId="24" borderId="70" xfId="0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30" fillId="24" borderId="15" xfId="0" applyFont="1" applyFill="1" applyBorder="1" applyAlignment="1">
      <alignment horizontal="center" vertical="center"/>
    </xf>
    <xf numFmtId="0" fontId="30" fillId="24" borderId="50" xfId="0" applyFont="1" applyFill="1" applyBorder="1" applyAlignment="1">
      <alignment horizontal="center" vertical="center"/>
    </xf>
    <xf numFmtId="0" fontId="11" fillId="17" borderId="50" xfId="0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5" fillId="16" borderId="22" xfId="0" applyFont="1" applyFill="1" applyBorder="1" applyAlignment="1">
      <alignment horizontal="center" vertical="center"/>
    </xf>
    <xf numFmtId="0" fontId="15" fillId="16" borderId="76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71" xfId="0" applyFont="1" applyFill="1" applyBorder="1" applyAlignment="1">
      <alignment horizontal="center" vertical="center"/>
    </xf>
    <xf numFmtId="0" fontId="11" fillId="3" borderId="70" xfId="0" applyFon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13" fillId="3" borderId="67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79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22" fillId="6" borderId="127" xfId="0" applyFont="1" applyFill="1" applyBorder="1" applyAlignment="1">
      <alignment vertical="center"/>
    </xf>
    <xf numFmtId="0" fontId="22" fillId="6" borderId="10" xfId="0" applyFont="1" applyFill="1" applyBorder="1" applyAlignment="1">
      <alignment vertical="center"/>
    </xf>
    <xf numFmtId="0" fontId="22" fillId="6" borderId="70" xfId="0" applyFont="1" applyFill="1" applyBorder="1" applyAlignment="1">
      <alignment vertical="center"/>
    </xf>
    <xf numFmtId="0" fontId="22" fillId="6" borderId="2" xfId="0" applyFont="1" applyFill="1" applyBorder="1" applyAlignment="1">
      <alignment vertical="center"/>
    </xf>
    <xf numFmtId="0" fontId="22" fillId="3" borderId="47" xfId="0" applyFont="1" applyFill="1" applyBorder="1" applyAlignment="1">
      <alignment vertical="center"/>
    </xf>
    <xf numFmtId="0" fontId="22" fillId="3" borderId="73" xfId="0" applyFont="1" applyFill="1" applyBorder="1" applyAlignment="1">
      <alignment vertical="center"/>
    </xf>
    <xf numFmtId="0" fontId="22" fillId="3" borderId="70" xfId="0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22" fillId="4" borderId="47" xfId="0" applyFont="1" applyFill="1" applyBorder="1" applyAlignment="1">
      <alignment vertical="center"/>
    </xf>
    <xf numFmtId="0" fontId="22" fillId="4" borderId="73" xfId="0" applyFont="1" applyFill="1" applyBorder="1" applyAlignment="1">
      <alignment vertical="center"/>
    </xf>
    <xf numFmtId="0" fontId="22" fillId="4" borderId="70" xfId="0" applyFont="1" applyFill="1" applyBorder="1" applyAlignment="1">
      <alignment vertical="center"/>
    </xf>
    <xf numFmtId="0" fontId="22" fillId="4" borderId="2" xfId="0" applyFont="1" applyFill="1" applyBorder="1" applyAlignme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5050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商談ステージ数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グラフ!$B$2:$C$2</c:f>
              <c:strCache>
                <c:ptCount val="2"/>
                <c:pt idx="0">
                  <c:v>WEB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グラフ!$D$2:$O$2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207.40740740740742</c:v>
                </c:pt>
                <c:pt idx="3">
                  <c:v>656.29629629629642</c:v>
                </c:pt>
                <c:pt idx="4">
                  <c:v>1271.8518518518522</c:v>
                </c:pt>
                <c:pt idx="5">
                  <c:v>2114.5185185185192</c:v>
                </c:pt>
                <c:pt idx="6">
                  <c:v>3147.3333333333339</c:v>
                </c:pt>
                <c:pt idx="7">
                  <c:v>4486.8148148148157</c:v>
                </c:pt>
                <c:pt idx="8">
                  <c:v>5587.4814814814827</c:v>
                </c:pt>
                <c:pt idx="9">
                  <c:v>6724.592592592594</c:v>
                </c:pt>
                <c:pt idx="10">
                  <c:v>6237.2592592592609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6-4EA4-8891-EA481439951E}"/>
            </c:ext>
          </c:extLst>
        </c:ser>
        <c:ser>
          <c:idx val="1"/>
          <c:order val="1"/>
          <c:tx>
            <c:strRef>
              <c:f>グラフ!$B$3:$C$3</c:f>
              <c:strCache>
                <c:ptCount val="2"/>
                <c:pt idx="0">
                  <c:v>WEB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2240801299849857E-2"/>
                  <c:y val="-6.72551403183180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82-4A32-AD40-B8CEFBFE83DB}"/>
                </c:ext>
              </c:extLst>
            </c:dLbl>
            <c:dLbl>
              <c:idx val="4"/>
              <c:layout>
                <c:manualLayout>
                  <c:x val="-2.0896320519939945E-2"/>
                  <c:y val="-3.3627570159159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82-4A32-AD40-B8CEFBFE83DB}"/>
                </c:ext>
              </c:extLst>
            </c:dLbl>
            <c:dLbl>
              <c:idx val="5"/>
              <c:layout>
                <c:manualLayout>
                  <c:x val="3.1344480779909915E-2"/>
                  <c:y val="-4.7078598222822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82-4A32-AD40-B8CEFBFE83DB}"/>
                </c:ext>
              </c:extLst>
            </c:dLbl>
            <c:dLbl>
              <c:idx val="6"/>
              <c:layout>
                <c:manualLayout>
                  <c:x val="6.7913041689804721E-2"/>
                  <c:y val="-2.3539299111411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82-4A32-AD40-B8CEFBFE83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グラフ!$D$3:$O$3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404</c:v>
                </c:pt>
                <c:pt idx="4">
                  <c:v>454</c:v>
                </c:pt>
                <c:pt idx="5">
                  <c:v>496</c:v>
                </c:pt>
                <c:pt idx="6">
                  <c:v>503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6-4EA4-8891-EA481439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商談ステージ数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グラフ!$B$4:$C$4</c:f>
              <c:strCache>
                <c:ptCount val="2"/>
                <c:pt idx="0">
                  <c:v>法人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グラフ!$D$4:$O$4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6.5789473684210522</c:v>
                </c:pt>
                <c:pt idx="2">
                  <c:v>23.815789473684209</c:v>
                </c:pt>
                <c:pt idx="3">
                  <c:v>42.631578947368418</c:v>
                </c:pt>
                <c:pt idx="4">
                  <c:v>58.94736842105263</c:v>
                </c:pt>
                <c:pt idx="5">
                  <c:v>75.263157894736835</c:v>
                </c:pt>
                <c:pt idx="6">
                  <c:v>85</c:v>
                </c:pt>
                <c:pt idx="7">
                  <c:v>77.5</c:v>
                </c:pt>
                <c:pt idx="8">
                  <c:v>77.5</c:v>
                </c:pt>
                <c:pt idx="9">
                  <c:v>77.5</c:v>
                </c:pt>
                <c:pt idx="10">
                  <c:v>77.5</c:v>
                </c:pt>
                <c:pt idx="11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6-4485-95CD-F857DF0172D8}"/>
            </c:ext>
          </c:extLst>
        </c:ser>
        <c:ser>
          <c:idx val="1"/>
          <c:order val="1"/>
          <c:tx>
            <c:strRef>
              <c:f>グラフ!$B$5:$C$5</c:f>
              <c:strCache>
                <c:ptCount val="2"/>
                <c:pt idx="0">
                  <c:v>法人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グラフ!$D$5:$O$5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13</c:v>
                </c:pt>
                <c:pt idx="3">
                  <c:v>29</c:v>
                </c:pt>
                <c:pt idx="4">
                  <c:v>50</c:v>
                </c:pt>
                <c:pt idx="5">
                  <c:v>63</c:v>
                </c:pt>
                <c:pt idx="6">
                  <c:v>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6-4485-95CD-F857DF017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商談ステージ数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グラフ!$B$6:$C$6</c:f>
              <c:strCache>
                <c:ptCount val="2"/>
                <c:pt idx="0">
                  <c:v>代理店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グラフ!$D$6:$O$6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27.777777777777782</c:v>
                </c:pt>
                <c:pt idx="3">
                  <c:v>72.222222222222243</c:v>
                </c:pt>
                <c:pt idx="4">
                  <c:v>102.22222222222224</c:v>
                </c:pt>
                <c:pt idx="5">
                  <c:v>140.00000000000003</c:v>
                </c:pt>
                <c:pt idx="6">
                  <c:v>182.22222222222226</c:v>
                </c:pt>
                <c:pt idx="7">
                  <c:v>217.77777777777783</c:v>
                </c:pt>
                <c:pt idx="8">
                  <c:v>164.44444444444449</c:v>
                </c:pt>
                <c:pt idx="9">
                  <c:v>164.44444444444449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C-4BC4-A525-6AC96FC15CFF}"/>
            </c:ext>
          </c:extLst>
        </c:ser>
        <c:ser>
          <c:idx val="1"/>
          <c:order val="1"/>
          <c:tx>
            <c:strRef>
              <c:f>グラフ!$B$7:$C$7</c:f>
              <c:strCache>
                <c:ptCount val="2"/>
                <c:pt idx="0">
                  <c:v>代理店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グラフ!$D$7:$O$7</c:f>
              <c:numCache>
                <c:formatCode>#,##0_);[Red]\(#,##0\)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C-4BC4-A525-6AC96FC15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商談ステージ数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グラフ!$B$8:$C$8</c:f>
              <c:strCache>
                <c:ptCount val="2"/>
                <c:pt idx="0">
                  <c:v>クロスセル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グラフ!$D$8:$O$8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57.2</c:v>
                </c:pt>
                <c:pt idx="3">
                  <c:v>156.80000000000001</c:v>
                </c:pt>
                <c:pt idx="4">
                  <c:v>199.23840000000001</c:v>
                </c:pt>
                <c:pt idx="5">
                  <c:v>193.58179199999998</c:v>
                </c:pt>
                <c:pt idx="6">
                  <c:v>198.42344639999999</c:v>
                </c:pt>
                <c:pt idx="7">
                  <c:v>201.579548544</c:v>
                </c:pt>
                <c:pt idx="8">
                  <c:v>205.570191744</c:v>
                </c:pt>
                <c:pt idx="9">
                  <c:v>208.81752998399998</c:v>
                </c:pt>
                <c:pt idx="10">
                  <c:v>270</c:v>
                </c:pt>
                <c:pt idx="1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3-490C-98E4-A93009EC6748}"/>
            </c:ext>
          </c:extLst>
        </c:ser>
        <c:ser>
          <c:idx val="1"/>
          <c:order val="1"/>
          <c:tx>
            <c:strRef>
              <c:f>グラフ!$B$9:$C$9</c:f>
              <c:strCache>
                <c:ptCount val="2"/>
                <c:pt idx="0">
                  <c:v>クロスセル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グラフ!$D$9:$O$9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71</c:v>
                </c:pt>
                <c:pt idx="4">
                  <c:v>81</c:v>
                </c:pt>
                <c:pt idx="5">
                  <c:v>82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3-490C-98E4-A93009EC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グラフ!$B$11:$C$11</c:f>
              <c:strCache>
                <c:ptCount val="2"/>
                <c:pt idx="0">
                  <c:v>WEB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グラフ!$D$11:$O$11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62.222222222222221</c:v>
                </c:pt>
                <c:pt idx="4">
                  <c:v>153.33333333333334</c:v>
                </c:pt>
                <c:pt idx="5">
                  <c:v>230.66666666666671</c:v>
                </c:pt>
                <c:pt idx="6">
                  <c:v>322</c:v>
                </c:pt>
                <c:pt idx="7">
                  <c:v>406.44444444444446</c:v>
                </c:pt>
                <c:pt idx="8">
                  <c:v>523.77777777777771</c:v>
                </c:pt>
                <c:pt idx="9">
                  <c:v>487.33333333333326</c:v>
                </c:pt>
                <c:pt idx="10">
                  <c:v>487.33333333333326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3-45EB-BB38-A8FF5095EC2F}"/>
            </c:ext>
          </c:extLst>
        </c:ser>
        <c:ser>
          <c:idx val="1"/>
          <c:order val="1"/>
          <c:tx>
            <c:strRef>
              <c:f>グラフ!$B$12:$C$12</c:f>
              <c:strCache>
                <c:ptCount val="2"/>
                <c:pt idx="0">
                  <c:v>WEB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グラフ!$D$12:$O$12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3-45EB-BB38-A8FF5095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グラフ!$B$13:$C$13</c:f>
              <c:strCache>
                <c:ptCount val="2"/>
                <c:pt idx="0">
                  <c:v>法人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グラフ!$D$13:$O$13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2.5</c:v>
                </c:pt>
                <c:pt idx="3">
                  <c:v>7.5</c:v>
                </c:pt>
                <c:pt idx="4">
                  <c:v>11.5</c:v>
                </c:pt>
                <c:pt idx="5">
                  <c:v>16</c:v>
                </c:pt>
                <c:pt idx="6">
                  <c:v>22</c:v>
                </c:pt>
                <c:pt idx="7">
                  <c:v>25.5</c:v>
                </c:pt>
                <c:pt idx="8">
                  <c:v>24</c:v>
                </c:pt>
                <c:pt idx="9">
                  <c:v>28.5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B-4E09-80DE-8F585A6D6738}"/>
            </c:ext>
          </c:extLst>
        </c:ser>
        <c:ser>
          <c:idx val="1"/>
          <c:order val="1"/>
          <c:tx>
            <c:strRef>
              <c:f>グラフ!$B$14:$C$14</c:f>
              <c:strCache>
                <c:ptCount val="2"/>
                <c:pt idx="0">
                  <c:v>法人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グラフ!$D$14:$O$14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B-4E09-80DE-8F585A6D6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グラフ!$B$15:$C$15</c:f>
              <c:strCache>
                <c:ptCount val="2"/>
                <c:pt idx="0">
                  <c:v>代理店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グラフ!$D$15:$O$15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8.3333333333333339</c:v>
                </c:pt>
                <c:pt idx="4">
                  <c:v>21.666666666666671</c:v>
                </c:pt>
                <c:pt idx="5">
                  <c:v>30.666666666666671</c:v>
                </c:pt>
                <c:pt idx="6">
                  <c:v>42.000000000000007</c:v>
                </c:pt>
                <c:pt idx="7">
                  <c:v>54.666666666666671</c:v>
                </c:pt>
                <c:pt idx="8">
                  <c:v>65.333333333333343</c:v>
                </c:pt>
                <c:pt idx="9">
                  <c:v>49.333333333333343</c:v>
                </c:pt>
                <c:pt idx="10">
                  <c:v>49.333333333333343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9-4B5D-A92D-7B8F1779DDE0}"/>
            </c:ext>
          </c:extLst>
        </c:ser>
        <c:ser>
          <c:idx val="1"/>
          <c:order val="1"/>
          <c:tx>
            <c:strRef>
              <c:f>グラフ!$B$16:$C$16</c:f>
              <c:strCache>
                <c:ptCount val="2"/>
                <c:pt idx="0">
                  <c:v>代理店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グラフ!$D$16:$O$16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9-4B5D-A92D-7B8F1779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グラフ!$B$17:$C$17</c:f>
              <c:strCache>
                <c:ptCount val="2"/>
                <c:pt idx="0">
                  <c:v>クロスセル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グラフ!$D$17:$O$17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10.799999999999997</c:v>
                </c:pt>
                <c:pt idx="3">
                  <c:v>43.199999999999989</c:v>
                </c:pt>
                <c:pt idx="4">
                  <c:v>66.441599999999994</c:v>
                </c:pt>
                <c:pt idx="5">
                  <c:v>63.458207999999999</c:v>
                </c:pt>
                <c:pt idx="6">
                  <c:v>60.551913599999999</c:v>
                </c:pt>
                <c:pt idx="7">
                  <c:v>64.429808256000001</c:v>
                </c:pt>
                <c:pt idx="8">
                  <c:v>61.182470016000003</c:v>
                </c:pt>
                <c:pt idx="9">
                  <c:v>58.035054873600004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6-4A8E-972E-4EE0DEDDCFCA}"/>
            </c:ext>
          </c:extLst>
        </c:ser>
        <c:ser>
          <c:idx val="1"/>
          <c:order val="1"/>
          <c:tx>
            <c:strRef>
              <c:f>グラフ!$B$18:$C$18</c:f>
              <c:strCache>
                <c:ptCount val="2"/>
                <c:pt idx="0">
                  <c:v>クロスセル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グラフ!$D$18:$O$18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15</c:v>
                </c:pt>
                <c:pt idx="5">
                  <c:v>15</c:v>
                </c:pt>
                <c:pt idx="6">
                  <c:v>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6-4A8E-972E-4EE0DEDD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通販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グラフ!$B$39:$C$39</c:f>
              <c:strCache>
                <c:ptCount val="2"/>
                <c:pt idx="0">
                  <c:v>通販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グラフ!$D$39:$O$39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28.425999999999998</c:v>
                </c:pt>
                <c:pt idx="3">
                  <c:v>4096.1350000000002</c:v>
                </c:pt>
                <c:pt idx="4">
                  <c:v>5309.533636363637</c:v>
                </c:pt>
                <c:pt idx="5">
                  <c:v>9611.9060000000009</c:v>
                </c:pt>
                <c:pt idx="6">
                  <c:v>1598.3</c:v>
                </c:pt>
                <c:pt idx="7">
                  <c:v>2495.0169999999998</c:v>
                </c:pt>
                <c:pt idx="8">
                  <c:v>1647.184</c:v>
                </c:pt>
                <c:pt idx="9">
                  <c:v>189.56299999999999</c:v>
                </c:pt>
                <c:pt idx="10">
                  <c:v>188.20099999999999</c:v>
                </c:pt>
                <c:pt idx="11">
                  <c:v>186.68899999999999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D-4FF4-9953-15AD2A7A1236}"/>
            </c:ext>
          </c:extLst>
        </c:ser>
        <c:ser>
          <c:idx val="1"/>
          <c:order val="1"/>
          <c:tx>
            <c:strRef>
              <c:f>グラフ!$B$40:$C$40</c:f>
              <c:strCache>
                <c:ptCount val="2"/>
                <c:pt idx="0">
                  <c:v>通販</c:v>
                </c:pt>
                <c:pt idx="1">
                  <c:v>実績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グラフ!$D$40:$O$40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5004</c:v>
                </c:pt>
                <c:pt idx="4">
                  <c:v>0</c:v>
                </c:pt>
                <c:pt idx="5">
                  <c:v>11200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D-4FF4-9953-15AD2A7A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卸売＋企業内手売り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グラフ!$B$41:$C$41</c:f>
              <c:strCache>
                <c:ptCount val="2"/>
                <c:pt idx="0">
                  <c:v>卸売り＋企業内手売り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グラフ!$D$41:$O$41</c:f>
              <c:numCache>
                <c:formatCode>#,##0_);[Red]\(#,##0\)</c:formatCode>
                <c:ptCount val="12"/>
                <c:pt idx="0">
                  <c:v>3900.0635454545454</c:v>
                </c:pt>
                <c:pt idx="1">
                  <c:v>1929.8710000000001</c:v>
                </c:pt>
                <c:pt idx="2">
                  <c:v>2686.5590909090906</c:v>
                </c:pt>
                <c:pt idx="3">
                  <c:v>2581.7972727272727</c:v>
                </c:pt>
                <c:pt idx="4">
                  <c:v>10698.764545454545</c:v>
                </c:pt>
                <c:pt idx="5">
                  <c:v>5601.7809090909086</c:v>
                </c:pt>
                <c:pt idx="6">
                  <c:v>9568.4190909090903</c:v>
                </c:pt>
                <c:pt idx="7">
                  <c:v>7611.4327272727296</c:v>
                </c:pt>
                <c:pt idx="8">
                  <c:v>5022.8236363636397</c:v>
                </c:pt>
                <c:pt idx="9">
                  <c:v>2611.8799999999997</c:v>
                </c:pt>
                <c:pt idx="10">
                  <c:v>3777.4863636363625</c:v>
                </c:pt>
                <c:pt idx="11">
                  <c:v>9966.4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F-4756-84A5-690B36BCA982}"/>
            </c:ext>
          </c:extLst>
        </c:ser>
        <c:ser>
          <c:idx val="1"/>
          <c:order val="1"/>
          <c:tx>
            <c:strRef>
              <c:f>グラフ!$B$42:$C$42</c:f>
              <c:strCache>
                <c:ptCount val="2"/>
                <c:pt idx="0">
                  <c:v>卸売り＋企業内手売り</c:v>
                </c:pt>
                <c:pt idx="1">
                  <c:v>実績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グラフ!$D$42:$O$42</c:f>
              <c:numCache>
                <c:formatCode>#,##0_);[Red]\(#,##0\)</c:formatCode>
                <c:ptCount val="12"/>
                <c:pt idx="0">
                  <c:v>3895.0635454545454</c:v>
                </c:pt>
                <c:pt idx="1">
                  <c:v>1893.9273636363635</c:v>
                </c:pt>
                <c:pt idx="2">
                  <c:v>3463.8222727272719</c:v>
                </c:pt>
                <c:pt idx="3">
                  <c:v>2307.9294545454541</c:v>
                </c:pt>
                <c:pt idx="4">
                  <c:v>5646.6850909090899</c:v>
                </c:pt>
                <c:pt idx="5">
                  <c:v>7699.2294545454552</c:v>
                </c:pt>
                <c:pt idx="6">
                  <c:v>9000.9172727272726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F-4756-84A5-690B36BC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グラフ!$B$20:$C$20</c:f>
              <c:strCache>
                <c:ptCount val="2"/>
                <c:pt idx="0">
                  <c:v>WEB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グラフ!$D$20:$O$20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15.555555555555555</c:v>
                </c:pt>
                <c:pt idx="5">
                  <c:v>26.666666666666664</c:v>
                </c:pt>
                <c:pt idx="6">
                  <c:v>26</c:v>
                </c:pt>
                <c:pt idx="7">
                  <c:v>29.333333333333329</c:v>
                </c:pt>
                <c:pt idx="8">
                  <c:v>28.444444444444443</c:v>
                </c:pt>
                <c:pt idx="9">
                  <c:v>36.444444444444443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F-41D0-BC6D-A6F6C97F2F7D}"/>
            </c:ext>
          </c:extLst>
        </c:ser>
        <c:ser>
          <c:idx val="1"/>
          <c:order val="1"/>
          <c:tx>
            <c:strRef>
              <c:f>グラフ!$B$21:$C$21</c:f>
              <c:strCache>
                <c:ptCount val="2"/>
                <c:pt idx="0">
                  <c:v>WEB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グラフ!$D$21:$O$21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F-41D0-BC6D-A6F6C97F2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グラフ!$B$22:$C$22</c:f>
              <c:strCache>
                <c:ptCount val="2"/>
                <c:pt idx="0">
                  <c:v>法人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グラフ!$D$22:$O$22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6-456C-A444-722DD72F9F42}"/>
            </c:ext>
          </c:extLst>
        </c:ser>
        <c:ser>
          <c:idx val="1"/>
          <c:order val="1"/>
          <c:tx>
            <c:strRef>
              <c:f>グラフ!$B$23:$C$23</c:f>
              <c:strCache>
                <c:ptCount val="2"/>
                <c:pt idx="0">
                  <c:v>法人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グラフ!$D$23:$O$23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6-456C-A444-722DD72F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グラフ!$B$24:$C$24</c:f>
              <c:strCache>
                <c:ptCount val="2"/>
                <c:pt idx="0">
                  <c:v>代理店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グラフ!$D$24:$O$24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1-445B-BBB8-563EE3775D03}"/>
            </c:ext>
          </c:extLst>
        </c:ser>
        <c:ser>
          <c:idx val="1"/>
          <c:order val="1"/>
          <c:tx>
            <c:strRef>
              <c:f>グラフ!$B$25:$C$25</c:f>
              <c:strCache>
                <c:ptCount val="2"/>
                <c:pt idx="0">
                  <c:v>代理店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グラフ!$D$25:$O$25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1-445B-BBB8-563EE377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グラフ!$B$26:$C$26</c:f>
              <c:strCache>
                <c:ptCount val="2"/>
                <c:pt idx="0">
                  <c:v>クロスセル</c:v>
                </c:pt>
                <c:pt idx="1">
                  <c:v>計画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グラフ!$D$26:$O$26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4.3199999999999994</c:v>
                </c:pt>
                <c:pt idx="5">
                  <c:v>12.959999999999997</c:v>
                </c:pt>
                <c:pt idx="6">
                  <c:v>11.024639999999998</c:v>
                </c:pt>
                <c:pt idx="7">
                  <c:v>3.9906431999999983</c:v>
                </c:pt>
                <c:pt idx="8">
                  <c:v>3.2473382399999986</c:v>
                </c:pt>
                <c:pt idx="9">
                  <c:v>3.1474151423999985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9-43F1-89F0-C0B3FDD4384C}"/>
            </c:ext>
          </c:extLst>
        </c:ser>
        <c:ser>
          <c:idx val="1"/>
          <c:order val="1"/>
          <c:tx>
            <c:strRef>
              <c:f>グラフ!$B$27:$C$27</c:f>
              <c:strCache>
                <c:ptCount val="2"/>
                <c:pt idx="0">
                  <c:v>クロスセル</c:v>
                </c:pt>
                <c:pt idx="1">
                  <c:v>実績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strRef>
              <c:f>グラフ!$D$1:$O$1</c:f>
              <c:strCache>
                <c:ptCount val="12"/>
                <c:pt idx="0">
                  <c:v>１月</c:v>
                </c:pt>
                <c:pt idx="1">
                  <c:v>２月</c:v>
                </c:pt>
                <c:pt idx="2">
                  <c:v>３月</c:v>
                </c:pt>
                <c:pt idx="3">
                  <c:v>４月</c:v>
                </c:pt>
                <c:pt idx="4">
                  <c:v>５月</c:v>
                </c:pt>
                <c:pt idx="5">
                  <c:v>６月</c:v>
                </c:pt>
                <c:pt idx="6">
                  <c:v>７月</c:v>
                </c:pt>
                <c:pt idx="7">
                  <c:v>８月</c:v>
                </c:pt>
                <c:pt idx="8">
                  <c:v>９月</c:v>
                </c:pt>
                <c:pt idx="9">
                  <c:v>１０月</c:v>
                </c:pt>
                <c:pt idx="10">
                  <c:v>１１月</c:v>
                </c:pt>
                <c:pt idx="11">
                  <c:v>１２月</c:v>
                </c:pt>
              </c:strCache>
            </c:strRef>
          </c:cat>
          <c:val>
            <c:numRef>
              <c:f>グラフ!$D$27:$O$27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9-43F1-89F0-C0B3FDD43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86249608"/>
        <c:axId val="986251408"/>
      </c:barChart>
      <c:catAx>
        <c:axId val="9862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51408"/>
        <c:crosses val="autoZero"/>
        <c:auto val="1"/>
        <c:lblAlgn val="ctr"/>
        <c:lblOffset val="100"/>
        <c:noMultiLvlLbl val="0"/>
      </c:catAx>
      <c:valAx>
        <c:axId val="986251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986249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新規リード数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代理店!$B$3</c:f>
              <c:strCache>
                <c:ptCount val="1"/>
                <c:pt idx="0">
                  <c:v>ＴＪＫ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代理店!$C$3:$AK$3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3</c:v>
                </c:pt>
                <c:pt idx="7">
                  <c:v>27.777777777777782</c:v>
                </c:pt>
                <c:pt idx="9">
                  <c:v>2</c:v>
                </c:pt>
                <c:pt idx="10">
                  <c:v>72.222222222222243</c:v>
                </c:pt>
                <c:pt idx="12">
                  <c:v>6</c:v>
                </c:pt>
                <c:pt idx="13">
                  <c:v>80</c:v>
                </c:pt>
                <c:pt idx="15">
                  <c:v>2</c:v>
                </c:pt>
                <c:pt idx="16">
                  <c:v>98</c:v>
                </c:pt>
                <c:pt idx="18">
                  <c:v>1</c:v>
                </c:pt>
                <c:pt idx="19">
                  <c:v>19</c:v>
                </c:pt>
                <c:pt idx="21">
                  <c:v>0</c:v>
                </c:pt>
                <c:pt idx="22">
                  <c:v>21</c:v>
                </c:pt>
                <c:pt idx="24">
                  <c:v>0</c:v>
                </c:pt>
                <c:pt idx="25">
                  <c:v>16</c:v>
                </c:pt>
                <c:pt idx="27">
                  <c:v>0</c:v>
                </c:pt>
                <c:pt idx="28">
                  <c:v>16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4948-932C-771AA8045186}"/>
            </c:ext>
          </c:extLst>
        </c:ser>
        <c:ser>
          <c:idx val="1"/>
          <c:order val="1"/>
          <c:tx>
            <c:strRef>
              <c:f>代理店!$B$4</c:f>
              <c:strCache>
                <c:ptCount val="1"/>
                <c:pt idx="0">
                  <c:v>社労士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代理店!$C$4:$AK$4</c:f>
              <c:numCache>
                <c:formatCode>#,##0_);[Red]\(#,##0\)</c:formatCode>
                <c:ptCount val="35"/>
                <c:pt idx="0">
                  <c:v>2</c:v>
                </c:pt>
                <c:pt idx="1">
                  <c:v>0</c:v>
                </c:pt>
                <c:pt idx="3">
                  <c:v>2</c:v>
                </c:pt>
                <c:pt idx="4">
                  <c:v>0</c:v>
                </c:pt>
                <c:pt idx="6">
                  <c:v>1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20</c:v>
                </c:pt>
                <c:pt idx="15">
                  <c:v>0</c:v>
                </c:pt>
                <c:pt idx="16">
                  <c:v>28</c:v>
                </c:pt>
                <c:pt idx="18">
                  <c:v>0</c:v>
                </c:pt>
                <c:pt idx="19">
                  <c:v>36</c:v>
                </c:pt>
                <c:pt idx="21">
                  <c:v>0</c:v>
                </c:pt>
                <c:pt idx="22">
                  <c:v>44</c:v>
                </c:pt>
                <c:pt idx="24">
                  <c:v>0</c:v>
                </c:pt>
                <c:pt idx="25">
                  <c:v>33</c:v>
                </c:pt>
                <c:pt idx="27">
                  <c:v>0</c:v>
                </c:pt>
                <c:pt idx="28">
                  <c:v>33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3-4948-932C-771AA8045186}"/>
            </c:ext>
          </c:extLst>
        </c:ser>
        <c:ser>
          <c:idx val="2"/>
          <c:order val="2"/>
          <c:tx>
            <c:strRef>
              <c:f>代理店!$B$5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代理店!$C$5:$AK$5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14</c:v>
                </c:pt>
                <c:pt idx="18">
                  <c:v>0</c:v>
                </c:pt>
                <c:pt idx="19">
                  <c:v>127</c:v>
                </c:pt>
                <c:pt idx="21">
                  <c:v>0</c:v>
                </c:pt>
                <c:pt idx="22">
                  <c:v>153</c:v>
                </c:pt>
                <c:pt idx="24">
                  <c:v>0</c:v>
                </c:pt>
                <c:pt idx="25">
                  <c:v>115</c:v>
                </c:pt>
                <c:pt idx="27">
                  <c:v>0</c:v>
                </c:pt>
                <c:pt idx="28">
                  <c:v>115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3-4948-932C-771AA8045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商談ステージ数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代理店!$B$12</c:f>
              <c:strCache>
                <c:ptCount val="1"/>
                <c:pt idx="0">
                  <c:v>ＴＪＫ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代理店!$C$12:$AK$12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27.777777777777782</c:v>
                </c:pt>
                <c:pt idx="9">
                  <c:v>1</c:v>
                </c:pt>
                <c:pt idx="10">
                  <c:v>91.6666666666667</c:v>
                </c:pt>
                <c:pt idx="12">
                  <c:v>2</c:v>
                </c:pt>
                <c:pt idx="13">
                  <c:v>120</c:v>
                </c:pt>
                <c:pt idx="15">
                  <c:v>1</c:v>
                </c:pt>
                <c:pt idx="16">
                  <c:v>197</c:v>
                </c:pt>
                <c:pt idx="18">
                  <c:v>1</c:v>
                </c:pt>
                <c:pt idx="19">
                  <c:v>43</c:v>
                </c:pt>
                <c:pt idx="21">
                  <c:v>0</c:v>
                </c:pt>
                <c:pt idx="22">
                  <c:v>58</c:v>
                </c:pt>
                <c:pt idx="24">
                  <c:v>0</c:v>
                </c:pt>
                <c:pt idx="25">
                  <c:v>68</c:v>
                </c:pt>
                <c:pt idx="27">
                  <c:v>0</c:v>
                </c:pt>
                <c:pt idx="28">
                  <c:v>80</c:v>
                </c:pt>
                <c:pt idx="30">
                  <c:v>0</c:v>
                </c:pt>
                <c:pt idx="31">
                  <c:v>75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C-4AE0-A39A-C54D8B04DB13}"/>
            </c:ext>
          </c:extLst>
        </c:ser>
        <c:ser>
          <c:idx val="1"/>
          <c:order val="1"/>
          <c:tx>
            <c:strRef>
              <c:f>代理店!$B$13</c:f>
              <c:strCache>
                <c:ptCount val="1"/>
                <c:pt idx="0">
                  <c:v>社労士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代理店!$C$13:$AK$13</c:f>
              <c:numCache>
                <c:formatCode>#,##0_);[Red]\(#,##0\)</c:formatCode>
                <c:ptCount val="35"/>
                <c:pt idx="0">
                  <c:v>1</c:v>
                </c:pt>
                <c:pt idx="1">
                  <c:v>0</c:v>
                </c:pt>
                <c:pt idx="3">
                  <c:v>3</c:v>
                </c:pt>
                <c:pt idx="4">
                  <c:v>0</c:v>
                </c:pt>
                <c:pt idx="6">
                  <c:v>3</c:v>
                </c:pt>
                <c:pt idx="7">
                  <c:v>0</c:v>
                </c:pt>
                <c:pt idx="9">
                  <c:v>3</c:v>
                </c:pt>
                <c:pt idx="10">
                  <c:v>0</c:v>
                </c:pt>
                <c:pt idx="12">
                  <c:v>3</c:v>
                </c:pt>
                <c:pt idx="13">
                  <c:v>34</c:v>
                </c:pt>
                <c:pt idx="15">
                  <c:v>3</c:v>
                </c:pt>
                <c:pt idx="16">
                  <c:v>56</c:v>
                </c:pt>
                <c:pt idx="18">
                  <c:v>4</c:v>
                </c:pt>
                <c:pt idx="19">
                  <c:v>84</c:v>
                </c:pt>
                <c:pt idx="21">
                  <c:v>0</c:v>
                </c:pt>
                <c:pt idx="22">
                  <c:v>117</c:v>
                </c:pt>
                <c:pt idx="24">
                  <c:v>0</c:v>
                </c:pt>
                <c:pt idx="25">
                  <c:v>137</c:v>
                </c:pt>
                <c:pt idx="27">
                  <c:v>0</c:v>
                </c:pt>
                <c:pt idx="28">
                  <c:v>160</c:v>
                </c:pt>
                <c:pt idx="30">
                  <c:v>0</c:v>
                </c:pt>
                <c:pt idx="31">
                  <c:v>150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C-4AE0-A39A-C54D8B04DB13}"/>
            </c:ext>
          </c:extLst>
        </c:ser>
        <c:ser>
          <c:idx val="2"/>
          <c:order val="2"/>
          <c:tx>
            <c:strRef>
              <c:f>代理店!$B$14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代理店!$C$14:$AK$14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18</c:v>
                </c:pt>
                <c:pt idx="15">
                  <c:v>1</c:v>
                </c:pt>
                <c:pt idx="16">
                  <c:v>29</c:v>
                </c:pt>
                <c:pt idx="18">
                  <c:v>1</c:v>
                </c:pt>
                <c:pt idx="19">
                  <c:v>295</c:v>
                </c:pt>
                <c:pt idx="21">
                  <c:v>0</c:v>
                </c:pt>
                <c:pt idx="22">
                  <c:v>410</c:v>
                </c:pt>
                <c:pt idx="24">
                  <c:v>0</c:v>
                </c:pt>
                <c:pt idx="25">
                  <c:v>479</c:v>
                </c:pt>
                <c:pt idx="27">
                  <c:v>0</c:v>
                </c:pt>
                <c:pt idx="28">
                  <c:v>559</c:v>
                </c:pt>
                <c:pt idx="30">
                  <c:v>0</c:v>
                </c:pt>
                <c:pt idx="31">
                  <c:v>525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C-4AE0-A39A-C54D8B04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代理店!$B$15</c:f>
              <c:strCache>
                <c:ptCount val="1"/>
                <c:pt idx="0">
                  <c:v>ＴＪＫ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代理店!$C$15:$AK$15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8.3333333333333339</c:v>
                </c:pt>
                <c:pt idx="12">
                  <c:v>1</c:v>
                </c:pt>
                <c:pt idx="13">
                  <c:v>15</c:v>
                </c:pt>
                <c:pt idx="15">
                  <c:v>3</c:v>
                </c:pt>
                <c:pt idx="16">
                  <c:v>22</c:v>
                </c:pt>
                <c:pt idx="18">
                  <c:v>3</c:v>
                </c:pt>
                <c:pt idx="19">
                  <c:v>5</c:v>
                </c:pt>
                <c:pt idx="21">
                  <c:v>0</c:v>
                </c:pt>
                <c:pt idx="22">
                  <c:v>6</c:v>
                </c:pt>
                <c:pt idx="24">
                  <c:v>0</c:v>
                </c:pt>
                <c:pt idx="25">
                  <c:v>6</c:v>
                </c:pt>
                <c:pt idx="27">
                  <c:v>0</c:v>
                </c:pt>
                <c:pt idx="28">
                  <c:v>5</c:v>
                </c:pt>
                <c:pt idx="30">
                  <c:v>0</c:v>
                </c:pt>
                <c:pt idx="31">
                  <c:v>5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8-4E21-A5D3-A936BE42E575}"/>
            </c:ext>
          </c:extLst>
        </c:ser>
        <c:ser>
          <c:idx val="1"/>
          <c:order val="1"/>
          <c:tx>
            <c:strRef>
              <c:f>代理店!$B$16</c:f>
              <c:strCache>
                <c:ptCount val="1"/>
                <c:pt idx="0">
                  <c:v>社労士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代理店!$C$16:$AK$16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4</c:v>
                </c:pt>
                <c:pt idx="15">
                  <c:v>0</c:v>
                </c:pt>
                <c:pt idx="16">
                  <c:v>6</c:v>
                </c:pt>
                <c:pt idx="18">
                  <c:v>0</c:v>
                </c:pt>
                <c:pt idx="19">
                  <c:v>8</c:v>
                </c:pt>
                <c:pt idx="21">
                  <c:v>0</c:v>
                </c:pt>
                <c:pt idx="22">
                  <c:v>11</c:v>
                </c:pt>
                <c:pt idx="24">
                  <c:v>0</c:v>
                </c:pt>
                <c:pt idx="25">
                  <c:v>13</c:v>
                </c:pt>
                <c:pt idx="27">
                  <c:v>0</c:v>
                </c:pt>
                <c:pt idx="28">
                  <c:v>10</c:v>
                </c:pt>
                <c:pt idx="30">
                  <c:v>0</c:v>
                </c:pt>
                <c:pt idx="31">
                  <c:v>10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8-4E21-A5D3-A936BE42E575}"/>
            </c:ext>
          </c:extLst>
        </c:ser>
        <c:ser>
          <c:idx val="2"/>
          <c:order val="2"/>
          <c:tx>
            <c:strRef>
              <c:f>代理店!$B$17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代理店!$C$17:$AK$17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3</c:v>
                </c:pt>
                <c:pt idx="15">
                  <c:v>0</c:v>
                </c:pt>
                <c:pt idx="16">
                  <c:v>3</c:v>
                </c:pt>
                <c:pt idx="18">
                  <c:v>0</c:v>
                </c:pt>
                <c:pt idx="19">
                  <c:v>29</c:v>
                </c:pt>
                <c:pt idx="21">
                  <c:v>0</c:v>
                </c:pt>
                <c:pt idx="22">
                  <c:v>38</c:v>
                </c:pt>
                <c:pt idx="24">
                  <c:v>0</c:v>
                </c:pt>
                <c:pt idx="25">
                  <c:v>46</c:v>
                </c:pt>
                <c:pt idx="27">
                  <c:v>0</c:v>
                </c:pt>
                <c:pt idx="28">
                  <c:v>34</c:v>
                </c:pt>
                <c:pt idx="30">
                  <c:v>0</c:v>
                </c:pt>
                <c:pt idx="31">
                  <c:v>34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8-4E21-A5D3-A936BE42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代理店!$B$18</c:f>
              <c:strCache>
                <c:ptCount val="1"/>
                <c:pt idx="0">
                  <c:v>ＴＪＫ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代理店!$C$18:$AK$18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4</c:v>
                </c:pt>
                <c:pt idx="15">
                  <c:v>0</c:v>
                </c:pt>
                <c:pt idx="16">
                  <c:v>8</c:v>
                </c:pt>
                <c:pt idx="18">
                  <c:v>0</c:v>
                </c:pt>
                <c:pt idx="19">
                  <c:v>2</c:v>
                </c:pt>
                <c:pt idx="21">
                  <c:v>0</c:v>
                </c:pt>
                <c:pt idx="22">
                  <c:v>1</c:v>
                </c:pt>
                <c:pt idx="24">
                  <c:v>0</c:v>
                </c:pt>
                <c:pt idx="25">
                  <c:v>2</c:v>
                </c:pt>
                <c:pt idx="27">
                  <c:v>0</c:v>
                </c:pt>
                <c:pt idx="28">
                  <c:v>2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3-457B-9091-A710F709F723}"/>
            </c:ext>
          </c:extLst>
        </c:ser>
        <c:ser>
          <c:idx val="1"/>
          <c:order val="1"/>
          <c:tx>
            <c:strRef>
              <c:f>代理店!$B$19</c:f>
              <c:strCache>
                <c:ptCount val="1"/>
                <c:pt idx="0">
                  <c:v>社労士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代理店!$C$19:$AK$19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2</c:v>
                </c:pt>
                <c:pt idx="18">
                  <c:v>0</c:v>
                </c:pt>
                <c:pt idx="19">
                  <c:v>2</c:v>
                </c:pt>
                <c:pt idx="21">
                  <c:v>0</c:v>
                </c:pt>
                <c:pt idx="22">
                  <c:v>3</c:v>
                </c:pt>
                <c:pt idx="24">
                  <c:v>0</c:v>
                </c:pt>
                <c:pt idx="25">
                  <c:v>3</c:v>
                </c:pt>
                <c:pt idx="27">
                  <c:v>0</c:v>
                </c:pt>
                <c:pt idx="28">
                  <c:v>3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3-457B-9091-A710F709F723}"/>
            </c:ext>
          </c:extLst>
        </c:ser>
        <c:ser>
          <c:idx val="2"/>
          <c:order val="2"/>
          <c:tx>
            <c:strRef>
              <c:f>代理店!$B$20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代理店!$C$20:$AK$20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  <c:pt idx="19">
                  <c:v>8</c:v>
                </c:pt>
                <c:pt idx="21">
                  <c:v>0</c:v>
                </c:pt>
                <c:pt idx="22">
                  <c:v>10</c:v>
                </c:pt>
                <c:pt idx="24">
                  <c:v>0</c:v>
                </c:pt>
                <c:pt idx="25">
                  <c:v>11</c:v>
                </c:pt>
                <c:pt idx="27">
                  <c:v>0</c:v>
                </c:pt>
                <c:pt idx="28">
                  <c:v>11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3-457B-9091-A710F709F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具体検討化率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代理店!$B$27:$E$27</c:f>
              <c:strCache>
                <c:ptCount val="4"/>
                <c:pt idx="0">
                  <c:v>ＴＪＫ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rgbClr val="FF5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050"/>
              </a:solidFill>
              <a:ln w="0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代理店!$F$27:$AK$27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0.3</c:v>
                </c:pt>
                <c:pt idx="9">
                  <c:v>1</c:v>
                </c:pt>
                <c:pt idx="10">
                  <c:v>0.11636363636363632</c:v>
                </c:pt>
                <c:pt idx="12">
                  <c:v>1</c:v>
                </c:pt>
                <c:pt idx="13">
                  <c:v>9.166666666666666E-2</c:v>
                </c:pt>
                <c:pt idx="15">
                  <c:v>0</c:v>
                </c:pt>
                <c:pt idx="16">
                  <c:v>-0.116751269035533</c:v>
                </c:pt>
                <c:pt idx="18">
                  <c:v>-3</c:v>
                </c:pt>
                <c:pt idx="19">
                  <c:v>0</c:v>
                </c:pt>
                <c:pt idx="21">
                  <c:v>0</c:v>
                </c:pt>
                <c:pt idx="22">
                  <c:v>1.7241379310344827E-2</c:v>
                </c:pt>
                <c:pt idx="24">
                  <c:v>0</c:v>
                </c:pt>
                <c:pt idx="25">
                  <c:v>-1.4705882352941176E-2</c:v>
                </c:pt>
                <c:pt idx="27">
                  <c:v>0</c:v>
                </c:pt>
                <c:pt idx="28">
                  <c:v>-2.5000000000000001E-2</c:v>
                </c:pt>
                <c:pt idx="30">
                  <c:v>0</c:v>
                </c:pt>
                <c:pt idx="31">
                  <c:v>-6.6666666666666666E-2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A-4C34-B1A2-E0D0ABDEBAC2}"/>
            </c:ext>
          </c:extLst>
        </c:ser>
        <c:ser>
          <c:idx val="1"/>
          <c:order val="1"/>
          <c:tx>
            <c:strRef>
              <c:f>代理店!$B$28:$E$28</c:f>
              <c:strCache>
                <c:ptCount val="4"/>
                <c:pt idx="0">
                  <c:v>社労士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代理店!$F$28:$AK$28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8.8235294117647065E-2</c:v>
                </c:pt>
                <c:pt idx="15">
                  <c:v>0</c:v>
                </c:pt>
                <c:pt idx="16">
                  <c:v>3.5714285714285712E-2</c:v>
                </c:pt>
                <c:pt idx="18">
                  <c:v>0</c:v>
                </c:pt>
                <c:pt idx="19">
                  <c:v>4.7619047619047616E-2</c:v>
                </c:pt>
                <c:pt idx="21">
                  <c:v>0</c:v>
                </c:pt>
                <c:pt idx="22">
                  <c:v>1.7094017094017096E-2</c:v>
                </c:pt>
                <c:pt idx="24">
                  <c:v>0</c:v>
                </c:pt>
                <c:pt idx="25">
                  <c:v>-2.1897810218978103E-2</c:v>
                </c:pt>
                <c:pt idx="27">
                  <c:v>0</c:v>
                </c:pt>
                <c:pt idx="28">
                  <c:v>-1.8749999999999999E-2</c:v>
                </c:pt>
                <c:pt idx="30">
                  <c:v>0</c:v>
                </c:pt>
                <c:pt idx="31">
                  <c:v>-6.6666666666666666E-2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A-4C34-B1A2-E0D0ABDEBAC2}"/>
            </c:ext>
          </c:extLst>
        </c:ser>
        <c:ser>
          <c:idx val="2"/>
          <c:order val="2"/>
          <c:tx>
            <c:strRef>
              <c:f>代理店!$B$29:$E$29</c:f>
              <c:strCache>
                <c:ptCount val="4"/>
                <c:pt idx="0">
                  <c:v>その他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代理店!$F$29:$AK$29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5.5555555555555552E-2</c:v>
                </c:pt>
                <c:pt idx="15">
                  <c:v>0</c:v>
                </c:pt>
                <c:pt idx="16">
                  <c:v>1.1379310344827587</c:v>
                </c:pt>
                <c:pt idx="18">
                  <c:v>0</c:v>
                </c:pt>
                <c:pt idx="19">
                  <c:v>3.7288135593220341E-2</c:v>
                </c:pt>
                <c:pt idx="21">
                  <c:v>0</c:v>
                </c:pt>
                <c:pt idx="22">
                  <c:v>2.1951219512195121E-2</c:v>
                </c:pt>
                <c:pt idx="24">
                  <c:v>0</c:v>
                </c:pt>
                <c:pt idx="25">
                  <c:v>-2.5052192066805846E-2</c:v>
                </c:pt>
                <c:pt idx="27">
                  <c:v>0</c:v>
                </c:pt>
                <c:pt idx="28">
                  <c:v>-1.9677996422182469E-2</c:v>
                </c:pt>
                <c:pt idx="30">
                  <c:v>0</c:v>
                </c:pt>
                <c:pt idx="31">
                  <c:v>-6.4761904761904757E-2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2A-4C34-B1A2-E0D0ABDEB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195456"/>
        <c:axId val="1326195816"/>
      </c:lineChart>
      <c:catAx>
        <c:axId val="13261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816"/>
        <c:crosses val="autoZero"/>
        <c:auto val="1"/>
        <c:lblAlgn val="ctr"/>
        <c:lblOffset val="100"/>
        <c:noMultiLvlLbl val="0"/>
      </c:catAx>
      <c:valAx>
        <c:axId val="1326195816"/>
        <c:scaling>
          <c:orientation val="minMax"/>
          <c:max val="1"/>
          <c:min val="-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代理店!$B$30:$E$30</c:f>
              <c:strCache>
                <c:ptCount val="4"/>
                <c:pt idx="0">
                  <c:v>ＴＪＫ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rgbClr val="FF5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050"/>
              </a:solidFill>
              <a:ln w="0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代理店!$F$30:$AK$30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0.48</c:v>
                </c:pt>
                <c:pt idx="12">
                  <c:v>0</c:v>
                </c:pt>
                <c:pt idx="13">
                  <c:v>0.4</c:v>
                </c:pt>
                <c:pt idx="15">
                  <c:v>0</c:v>
                </c:pt>
                <c:pt idx="16">
                  <c:v>-0.31818181818181818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0.16666666666666666</c:v>
                </c:pt>
                <c:pt idx="24">
                  <c:v>0</c:v>
                </c:pt>
                <c:pt idx="25">
                  <c:v>0.16666666666666666</c:v>
                </c:pt>
                <c:pt idx="27">
                  <c:v>0</c:v>
                </c:pt>
                <c:pt idx="28">
                  <c:v>-0.2</c:v>
                </c:pt>
                <c:pt idx="30">
                  <c:v>0</c:v>
                </c:pt>
                <c:pt idx="31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8-4575-9841-CB2CCE7575E1}"/>
            </c:ext>
          </c:extLst>
        </c:ser>
        <c:ser>
          <c:idx val="1"/>
          <c:order val="1"/>
          <c:tx>
            <c:strRef>
              <c:f>代理店!$B$31:$E$31</c:f>
              <c:strCache>
                <c:ptCount val="4"/>
                <c:pt idx="0">
                  <c:v>社労士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代理店!$F$31:$AK$31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0.5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0.125</c:v>
                </c:pt>
                <c:pt idx="21">
                  <c:v>0</c:v>
                </c:pt>
                <c:pt idx="22">
                  <c:v>9.0909090909090912E-2</c:v>
                </c:pt>
                <c:pt idx="24">
                  <c:v>0</c:v>
                </c:pt>
                <c:pt idx="25">
                  <c:v>7.6923076923076927E-2</c:v>
                </c:pt>
                <c:pt idx="27">
                  <c:v>0</c:v>
                </c:pt>
                <c:pt idx="28">
                  <c:v>-0.2</c:v>
                </c:pt>
                <c:pt idx="30">
                  <c:v>0</c:v>
                </c:pt>
                <c:pt idx="31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8-4575-9841-CB2CCE7575E1}"/>
            </c:ext>
          </c:extLst>
        </c:ser>
        <c:ser>
          <c:idx val="2"/>
          <c:order val="2"/>
          <c:tx>
            <c:strRef>
              <c:f>代理店!$B$32:$E$32</c:f>
              <c:strCache>
                <c:ptCount val="4"/>
                <c:pt idx="0">
                  <c:v>その他</c:v>
                </c:pt>
                <c:pt idx="1">
                  <c:v>実績</c:v>
                </c:pt>
                <c:pt idx="2">
                  <c:v>計画</c:v>
                </c:pt>
                <c:pt idx="3">
                  <c:v> 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multiLvlStrRef>
              <c:f>代理店!$F$25:$AK$26</c:f>
              <c:multiLvlStrCache>
                <c:ptCount val="32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</c:lvl>
                <c:lvl>
                  <c:pt idx="0">
                    <c:v>2月</c:v>
                  </c:pt>
                  <c:pt idx="2">
                    <c:v> </c:v>
                  </c:pt>
                  <c:pt idx="3">
                    <c:v>3月</c:v>
                  </c:pt>
                  <c:pt idx="5">
                    <c:v> </c:v>
                  </c:pt>
                  <c:pt idx="6">
                    <c:v>4月</c:v>
                  </c:pt>
                  <c:pt idx="8">
                    <c:v> </c:v>
                  </c:pt>
                  <c:pt idx="9">
                    <c:v>5月</c:v>
                  </c:pt>
                  <c:pt idx="11">
                    <c:v> </c:v>
                  </c:pt>
                  <c:pt idx="12">
                    <c:v>6月</c:v>
                  </c:pt>
                  <c:pt idx="14">
                    <c:v> </c:v>
                  </c:pt>
                  <c:pt idx="15">
                    <c:v>7月</c:v>
                  </c:pt>
                  <c:pt idx="17">
                    <c:v> </c:v>
                  </c:pt>
                  <c:pt idx="18">
                    <c:v>8月</c:v>
                  </c:pt>
                  <c:pt idx="20">
                    <c:v> </c:v>
                  </c:pt>
                  <c:pt idx="21">
                    <c:v>9月</c:v>
                  </c:pt>
                  <c:pt idx="23">
                    <c:v> </c:v>
                  </c:pt>
                  <c:pt idx="24">
                    <c:v>10月</c:v>
                  </c:pt>
                  <c:pt idx="26">
                    <c:v> </c:v>
                  </c:pt>
                  <c:pt idx="27">
                    <c:v>11月</c:v>
                  </c:pt>
                  <c:pt idx="29">
                    <c:v> </c:v>
                  </c:pt>
                  <c:pt idx="30">
                    <c:v>12月</c:v>
                  </c:pt>
                </c:lvl>
              </c:multiLvlStrCache>
            </c:multiLvlStrRef>
          </c:cat>
          <c:val>
            <c:numRef>
              <c:f>代理店!$F$32:$AK$32</c:f>
              <c:numCache>
                <c:formatCode>0%</c:formatCode>
                <c:ptCount val="3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0.66666666666666663</c:v>
                </c:pt>
                <c:pt idx="15">
                  <c:v>0</c:v>
                </c:pt>
                <c:pt idx="16">
                  <c:v>2.6666666666666665</c:v>
                </c:pt>
                <c:pt idx="18">
                  <c:v>0</c:v>
                </c:pt>
                <c:pt idx="19">
                  <c:v>0.10344827586206896</c:v>
                </c:pt>
                <c:pt idx="21">
                  <c:v>0</c:v>
                </c:pt>
                <c:pt idx="22">
                  <c:v>2.6315789473684209E-2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-0.29411764705882354</c:v>
                </c:pt>
                <c:pt idx="30">
                  <c:v>0</c:v>
                </c:pt>
                <c:pt idx="31">
                  <c:v>-0.11764705882352941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8-4575-9841-CB2CCE757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195456"/>
        <c:axId val="1326195816"/>
      </c:lineChart>
      <c:catAx>
        <c:axId val="13261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816"/>
        <c:crosses val="autoZero"/>
        <c:auto val="1"/>
        <c:lblAlgn val="ctr"/>
        <c:lblOffset val="100"/>
        <c:noMultiLvlLbl val="0"/>
      </c:catAx>
      <c:valAx>
        <c:axId val="1326195816"/>
        <c:scaling>
          <c:orientation val="minMax"/>
          <c:max val="1"/>
          <c:min val="-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具体検討化率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代理店!$B$27:$E$27</c:f>
              <c:strCache>
                <c:ptCount val="4"/>
                <c:pt idx="0">
                  <c:v>ＴＪＫ</c:v>
                </c:pt>
              </c:strCache>
            </c:strRef>
          </c:tx>
          <c:spPr>
            <a:ln w="12700" cap="rnd">
              <a:solidFill>
                <a:srgbClr val="FF5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050"/>
              </a:solidFill>
              <a:ln w="0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(代理店!$F$25:$F$26,代理店!$I$25:$I$26,代理店!$L$25:$L$26,代理店!$O$25:$O$26,代理店!$R$25:$R$26,代理店!$U$25:$U$26,代理店!$X$25:$X$26,代理店!$AA$25:$AA$26,代理店!$AD$25:$AD$26,代理店!$AG$25:$AG$26,代理店!$AJ$25:$AJ$26)</c:f>
              <c:multiLvlStrCache>
                <c:ptCount val="11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代理店!$F$27:$AK$27</c15:sqref>
                  </c15:fullRef>
                </c:ext>
              </c:extLst>
              <c:f>(代理店!$F$27,代理店!$I$27,代理店!$L$27,代理店!$O$27,代理店!$R$27,代理店!$U$27,代理店!$X$27,代理店!$AA$27,代理店!$AD$27,代理店!$AG$27,代理店!$AJ$27)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3-4130-A45D-82C8DE5F601B}"/>
            </c:ext>
          </c:extLst>
        </c:ser>
        <c:ser>
          <c:idx val="1"/>
          <c:order val="1"/>
          <c:tx>
            <c:strRef>
              <c:f>代理店!$B$28:$E$28</c:f>
              <c:strCache>
                <c:ptCount val="4"/>
                <c:pt idx="0">
                  <c:v>社労士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(代理店!$F$25:$F$26,代理店!$I$25:$I$26,代理店!$L$25:$L$26,代理店!$O$25:$O$26,代理店!$R$25:$R$26,代理店!$U$25:$U$26,代理店!$X$25:$X$26,代理店!$AA$25:$AA$26,代理店!$AD$25:$AD$26,代理店!$AG$25:$AG$26,代理店!$AJ$25:$AJ$26)</c:f>
              <c:multiLvlStrCache>
                <c:ptCount val="11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代理店!$F$28:$AK$28</c15:sqref>
                  </c15:fullRef>
                </c:ext>
              </c:extLst>
              <c:f>(代理店!$F$28,代理店!$I$28,代理店!$L$28,代理店!$O$28,代理店!$R$28,代理店!$U$28,代理店!$X$28,代理店!$AA$28,代理店!$AD$28,代理店!$AG$28,代理店!$AJ$28)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3-4130-A45D-82C8DE5F601B}"/>
            </c:ext>
          </c:extLst>
        </c:ser>
        <c:ser>
          <c:idx val="2"/>
          <c:order val="2"/>
          <c:tx>
            <c:strRef>
              <c:f>代理店!$B$29:$E$29</c:f>
              <c:strCache>
                <c:ptCount val="4"/>
                <c:pt idx="0">
                  <c:v>その他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(代理店!$F$25:$F$26,代理店!$I$25:$I$26,代理店!$L$25:$L$26,代理店!$O$25:$O$26,代理店!$R$25:$R$26,代理店!$U$25:$U$26,代理店!$X$25:$X$26,代理店!$AA$25:$AA$26,代理店!$AD$25:$AD$26,代理店!$AG$25:$AG$26,代理店!$AJ$25:$AJ$26)</c:f>
              <c:multiLvlStrCache>
                <c:ptCount val="11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代理店!$F$29:$AK$29</c15:sqref>
                  </c15:fullRef>
                </c:ext>
              </c:extLst>
              <c:f>(代理店!$F$29,代理店!$I$29,代理店!$L$29,代理店!$O$29,代理店!$R$29,代理店!$U$29,代理店!$X$29,代理店!$AA$29,代理店!$AD$29,代理店!$AG$29,代理店!$AJ$29)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3-4130-A45D-82C8DE5F6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195456"/>
        <c:axId val="1326195816"/>
      </c:lineChart>
      <c:catAx>
        <c:axId val="13261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816"/>
        <c:crosses val="autoZero"/>
        <c:auto val="1"/>
        <c:lblAlgn val="ctr"/>
        <c:lblOffset val="100"/>
        <c:noMultiLvlLbl val="0"/>
      </c:catAx>
      <c:valAx>
        <c:axId val="1326195816"/>
        <c:scaling>
          <c:orientation val="minMax"/>
          <c:max val="1"/>
          <c:min val="-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商談化率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代理店!$B$30:$E$30</c:f>
              <c:strCache>
                <c:ptCount val="4"/>
                <c:pt idx="0">
                  <c:v>ＴＪＫ</c:v>
                </c:pt>
              </c:strCache>
            </c:strRef>
          </c:tx>
          <c:spPr>
            <a:ln w="12700" cap="rnd">
              <a:solidFill>
                <a:srgbClr val="FF5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050"/>
              </a:solidFill>
              <a:ln w="0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(代理店!$F$25:$F$26,代理店!$I$25:$I$26,代理店!$L$25:$L$26,代理店!$O$25:$O$26,代理店!$R$25:$R$26,代理店!$U$25:$U$26,代理店!$X$25:$X$26,代理店!$AA$25:$AA$26,代理店!$AD$25:$AD$26,代理店!$AG$25:$AG$26,代理店!$AJ$25:$AK$26)</c:f>
              <c:multiLvlStrCache>
                <c:ptCount val="12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  <c:pt idx="11">
                    <c:v>計画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代理店!$F$30:$AK$30</c15:sqref>
                  </c15:fullRef>
                </c:ext>
              </c:extLst>
              <c:f>(代理店!$F$30,代理店!$I$30,代理店!$L$30,代理店!$O$30,代理店!$R$30,代理店!$U$30,代理店!$X$30,代理店!$AA$30,代理店!$AD$30,代理店!$AG$30,代理店!$AJ$30:$AK$30)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8-4299-870B-2CFBF7CBB619}"/>
            </c:ext>
          </c:extLst>
        </c:ser>
        <c:ser>
          <c:idx val="1"/>
          <c:order val="1"/>
          <c:tx>
            <c:strRef>
              <c:f>代理店!$B$31:$E$31</c:f>
              <c:strCache>
                <c:ptCount val="4"/>
                <c:pt idx="0">
                  <c:v>社労士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(代理店!$F$25:$F$26,代理店!$I$25:$I$26,代理店!$L$25:$L$26,代理店!$O$25:$O$26,代理店!$R$25:$R$26,代理店!$U$25:$U$26,代理店!$X$25:$X$26,代理店!$AA$25:$AA$26,代理店!$AD$25:$AD$26,代理店!$AG$25:$AG$26,代理店!$AJ$25:$AK$26)</c:f>
              <c:multiLvlStrCache>
                <c:ptCount val="12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  <c:pt idx="11">
                    <c:v>計画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代理店!$F$31:$AK$31</c15:sqref>
                  </c15:fullRef>
                </c:ext>
              </c:extLst>
              <c:f>(代理店!$F$31,代理店!$I$31,代理店!$L$31,代理店!$O$31,代理店!$R$31,代理店!$U$31,代理店!$X$31,代理店!$AA$31,代理店!$AD$31,代理店!$AG$31,代理店!$AJ$31:$AK$31)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8-4299-870B-2CFBF7CBB619}"/>
            </c:ext>
          </c:extLst>
        </c:ser>
        <c:ser>
          <c:idx val="2"/>
          <c:order val="2"/>
          <c:tx>
            <c:strRef>
              <c:f>代理店!$B$32:$E$32</c:f>
              <c:strCache>
                <c:ptCount val="4"/>
                <c:pt idx="0">
                  <c:v>その他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代理店!$F$25:$AK$26</c15:sqref>
                  </c15:fullRef>
                </c:ext>
              </c:extLst>
              <c:f>(代理店!$F$25:$F$26,代理店!$I$25:$I$26,代理店!$L$25:$L$26,代理店!$O$25:$O$26,代理店!$R$25:$R$26,代理店!$U$25:$U$26,代理店!$X$25:$X$26,代理店!$AA$25:$AA$26,代理店!$AD$25:$AD$26,代理店!$AG$25:$AG$26,代理店!$AJ$25:$AK$26)</c:f>
              <c:multiLvlStrCache>
                <c:ptCount val="12"/>
                <c:lvl>
                  <c:pt idx="0">
                    <c:v>実績</c:v>
                  </c:pt>
                  <c:pt idx="1">
                    <c:v>実績</c:v>
                  </c:pt>
                  <c:pt idx="2">
                    <c:v>実績</c:v>
                  </c:pt>
                  <c:pt idx="3">
                    <c:v>実績</c:v>
                  </c:pt>
                  <c:pt idx="4">
                    <c:v>実績</c:v>
                  </c:pt>
                  <c:pt idx="5">
                    <c:v>実績</c:v>
                  </c:pt>
                  <c:pt idx="6">
                    <c:v>実績</c:v>
                  </c:pt>
                  <c:pt idx="7">
                    <c:v>実績</c:v>
                  </c:pt>
                  <c:pt idx="8">
                    <c:v>実績</c:v>
                  </c:pt>
                  <c:pt idx="9">
                    <c:v>実績</c:v>
                  </c:pt>
                  <c:pt idx="10">
                    <c:v>実績</c:v>
                  </c:pt>
                  <c:pt idx="11">
                    <c:v>計画</c:v>
                  </c:pt>
                </c:lvl>
                <c:lvl>
                  <c:pt idx="0">
                    <c:v>2月</c:v>
                  </c:pt>
                  <c:pt idx="1">
                    <c:v>3月</c:v>
                  </c:pt>
                  <c:pt idx="2">
                    <c:v>4月</c:v>
                  </c:pt>
                  <c:pt idx="3">
                    <c:v>5月</c:v>
                  </c:pt>
                  <c:pt idx="4">
                    <c:v>6月</c:v>
                  </c:pt>
                  <c:pt idx="5">
                    <c:v>7月</c:v>
                  </c:pt>
                  <c:pt idx="6">
                    <c:v>8月</c:v>
                  </c:pt>
                  <c:pt idx="7">
                    <c:v>9月</c:v>
                  </c:pt>
                  <c:pt idx="8">
                    <c:v>10月</c:v>
                  </c:pt>
                  <c:pt idx="9">
                    <c:v>11月</c:v>
                  </c:pt>
                  <c:pt idx="10">
                    <c:v>12月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代理店!$F$32:$AK$32</c15:sqref>
                  </c15:fullRef>
                </c:ext>
              </c:extLst>
              <c:f>(代理店!$F$32,代理店!$I$32,代理店!$L$32,代理店!$O$32,代理店!$R$32,代理店!$U$32,代理店!$X$32,代理店!$AA$32,代理店!$AD$32,代理店!$AG$32,代理店!$AJ$32:$AK$32)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8-4299-870B-2CFBF7CB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195456"/>
        <c:axId val="1326195816"/>
      </c:lineChart>
      <c:catAx>
        <c:axId val="13261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816"/>
        <c:crosses val="autoZero"/>
        <c:auto val="1"/>
        <c:lblAlgn val="ctr"/>
        <c:lblOffset val="100"/>
        <c:noMultiLvlLbl val="0"/>
      </c:catAx>
      <c:valAx>
        <c:axId val="1326195816"/>
        <c:scaling>
          <c:orientation val="minMax"/>
          <c:max val="1"/>
          <c:min val="-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3261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/>
              <a:t>新規リード数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代理店!$B$139</c:f>
              <c:strCache>
                <c:ptCount val="1"/>
                <c:pt idx="0">
                  <c:v>八神製作所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代理店!$C$139:$AK$139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</c:v>
                </c:pt>
                <c:pt idx="16">
                  <c:v>0</c:v>
                </c:pt>
                <c:pt idx="19">
                  <c:v>6.35</c:v>
                </c:pt>
                <c:pt idx="22">
                  <c:v>7.65</c:v>
                </c:pt>
                <c:pt idx="25">
                  <c:v>5.75</c:v>
                </c:pt>
                <c:pt idx="28">
                  <c:v>5.75</c:v>
                </c:pt>
                <c:pt idx="31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0-44D9-A401-1DF204A18B2F}"/>
            </c:ext>
          </c:extLst>
        </c:ser>
        <c:ser>
          <c:idx val="1"/>
          <c:order val="1"/>
          <c:tx>
            <c:strRef>
              <c:f>代理店!$B$140</c:f>
              <c:strCache>
                <c:ptCount val="1"/>
                <c:pt idx="0">
                  <c:v>ジャパン介護ラボラトリー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代理店!$C$140:$AK$140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6.35</c:v>
                </c:pt>
                <c:pt idx="22">
                  <c:v>7.65</c:v>
                </c:pt>
                <c:pt idx="25">
                  <c:v>5.75</c:v>
                </c:pt>
                <c:pt idx="28">
                  <c:v>5.75</c:v>
                </c:pt>
                <c:pt idx="31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0-44D9-A401-1DF204A18B2F}"/>
            </c:ext>
          </c:extLst>
        </c:ser>
        <c:ser>
          <c:idx val="2"/>
          <c:order val="2"/>
          <c:tx>
            <c:strRef>
              <c:f>代理店!$B$141</c:f>
              <c:strCache>
                <c:ptCount val="1"/>
                <c:pt idx="0">
                  <c:v>平成医会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代理店!$C$141:$AK$141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25.4</c:v>
                </c:pt>
                <c:pt idx="22">
                  <c:v>30.6</c:v>
                </c:pt>
                <c:pt idx="25">
                  <c:v>23</c:v>
                </c:pt>
                <c:pt idx="2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0-44D9-A401-1DF204A18B2F}"/>
            </c:ext>
          </c:extLst>
        </c:ser>
        <c:ser>
          <c:idx val="3"/>
          <c:order val="3"/>
          <c:tx>
            <c:strRef>
              <c:f>代理店!$B$142</c:f>
              <c:strCache>
                <c:ptCount val="1"/>
                <c:pt idx="0">
                  <c:v>ココログループ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代理店!$C$142:$AK$142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12.7</c:v>
                </c:pt>
                <c:pt idx="22">
                  <c:v>15.3</c:v>
                </c:pt>
                <c:pt idx="25">
                  <c:v>11.5</c:v>
                </c:pt>
                <c:pt idx="28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0-44D9-A401-1DF204A18B2F}"/>
            </c:ext>
          </c:extLst>
        </c:ser>
        <c:ser>
          <c:idx val="4"/>
          <c:order val="4"/>
          <c:tx>
            <c:strRef>
              <c:f>代理店!$B$143</c:f>
              <c:strCache>
                <c:ptCount val="1"/>
                <c:pt idx="0">
                  <c:v>ウィルオブワーク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代理店!$C$143:$AK$143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50.8</c:v>
                </c:pt>
                <c:pt idx="22">
                  <c:v>61.2</c:v>
                </c:pt>
                <c:pt idx="25">
                  <c:v>46</c:v>
                </c:pt>
                <c:pt idx="2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30-44D9-A401-1DF204A18B2F}"/>
            </c:ext>
          </c:extLst>
        </c:ser>
        <c:ser>
          <c:idx val="5"/>
          <c:order val="5"/>
          <c:tx>
            <c:strRef>
              <c:f>代理店!$B$144</c:f>
              <c:strCache>
                <c:ptCount val="1"/>
                <c:pt idx="0">
                  <c:v>HIS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代理店!$C$144:$AK$144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12.7</c:v>
                </c:pt>
                <c:pt idx="22">
                  <c:v>15.3</c:v>
                </c:pt>
                <c:pt idx="25">
                  <c:v>11.5</c:v>
                </c:pt>
                <c:pt idx="28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30-44D9-A401-1DF204A18B2F}"/>
            </c:ext>
          </c:extLst>
        </c:ser>
        <c:ser>
          <c:idx val="6"/>
          <c:order val="6"/>
          <c:tx>
            <c:strRef>
              <c:f>代理店!$B$145</c:f>
              <c:strCache>
                <c:ptCount val="1"/>
                <c:pt idx="0">
                  <c:v>三千和商工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代理店!$C$137:$AK$138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3">
                    <c:v>2月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代理店!$C$145:$AK$145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12.7</c:v>
                </c:pt>
                <c:pt idx="22">
                  <c:v>15.3</c:v>
                </c:pt>
                <c:pt idx="25">
                  <c:v>11.5</c:v>
                </c:pt>
                <c:pt idx="28">
                  <c:v>11.5</c:v>
                </c:pt>
                <c:pt idx="31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30-44D9-A401-1DF204A1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56168835339303E-2"/>
          <c:y val="0.94298229166666647"/>
          <c:w val="0.9"/>
          <c:h val="4.56141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商談ステージ数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代理店!$B$152</c:f>
              <c:strCache>
                <c:ptCount val="1"/>
                <c:pt idx="0">
                  <c:v>八神製作所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代理店!$C$152:$AK$152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14.75</c:v>
                </c:pt>
                <c:pt idx="22">
                  <c:v>20.5</c:v>
                </c:pt>
                <c:pt idx="25">
                  <c:v>23.95</c:v>
                </c:pt>
                <c:pt idx="28">
                  <c:v>27.95</c:v>
                </c:pt>
                <c:pt idx="31">
                  <c:v>26.25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5-4A34-B26F-D6F9E12EF465}"/>
            </c:ext>
          </c:extLst>
        </c:ser>
        <c:ser>
          <c:idx val="1"/>
          <c:order val="1"/>
          <c:tx>
            <c:strRef>
              <c:f>代理店!$B$153</c:f>
              <c:strCache>
                <c:ptCount val="1"/>
                <c:pt idx="0">
                  <c:v>ジャパン介護ラボラトリー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代理店!$C$153:$AK$153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14.75</c:v>
                </c:pt>
                <c:pt idx="22">
                  <c:v>20.5</c:v>
                </c:pt>
                <c:pt idx="25">
                  <c:v>23.95</c:v>
                </c:pt>
                <c:pt idx="28">
                  <c:v>27.95</c:v>
                </c:pt>
                <c:pt idx="31">
                  <c:v>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5-4A34-B26F-D6F9E12EF465}"/>
            </c:ext>
          </c:extLst>
        </c:ser>
        <c:ser>
          <c:idx val="2"/>
          <c:order val="2"/>
          <c:tx>
            <c:strRef>
              <c:f>代理店!$B$154</c:f>
              <c:strCache>
                <c:ptCount val="1"/>
                <c:pt idx="0">
                  <c:v>平成医会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代理店!$C$154:$AK$154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59</c:v>
                </c:pt>
                <c:pt idx="22">
                  <c:v>82</c:v>
                </c:pt>
                <c:pt idx="25">
                  <c:v>95.8</c:v>
                </c:pt>
                <c:pt idx="28">
                  <c:v>111.8</c:v>
                </c:pt>
                <c:pt idx="3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5-4A34-B26F-D6F9E12EF465}"/>
            </c:ext>
          </c:extLst>
        </c:ser>
        <c:ser>
          <c:idx val="3"/>
          <c:order val="3"/>
          <c:tx>
            <c:strRef>
              <c:f>代理店!$B$155</c:f>
              <c:strCache>
                <c:ptCount val="1"/>
                <c:pt idx="0">
                  <c:v>ココログループ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代理店!$C$155:$AK$155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29.5</c:v>
                </c:pt>
                <c:pt idx="22">
                  <c:v>41</c:v>
                </c:pt>
                <c:pt idx="25">
                  <c:v>47.9</c:v>
                </c:pt>
                <c:pt idx="28">
                  <c:v>55.9</c:v>
                </c:pt>
                <c:pt idx="31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35-4A34-B26F-D6F9E12EF465}"/>
            </c:ext>
          </c:extLst>
        </c:ser>
        <c:ser>
          <c:idx val="4"/>
          <c:order val="4"/>
          <c:tx>
            <c:strRef>
              <c:f>代理店!$B$156</c:f>
              <c:strCache>
                <c:ptCount val="1"/>
                <c:pt idx="0">
                  <c:v>ウィルオブワーク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代理店!$C$156:$AK$156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118</c:v>
                </c:pt>
                <c:pt idx="22">
                  <c:v>164</c:v>
                </c:pt>
                <c:pt idx="25">
                  <c:v>191.6</c:v>
                </c:pt>
                <c:pt idx="28">
                  <c:v>223.6</c:v>
                </c:pt>
                <c:pt idx="31">
                  <c:v>210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35-4A34-B26F-D6F9E12EF465}"/>
            </c:ext>
          </c:extLst>
        </c:ser>
        <c:ser>
          <c:idx val="5"/>
          <c:order val="5"/>
          <c:tx>
            <c:strRef>
              <c:f>代理店!$B$157</c:f>
              <c:strCache>
                <c:ptCount val="1"/>
                <c:pt idx="0">
                  <c:v>HIS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代理店!$C$157:$AK$157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29.5</c:v>
                </c:pt>
                <c:pt idx="22">
                  <c:v>41</c:v>
                </c:pt>
                <c:pt idx="25">
                  <c:v>47.9</c:v>
                </c:pt>
                <c:pt idx="28">
                  <c:v>55.9</c:v>
                </c:pt>
                <c:pt idx="31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35-4A34-B26F-D6F9E12EF465}"/>
            </c:ext>
          </c:extLst>
        </c:ser>
        <c:ser>
          <c:idx val="6"/>
          <c:order val="6"/>
          <c:tx>
            <c:strRef>
              <c:f>代理店!$B$158</c:f>
              <c:strCache>
                <c:ptCount val="1"/>
                <c:pt idx="0">
                  <c:v>三千和商工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代理店!$C$158:$AK$158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29.5</c:v>
                </c:pt>
                <c:pt idx="22">
                  <c:v>41</c:v>
                </c:pt>
                <c:pt idx="25">
                  <c:v>47.9</c:v>
                </c:pt>
                <c:pt idx="28">
                  <c:v>55.9</c:v>
                </c:pt>
                <c:pt idx="31">
                  <c:v>52.5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35-4A34-B26F-D6F9E12E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具体検討ステージ数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代理店!$B$159</c:f>
              <c:strCache>
                <c:ptCount val="1"/>
                <c:pt idx="0">
                  <c:v>八神製作所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代理店!$C$159:$AK$159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1.45</c:v>
                </c:pt>
                <c:pt idx="22">
                  <c:v>1.9</c:v>
                </c:pt>
                <c:pt idx="25">
                  <c:v>2.2999999999999998</c:v>
                </c:pt>
                <c:pt idx="28">
                  <c:v>1.7</c:v>
                </c:pt>
                <c:pt idx="31">
                  <c:v>1.7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5-4232-B7DF-2DC174D119E4}"/>
            </c:ext>
          </c:extLst>
        </c:ser>
        <c:ser>
          <c:idx val="1"/>
          <c:order val="1"/>
          <c:tx>
            <c:strRef>
              <c:f>代理店!$B$160</c:f>
              <c:strCache>
                <c:ptCount val="1"/>
                <c:pt idx="0">
                  <c:v>ジャパン介護ラボラトリー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代理店!$C$160:$AK$160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1.45</c:v>
                </c:pt>
                <c:pt idx="22">
                  <c:v>1.9</c:v>
                </c:pt>
                <c:pt idx="25">
                  <c:v>2.2999999999999998</c:v>
                </c:pt>
                <c:pt idx="28">
                  <c:v>1.7</c:v>
                </c:pt>
                <c:pt idx="31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5-4232-B7DF-2DC174D119E4}"/>
            </c:ext>
          </c:extLst>
        </c:ser>
        <c:ser>
          <c:idx val="2"/>
          <c:order val="2"/>
          <c:tx>
            <c:strRef>
              <c:f>代理店!$B$161</c:f>
              <c:strCache>
                <c:ptCount val="1"/>
                <c:pt idx="0">
                  <c:v>平成医会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代理店!$C$161:$AK$161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5.8</c:v>
                </c:pt>
                <c:pt idx="22">
                  <c:v>7.6</c:v>
                </c:pt>
                <c:pt idx="25">
                  <c:v>9.1999999999999993</c:v>
                </c:pt>
                <c:pt idx="28">
                  <c:v>6.8</c:v>
                </c:pt>
                <c:pt idx="31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5-4232-B7DF-2DC174D119E4}"/>
            </c:ext>
          </c:extLst>
        </c:ser>
        <c:ser>
          <c:idx val="3"/>
          <c:order val="3"/>
          <c:tx>
            <c:strRef>
              <c:f>代理店!$B$162</c:f>
              <c:strCache>
                <c:ptCount val="1"/>
                <c:pt idx="0">
                  <c:v>ココログループ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代理店!$C$162:$AK$162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2.9</c:v>
                </c:pt>
                <c:pt idx="22">
                  <c:v>3.8</c:v>
                </c:pt>
                <c:pt idx="25">
                  <c:v>4.5999999999999996</c:v>
                </c:pt>
                <c:pt idx="28">
                  <c:v>3.4</c:v>
                </c:pt>
                <c:pt idx="31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5-4232-B7DF-2DC174D119E4}"/>
            </c:ext>
          </c:extLst>
        </c:ser>
        <c:ser>
          <c:idx val="4"/>
          <c:order val="4"/>
          <c:tx>
            <c:strRef>
              <c:f>代理店!$B$163</c:f>
              <c:strCache>
                <c:ptCount val="1"/>
                <c:pt idx="0">
                  <c:v>ウィルオブワーク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代理店!$C$163:$AK$163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11.6</c:v>
                </c:pt>
                <c:pt idx="22">
                  <c:v>15.2</c:v>
                </c:pt>
                <c:pt idx="25">
                  <c:v>18.399999999999999</c:v>
                </c:pt>
                <c:pt idx="28">
                  <c:v>13.6</c:v>
                </c:pt>
                <c:pt idx="31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5-4232-B7DF-2DC174D119E4}"/>
            </c:ext>
          </c:extLst>
        </c:ser>
        <c:ser>
          <c:idx val="5"/>
          <c:order val="5"/>
          <c:tx>
            <c:strRef>
              <c:f>代理店!$B$164</c:f>
              <c:strCache>
                <c:ptCount val="1"/>
                <c:pt idx="0">
                  <c:v>HIS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代理店!$C$164:$AK$164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2.9</c:v>
                </c:pt>
                <c:pt idx="22">
                  <c:v>3.8</c:v>
                </c:pt>
                <c:pt idx="25">
                  <c:v>4.5999999999999996</c:v>
                </c:pt>
                <c:pt idx="28">
                  <c:v>3.4</c:v>
                </c:pt>
                <c:pt idx="31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65-4232-B7DF-2DC174D119E4}"/>
            </c:ext>
          </c:extLst>
        </c:ser>
        <c:ser>
          <c:idx val="6"/>
          <c:order val="6"/>
          <c:tx>
            <c:strRef>
              <c:f>代理店!$B$165</c:f>
              <c:strCache>
                <c:ptCount val="1"/>
                <c:pt idx="0">
                  <c:v>三千和商工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代理店!$C$165:$AK$165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2.9</c:v>
                </c:pt>
                <c:pt idx="22">
                  <c:v>3.8</c:v>
                </c:pt>
                <c:pt idx="25">
                  <c:v>4.5999999999999996</c:v>
                </c:pt>
                <c:pt idx="28">
                  <c:v>3.4</c:v>
                </c:pt>
                <c:pt idx="31">
                  <c:v>3.4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65-4232-B7DF-2DC174D1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r>
              <a:rPr lang="ja-JP" altLang="en-US"/>
              <a:t>内諾ステージ数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23008207070707"/>
          <c:y val="0.11629523430727774"/>
          <c:w val="0.82265561868686865"/>
          <c:h val="0.636057493115142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代理店!$B$166</c:f>
              <c:strCache>
                <c:ptCount val="1"/>
                <c:pt idx="0">
                  <c:v>八神製作所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代理店!$C$166:$AK$166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0.4</c:v>
                </c:pt>
                <c:pt idx="22">
                  <c:v>0.5</c:v>
                </c:pt>
                <c:pt idx="25">
                  <c:v>0.55000000000000004</c:v>
                </c:pt>
                <c:pt idx="28">
                  <c:v>0.55000000000000004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0-4A65-AA2E-CF84A7B233F3}"/>
            </c:ext>
          </c:extLst>
        </c:ser>
        <c:ser>
          <c:idx val="1"/>
          <c:order val="1"/>
          <c:tx>
            <c:strRef>
              <c:f>代理店!$B$167</c:f>
              <c:strCache>
                <c:ptCount val="1"/>
                <c:pt idx="0">
                  <c:v>ジャパン介護ラボラトリー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代理店!$C$167:$AK$167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0.4</c:v>
                </c:pt>
                <c:pt idx="22">
                  <c:v>0.5</c:v>
                </c:pt>
                <c:pt idx="25">
                  <c:v>0.55000000000000004</c:v>
                </c:pt>
                <c:pt idx="28">
                  <c:v>0.55000000000000004</c:v>
                </c:pt>
                <c:pt idx="31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0-4A65-AA2E-CF84A7B233F3}"/>
            </c:ext>
          </c:extLst>
        </c:ser>
        <c:ser>
          <c:idx val="2"/>
          <c:order val="2"/>
          <c:tx>
            <c:strRef>
              <c:f>代理店!$B$168</c:f>
              <c:strCache>
                <c:ptCount val="1"/>
                <c:pt idx="0">
                  <c:v>平成医会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代理店!$C$168:$AK$168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1.6</c:v>
                </c:pt>
                <c:pt idx="22">
                  <c:v>2</c:v>
                </c:pt>
                <c:pt idx="25">
                  <c:v>2.2000000000000002</c:v>
                </c:pt>
                <c:pt idx="28">
                  <c:v>2.2000000000000002</c:v>
                </c:pt>
                <c:pt idx="31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0-4A65-AA2E-CF84A7B233F3}"/>
            </c:ext>
          </c:extLst>
        </c:ser>
        <c:ser>
          <c:idx val="3"/>
          <c:order val="3"/>
          <c:tx>
            <c:strRef>
              <c:f>代理店!$B$169</c:f>
              <c:strCache>
                <c:ptCount val="1"/>
                <c:pt idx="0">
                  <c:v>ココログループ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代理店!$C$169:$AK$169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0.8</c:v>
                </c:pt>
                <c:pt idx="22">
                  <c:v>1</c:v>
                </c:pt>
                <c:pt idx="25">
                  <c:v>1.1000000000000001</c:v>
                </c:pt>
                <c:pt idx="28">
                  <c:v>1.1000000000000001</c:v>
                </c:pt>
                <c:pt idx="31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0-4A65-AA2E-CF84A7B233F3}"/>
            </c:ext>
          </c:extLst>
        </c:ser>
        <c:ser>
          <c:idx val="4"/>
          <c:order val="4"/>
          <c:tx>
            <c:strRef>
              <c:f>代理店!$B$170</c:f>
              <c:strCache>
                <c:ptCount val="1"/>
                <c:pt idx="0">
                  <c:v>ウィルオブワーク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代理店!$C$170:$AK$170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3.2</c:v>
                </c:pt>
                <c:pt idx="22">
                  <c:v>4</c:v>
                </c:pt>
                <c:pt idx="25">
                  <c:v>4.4000000000000004</c:v>
                </c:pt>
                <c:pt idx="28">
                  <c:v>4.4000000000000004</c:v>
                </c:pt>
                <c:pt idx="31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0-4A65-AA2E-CF84A7B233F3}"/>
            </c:ext>
          </c:extLst>
        </c:ser>
        <c:ser>
          <c:idx val="5"/>
          <c:order val="5"/>
          <c:tx>
            <c:strRef>
              <c:f>代理店!$B$171</c:f>
              <c:strCache>
                <c:ptCount val="1"/>
                <c:pt idx="0">
                  <c:v>HIS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代理店!$C$171:$AK$171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0.8</c:v>
                </c:pt>
                <c:pt idx="22">
                  <c:v>1</c:v>
                </c:pt>
                <c:pt idx="25">
                  <c:v>1.1000000000000001</c:v>
                </c:pt>
                <c:pt idx="28">
                  <c:v>1.1000000000000001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0-4A65-AA2E-CF84A7B233F3}"/>
            </c:ext>
          </c:extLst>
        </c:ser>
        <c:ser>
          <c:idx val="6"/>
          <c:order val="6"/>
          <c:tx>
            <c:strRef>
              <c:f>代理店!$B$172</c:f>
              <c:strCache>
                <c:ptCount val="1"/>
                <c:pt idx="0">
                  <c:v>三千和商工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代理店!$C$1:$AK$2</c:f>
              <c:multiLvlStrCache>
                <c:ptCount val="35"/>
                <c:lvl>
                  <c:pt idx="0">
                    <c:v>実績</c:v>
                  </c:pt>
                  <c:pt idx="1">
                    <c:v>計画</c:v>
                  </c:pt>
                  <c:pt idx="3">
                    <c:v>実績</c:v>
                  </c:pt>
                  <c:pt idx="4">
                    <c:v>計画</c:v>
                  </c:pt>
                  <c:pt idx="6">
                    <c:v>実績</c:v>
                  </c:pt>
                  <c:pt idx="7">
                    <c:v>計画</c:v>
                  </c:pt>
                  <c:pt idx="9">
                    <c:v>実績</c:v>
                  </c:pt>
                  <c:pt idx="10">
                    <c:v>計画</c:v>
                  </c:pt>
                  <c:pt idx="12">
                    <c:v>実績</c:v>
                  </c:pt>
                  <c:pt idx="13">
                    <c:v>計画</c:v>
                  </c:pt>
                  <c:pt idx="15">
                    <c:v>実績</c:v>
                  </c:pt>
                  <c:pt idx="16">
                    <c:v>計画</c:v>
                  </c:pt>
                  <c:pt idx="18">
                    <c:v>実績</c:v>
                  </c:pt>
                  <c:pt idx="19">
                    <c:v>計画</c:v>
                  </c:pt>
                  <c:pt idx="21">
                    <c:v>実績</c:v>
                  </c:pt>
                  <c:pt idx="22">
                    <c:v>計画</c:v>
                  </c:pt>
                  <c:pt idx="24">
                    <c:v>実績</c:v>
                  </c:pt>
                  <c:pt idx="25">
                    <c:v>計画</c:v>
                  </c:pt>
                  <c:pt idx="27">
                    <c:v>実績</c:v>
                  </c:pt>
                  <c:pt idx="28">
                    <c:v>計画</c:v>
                  </c:pt>
                  <c:pt idx="30">
                    <c:v>実績</c:v>
                  </c:pt>
                  <c:pt idx="31">
                    <c:v>計画</c:v>
                  </c:pt>
                  <c:pt idx="33">
                    <c:v>実績</c:v>
                  </c:pt>
                  <c:pt idx="34">
                    <c:v>計画</c:v>
                  </c:pt>
                </c:lvl>
                <c:lvl>
                  <c:pt idx="0">
                    <c:v>1月</c:v>
                  </c:pt>
                  <c:pt idx="2">
                    <c:v> </c:v>
                  </c:pt>
                  <c:pt idx="3">
                    <c:v>2月</c:v>
                  </c:pt>
                  <c:pt idx="5">
                    <c:v> </c:v>
                  </c:pt>
                  <c:pt idx="6">
                    <c:v>3月</c:v>
                  </c:pt>
                  <c:pt idx="8">
                    <c:v> </c:v>
                  </c:pt>
                  <c:pt idx="9">
                    <c:v>4月</c:v>
                  </c:pt>
                  <c:pt idx="11">
                    <c:v> </c:v>
                  </c:pt>
                  <c:pt idx="12">
                    <c:v>5月</c:v>
                  </c:pt>
                  <c:pt idx="14">
                    <c:v> </c:v>
                  </c:pt>
                  <c:pt idx="15">
                    <c:v>6月</c:v>
                  </c:pt>
                  <c:pt idx="17">
                    <c:v> </c:v>
                  </c:pt>
                  <c:pt idx="18">
                    <c:v>7月</c:v>
                  </c:pt>
                  <c:pt idx="20">
                    <c:v> </c:v>
                  </c:pt>
                  <c:pt idx="21">
                    <c:v>8月</c:v>
                  </c:pt>
                  <c:pt idx="23">
                    <c:v> </c:v>
                  </c:pt>
                  <c:pt idx="24">
                    <c:v>9月</c:v>
                  </c:pt>
                  <c:pt idx="26">
                    <c:v> </c:v>
                  </c:pt>
                  <c:pt idx="27">
                    <c:v>10月</c:v>
                  </c:pt>
                  <c:pt idx="29">
                    <c:v> </c:v>
                  </c:pt>
                  <c:pt idx="30">
                    <c:v>11月</c:v>
                  </c:pt>
                  <c:pt idx="32">
                    <c:v> </c:v>
                  </c:pt>
                  <c:pt idx="33">
                    <c:v>12月</c:v>
                  </c:pt>
                </c:lvl>
              </c:multiLvlStrCache>
            </c:multiLvlStrRef>
          </c:cat>
          <c:val>
            <c:numRef>
              <c:f>代理店!$C$172:$AK$172</c:f>
              <c:numCache>
                <c:formatCode>#,##0_);[Red]\(#,##0\)</c:formatCode>
                <c:ptCount val="3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0.8</c:v>
                </c:pt>
                <c:pt idx="22">
                  <c:v>1</c:v>
                </c:pt>
                <c:pt idx="25">
                  <c:v>1.1000000000000001</c:v>
                </c:pt>
                <c:pt idx="28">
                  <c:v>1.1000000000000001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50-4A65-AA2E-CF84A7B23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22659872"/>
        <c:axId val="1222658072"/>
      </c:barChart>
      <c:catAx>
        <c:axId val="122265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8072"/>
        <c:crosses val="autoZero"/>
        <c:auto val="1"/>
        <c:lblAlgn val="ctr"/>
        <c:lblOffset val="100"/>
        <c:noMultiLvlLbl val="0"/>
      </c:catAx>
      <c:valAx>
        <c:axId val="1222658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defRPr>
            </a:pPr>
            <a:endParaRPr lang="ja-JP"/>
          </a:p>
        </c:txPr>
        <c:crossAx val="122265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 b="0">
          <a:solidFill>
            <a:schemeClr val="tx1">
              <a:lumMod val="75000"/>
              <a:lumOff val="25000"/>
            </a:schemeClr>
          </a:solidFill>
          <a:latin typeface="BIZ UDPゴシック" panose="020B0400000000000000" pitchFamily="50" charset="-128"/>
          <a:ea typeface="BIZ UDP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</xdr:row>
      <xdr:rowOff>28575</xdr:rowOff>
    </xdr:from>
    <xdr:ext cx="2346861" cy="3252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FA9B3D2-5299-B70B-3836-53C5DDE94686}"/>
            </a:ext>
          </a:extLst>
        </xdr:cNvPr>
        <xdr:cNvSpPr txBox="1"/>
      </xdr:nvSpPr>
      <xdr:spPr>
        <a:xfrm>
          <a:off x="2057400" y="333375"/>
          <a:ext cx="2346861" cy="325217"/>
        </a:xfrm>
        <a:prstGeom prst="rect">
          <a:avLst/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前年はデータ一が追加された後に設定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4</xdr:col>
      <xdr:colOff>573675</xdr:colOff>
      <xdr:row>75</xdr:row>
      <xdr:rowOff>119063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BF799AD-B1DC-4D6A-8C09-D186AA536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8</xdr:col>
      <xdr:colOff>402225</xdr:colOff>
      <xdr:row>75</xdr:row>
      <xdr:rowOff>119063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8DD4A51-8558-487D-A323-01B70A19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12</xdr:col>
      <xdr:colOff>326025</xdr:colOff>
      <xdr:row>75</xdr:row>
      <xdr:rowOff>119063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B4DD52B-5834-4EE5-93D5-BBEE1789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51</xdr:row>
      <xdr:rowOff>0</xdr:rowOff>
    </xdr:from>
    <xdr:to>
      <xdr:col>16</xdr:col>
      <xdr:colOff>411750</xdr:colOff>
      <xdr:row>75</xdr:row>
      <xdr:rowOff>119063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5B44431-8A7D-4780-AE5C-1B762929B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4</xdr:col>
      <xdr:colOff>573675</xdr:colOff>
      <xdr:row>100</xdr:row>
      <xdr:rowOff>119063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443A8F2E-474B-4BE0-99D5-EE2085CCC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76</xdr:row>
      <xdr:rowOff>0</xdr:rowOff>
    </xdr:from>
    <xdr:to>
      <xdr:col>8</xdr:col>
      <xdr:colOff>402225</xdr:colOff>
      <xdr:row>100</xdr:row>
      <xdr:rowOff>119063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E91C6E58-5E5E-4037-881C-08A597B76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12</xdr:col>
      <xdr:colOff>326025</xdr:colOff>
      <xdr:row>100</xdr:row>
      <xdr:rowOff>119063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5D2CE21B-973C-4B1D-AA9B-CFD5BAE40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76</xdr:row>
      <xdr:rowOff>0</xdr:rowOff>
    </xdr:from>
    <xdr:to>
      <xdr:col>16</xdr:col>
      <xdr:colOff>411750</xdr:colOff>
      <xdr:row>100</xdr:row>
      <xdr:rowOff>119063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9E68A5F1-201F-48E4-9AF2-367C9E5F0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132</xdr:row>
      <xdr:rowOff>0</xdr:rowOff>
    </xdr:from>
    <xdr:to>
      <xdr:col>4</xdr:col>
      <xdr:colOff>573675</xdr:colOff>
      <xdr:row>156</xdr:row>
      <xdr:rowOff>119063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DDADEEF-D4A5-4873-BACA-2E42F4558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8</xdr:col>
      <xdr:colOff>402225</xdr:colOff>
      <xdr:row>156</xdr:row>
      <xdr:rowOff>119063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FBC44FD-F6F2-42DB-901F-003052D7B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4</xdr:col>
      <xdr:colOff>573675</xdr:colOff>
      <xdr:row>125</xdr:row>
      <xdr:rowOff>119063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070B12B-8E5E-4566-9BA3-72AC70536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101</xdr:row>
      <xdr:rowOff>0</xdr:rowOff>
    </xdr:from>
    <xdr:to>
      <xdr:col>8</xdr:col>
      <xdr:colOff>402225</xdr:colOff>
      <xdr:row>125</xdr:row>
      <xdr:rowOff>119063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18BAA1A-B6DE-41C6-A465-FAFB3C53F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101</xdr:row>
      <xdr:rowOff>0</xdr:rowOff>
    </xdr:from>
    <xdr:to>
      <xdr:col>12</xdr:col>
      <xdr:colOff>326025</xdr:colOff>
      <xdr:row>125</xdr:row>
      <xdr:rowOff>119063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83DBFE5-6FAD-463F-A7BC-F2AD4EB4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101</xdr:row>
      <xdr:rowOff>0</xdr:rowOff>
    </xdr:from>
    <xdr:to>
      <xdr:col>16</xdr:col>
      <xdr:colOff>411750</xdr:colOff>
      <xdr:row>125</xdr:row>
      <xdr:rowOff>119063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6724EAC-85E8-40C1-A28F-EEB8DCC1E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34</xdr:row>
      <xdr:rowOff>0</xdr:rowOff>
    </xdr:from>
    <xdr:to>
      <xdr:col>8</xdr:col>
      <xdr:colOff>365400</xdr:colOff>
      <xdr:row>52</xdr:row>
      <xdr:rowOff>136800</xdr:rowOff>
    </xdr:to>
    <xdr:graphicFrame macro="">
      <xdr:nvGraphicFramePr>
        <xdr:cNvPr id="7" name="グラフ 4">
          <a:extLst>
            <a:ext uri="{FF2B5EF4-FFF2-40B4-BE49-F238E27FC236}">
              <a16:creationId xmlns:a16="http://schemas.microsoft.com/office/drawing/2014/main" id="{64670C4E-DF70-48F4-95C7-6A59DA3A0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15</xdr:col>
      <xdr:colOff>365400</xdr:colOff>
      <xdr:row>52</xdr:row>
      <xdr:rowOff>136800</xdr:rowOff>
    </xdr:to>
    <xdr:graphicFrame macro="">
      <xdr:nvGraphicFramePr>
        <xdr:cNvPr id="13" name="グラフ 9">
          <a:extLst>
            <a:ext uri="{FF2B5EF4-FFF2-40B4-BE49-F238E27FC236}">
              <a16:creationId xmlns:a16="http://schemas.microsoft.com/office/drawing/2014/main" id="{FC70A54D-D555-465A-B921-3FC07DFD6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34</xdr:row>
      <xdr:rowOff>0</xdr:rowOff>
    </xdr:from>
    <xdr:to>
      <xdr:col>22</xdr:col>
      <xdr:colOff>365400</xdr:colOff>
      <xdr:row>52</xdr:row>
      <xdr:rowOff>136800</xdr:rowOff>
    </xdr:to>
    <xdr:graphicFrame macro="">
      <xdr:nvGraphicFramePr>
        <xdr:cNvPr id="9" name="グラフ 10">
          <a:extLst>
            <a:ext uri="{FF2B5EF4-FFF2-40B4-BE49-F238E27FC236}">
              <a16:creationId xmlns:a16="http://schemas.microsoft.com/office/drawing/2014/main" id="{6104FB02-EAE4-49E2-9C63-453B4837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29</xdr:col>
      <xdr:colOff>365400</xdr:colOff>
      <xdr:row>52</xdr:row>
      <xdr:rowOff>136800</xdr:rowOff>
    </xdr:to>
    <xdr:graphicFrame macro="">
      <xdr:nvGraphicFramePr>
        <xdr:cNvPr id="8" name="グラフ 11">
          <a:extLst>
            <a:ext uri="{FF2B5EF4-FFF2-40B4-BE49-F238E27FC236}">
              <a16:creationId xmlns:a16="http://schemas.microsoft.com/office/drawing/2014/main" id="{BEC23C93-0ACA-464B-8355-37B0A5555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55</xdr:row>
      <xdr:rowOff>0</xdr:rowOff>
    </xdr:from>
    <xdr:to>
      <xdr:col>8</xdr:col>
      <xdr:colOff>365400</xdr:colOff>
      <xdr:row>73</xdr:row>
      <xdr:rowOff>136800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6F3A3A71-3056-465A-A8D1-210B52EC6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15</xdr:col>
      <xdr:colOff>365400</xdr:colOff>
      <xdr:row>73</xdr:row>
      <xdr:rowOff>136800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4CE28453-ADA4-4D73-99B5-0583A4E91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55</xdr:row>
      <xdr:rowOff>0</xdr:rowOff>
    </xdr:from>
    <xdr:to>
      <xdr:col>22</xdr:col>
      <xdr:colOff>365400</xdr:colOff>
      <xdr:row>73</xdr:row>
      <xdr:rowOff>136800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FE94BAA6-B01E-42F6-962F-8483C25E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55</xdr:row>
      <xdr:rowOff>0</xdr:rowOff>
    </xdr:from>
    <xdr:to>
      <xdr:col>29</xdr:col>
      <xdr:colOff>365400</xdr:colOff>
      <xdr:row>73</xdr:row>
      <xdr:rowOff>136800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1E4EE3BA-55B6-4F2F-8030-A5C21F669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257175</xdr:colOff>
      <xdr:row>186</xdr:row>
      <xdr:rowOff>47625</xdr:rowOff>
    </xdr:from>
    <xdr:to>
      <xdr:col>9</xdr:col>
      <xdr:colOff>209850</xdr:colOff>
      <xdr:row>209</xdr:row>
      <xdr:rowOff>142425</xdr:rowOff>
    </xdr:to>
    <xdr:graphicFrame macro="">
      <xdr:nvGraphicFramePr>
        <xdr:cNvPr id="659" name="グラフ 1">
          <a:extLst>
            <a:ext uri="{FF2B5EF4-FFF2-40B4-BE49-F238E27FC236}">
              <a16:creationId xmlns:a16="http://schemas.microsoft.com/office/drawing/2014/main" id="{FFB992EA-5B05-4687-ACB5-C88998608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104775</xdr:colOff>
      <xdr:row>186</xdr:row>
      <xdr:rowOff>47625</xdr:rowOff>
    </xdr:from>
    <xdr:to>
      <xdr:col>21</xdr:col>
      <xdr:colOff>295575</xdr:colOff>
      <xdr:row>209</xdr:row>
      <xdr:rowOff>142425</xdr:rowOff>
    </xdr:to>
    <xdr:graphicFrame macro="">
      <xdr:nvGraphicFramePr>
        <xdr:cNvPr id="658" name="グラフ 2">
          <a:extLst>
            <a:ext uri="{FF2B5EF4-FFF2-40B4-BE49-F238E27FC236}">
              <a16:creationId xmlns:a16="http://schemas.microsoft.com/office/drawing/2014/main" id="{161E700C-D780-42F2-8CEC-8CBE0AB08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190500</xdr:colOff>
      <xdr:row>186</xdr:row>
      <xdr:rowOff>47625</xdr:rowOff>
    </xdr:from>
    <xdr:to>
      <xdr:col>33</xdr:col>
      <xdr:colOff>247950</xdr:colOff>
      <xdr:row>209</xdr:row>
      <xdr:rowOff>142425</xdr:rowOff>
    </xdr:to>
    <xdr:graphicFrame macro="">
      <xdr:nvGraphicFramePr>
        <xdr:cNvPr id="657" name="グラフ 3">
          <a:extLst>
            <a:ext uri="{FF2B5EF4-FFF2-40B4-BE49-F238E27FC236}">
              <a16:creationId xmlns:a16="http://schemas.microsoft.com/office/drawing/2014/main" id="{B0EC539D-57CC-4BBE-9AA6-F030D3B7C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142875</xdr:colOff>
      <xdr:row>186</xdr:row>
      <xdr:rowOff>47625</xdr:rowOff>
    </xdr:from>
    <xdr:to>
      <xdr:col>45</xdr:col>
      <xdr:colOff>228900</xdr:colOff>
      <xdr:row>209</xdr:row>
      <xdr:rowOff>142425</xdr:rowOff>
    </xdr:to>
    <xdr:graphicFrame macro="">
      <xdr:nvGraphicFramePr>
        <xdr:cNvPr id="660" name="グラフ 5">
          <a:extLst>
            <a:ext uri="{FF2B5EF4-FFF2-40B4-BE49-F238E27FC236}">
              <a16:creationId xmlns:a16="http://schemas.microsoft.com/office/drawing/2014/main" id="{979020A8-0EA3-46D9-A52D-7DC4499E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6EA0-2D54-4E14-9610-9B43E6484744}">
  <sheetPr>
    <tabColor theme="1"/>
  </sheetPr>
  <dimension ref="A1"/>
  <sheetViews>
    <sheetView workbookViewId="0">
      <selection activeCell="E38" sqref="E38"/>
    </sheetView>
  </sheetViews>
  <sheetFormatPr defaultRowHeight="12"/>
  <sheetData/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AE56-560A-4BC1-9008-685433965525}">
  <dimension ref="A1:N145"/>
  <sheetViews>
    <sheetView topLeftCell="A18" zoomScale="90" zoomScaleNormal="90" workbookViewId="0">
      <selection activeCell="E71" sqref="E71"/>
    </sheetView>
  </sheetViews>
  <sheetFormatPr defaultRowHeight="12"/>
  <cols>
    <col min="1" max="1" width="9.85546875" style="50" customWidth="1"/>
    <col min="2" max="2" width="17.28515625" style="1" bestFit="1" customWidth="1"/>
    <col min="3" max="3" width="17.28515625" style="1" customWidth="1"/>
    <col min="4" max="14" width="12.7109375" style="4" customWidth="1"/>
    <col min="15" max="16384" width="9.140625" style="1"/>
  </cols>
  <sheetData>
    <row r="1" spans="1:14">
      <c r="A1" s="50" t="s">
        <v>0</v>
      </c>
    </row>
    <row r="3" spans="1:14" s="28" customFormat="1" ht="12.75" thickBot="1">
      <c r="A3" s="44"/>
      <c r="B3" s="24"/>
      <c r="C3" s="25"/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7</v>
      </c>
      <c r="K3" s="26" t="s">
        <v>8</v>
      </c>
      <c r="L3" s="26" t="s">
        <v>9</v>
      </c>
      <c r="M3" s="26" t="s">
        <v>10</v>
      </c>
      <c r="N3" s="27" t="s">
        <v>11</v>
      </c>
    </row>
    <row r="4" spans="1:14" ht="12.75" thickTop="1">
      <c r="A4" s="45" t="s">
        <v>12</v>
      </c>
      <c r="B4" s="30" t="s">
        <v>13</v>
      </c>
      <c r="C4" s="31"/>
      <c r="D4" s="32">
        <f>D38</f>
        <v>213867.54399999999</v>
      </c>
      <c r="E4" s="32">
        <f>E38</f>
        <v>398510.31640000001</v>
      </c>
      <c r="F4" s="32">
        <f t="shared" ref="F4:N4" si="0">F38</f>
        <v>887604.90623199998</v>
      </c>
      <c r="G4" s="32">
        <f t="shared" si="0"/>
        <v>1570742.66105416</v>
      </c>
      <c r="H4" s="32">
        <f t="shared" si="0"/>
        <v>2355042.7764941608</v>
      </c>
      <c r="I4" s="32">
        <f t="shared" si="0"/>
        <v>3085274.8877341067</v>
      </c>
      <c r="J4" s="32">
        <f t="shared" si="0"/>
        <v>3765793.8283303119</v>
      </c>
      <c r="K4" s="32">
        <f t="shared" si="0"/>
        <v>4400581.1846986711</v>
      </c>
      <c r="L4" s="32">
        <f t="shared" si="0"/>
        <v>4993279.6324694688</v>
      </c>
      <c r="M4" s="32">
        <f t="shared" si="0"/>
        <v>5547223.8842107449</v>
      </c>
      <c r="N4" s="33">
        <f t="shared" si="0"/>
        <v>6065468.6039348356</v>
      </c>
    </row>
    <row r="5" spans="1:14">
      <c r="A5" s="45"/>
      <c r="B5" s="20" t="s">
        <v>14</v>
      </c>
      <c r="C5" s="23"/>
      <c r="D5" s="21">
        <f>D56</f>
        <v>141818.44188</v>
      </c>
      <c r="E5" s="21">
        <f t="shared" ref="E5:N5" si="1">E56</f>
        <v>315192.44146799995</v>
      </c>
      <c r="F5" s="21">
        <f t="shared" si="1"/>
        <v>783612.98708543996</v>
      </c>
      <c r="G5" s="21">
        <f t="shared" si="1"/>
        <v>1437511.7714131877</v>
      </c>
      <c r="H5" s="21">
        <f t="shared" si="1"/>
        <v>2190457.8574261046</v>
      </c>
      <c r="I5" s="21">
        <f t="shared" si="1"/>
        <v>2893098.4227702171</v>
      </c>
      <c r="J5" s="21">
        <f t="shared" si="1"/>
        <v>3549336.8029780895</v>
      </c>
      <c r="K5" s="21">
        <f t="shared" si="1"/>
        <v>4162757.2662047157</v>
      </c>
      <c r="L5" s="21">
        <f t="shared" si="1"/>
        <v>4736652.8480107859</v>
      </c>
      <c r="M5" s="21">
        <f t="shared" si="1"/>
        <v>5274050.5777031044</v>
      </c>
      <c r="N5" s="22">
        <f t="shared" si="1"/>
        <v>5777734.358024111</v>
      </c>
    </row>
    <row r="6" spans="1:14">
      <c r="A6" s="45"/>
      <c r="B6" s="30" t="s">
        <v>15</v>
      </c>
      <c r="C6" s="34"/>
      <c r="D6" s="32">
        <f>D74</f>
        <v>78150.005226799985</v>
      </c>
      <c r="E6" s="32">
        <f t="shared" ref="E6:N6" si="2">E74</f>
        <v>169988.04480050298</v>
      </c>
      <c r="F6" s="32">
        <f t="shared" si="2"/>
        <v>416077.98035410733</v>
      </c>
      <c r="G6" s="32">
        <f t="shared" si="2"/>
        <v>759305.1953502153</v>
      </c>
      <c r="H6" s="32">
        <f t="shared" si="2"/>
        <v>1152130.7091482047</v>
      </c>
      <c r="I6" s="32">
        <f t="shared" si="2"/>
        <v>1515355.1024280533</v>
      </c>
      <c r="J6" s="32">
        <f t="shared" si="2"/>
        <v>1851398.6685954079</v>
      </c>
      <c r="K6" s="32">
        <f t="shared" si="2"/>
        <v>2162470.4947211961</v>
      </c>
      <c r="L6" s="32">
        <f t="shared" si="2"/>
        <v>2450588.2602806133</v>
      </c>
      <c r="M6" s="32">
        <f t="shared" si="2"/>
        <v>2717596.0482649175</v>
      </c>
      <c r="N6" s="33">
        <f t="shared" si="2"/>
        <v>2965180.3800057848</v>
      </c>
    </row>
    <row r="7" spans="1:14">
      <c r="A7" s="45"/>
      <c r="B7" s="20"/>
      <c r="C7" s="23" t="s">
        <v>16</v>
      </c>
      <c r="D7" s="38">
        <f>D119</f>
        <v>0.36541311395430803</v>
      </c>
      <c r="E7" s="38">
        <f t="shared" ref="E7:N7" si="3">E119</f>
        <v>0.42655870577232308</v>
      </c>
      <c r="F7" s="38">
        <f t="shared" si="3"/>
        <v>0.46876484957751452</v>
      </c>
      <c r="G7" s="38">
        <f t="shared" si="3"/>
        <v>0.48340521600185538</v>
      </c>
      <c r="H7" s="38">
        <f t="shared" si="3"/>
        <v>0.48921859112186761</v>
      </c>
      <c r="I7" s="38">
        <f t="shared" si="3"/>
        <v>0.49115724127290428</v>
      </c>
      <c r="J7" s="38">
        <f t="shared" si="3"/>
        <v>0.49163569568445709</v>
      </c>
      <c r="K7" s="38">
        <f t="shared" si="3"/>
        <v>0.49140565847083012</v>
      </c>
      <c r="L7" s="38">
        <f t="shared" si="3"/>
        <v>0.49077729281279087</v>
      </c>
      <c r="M7" s="38">
        <f t="shared" si="3"/>
        <v>0.48990199512229982</v>
      </c>
      <c r="N7" s="39">
        <f t="shared" si="3"/>
        <v>0.48886253868039004</v>
      </c>
    </row>
    <row r="8" spans="1:14">
      <c r="A8" s="45"/>
      <c r="B8" s="30" t="s">
        <v>17</v>
      </c>
      <c r="C8" s="34"/>
      <c r="D8" s="32">
        <f>D92</f>
        <v>48526.675626800003</v>
      </c>
      <c r="E8" s="32">
        <f t="shared" ref="E8:N8" si="4">E92</f>
        <v>23355.439600502999</v>
      </c>
      <c r="F8" s="32">
        <f t="shared" si="4"/>
        <v>214425.30365410729</v>
      </c>
      <c r="G8" s="32">
        <f t="shared" si="4"/>
        <v>525508.25441521534</v>
      </c>
      <c r="H8" s="32">
        <f t="shared" si="4"/>
        <v>889759.93901465507</v>
      </c>
      <c r="I8" s="32">
        <f t="shared" si="4"/>
        <v>1225293.9482598519</v>
      </c>
      <c r="J8" s="32">
        <f t="shared" si="4"/>
        <v>1534468.7343949806</v>
      </c>
      <c r="K8" s="32">
        <f t="shared" si="4"/>
        <v>1819435.8722107988</v>
      </c>
      <c r="L8" s="32">
        <f t="shared" si="4"/>
        <v>2082159.5547619434</v>
      </c>
      <c r="M8" s="32">
        <f t="shared" si="4"/>
        <v>2324434.122668555</v>
      </c>
      <c r="N8" s="33">
        <f t="shared" si="4"/>
        <v>2547899.8368571671</v>
      </c>
    </row>
    <row r="9" spans="1:14">
      <c r="A9" s="45"/>
      <c r="B9" s="20"/>
      <c r="C9" s="23" t="s">
        <v>18</v>
      </c>
      <c r="D9" s="38">
        <f>D128</f>
        <v>0.22690060735349354</v>
      </c>
      <c r="E9" s="38">
        <f t="shared" ref="E9:N9" si="5">E128</f>
        <v>5.8606863208681033E-2</v>
      </c>
      <c r="F9" s="38">
        <f t="shared" si="5"/>
        <v>0.24157742048133896</v>
      </c>
      <c r="G9" s="38">
        <f t="shared" si="5"/>
        <v>0.33456037544847428</v>
      </c>
      <c r="H9" s="38">
        <f t="shared" si="5"/>
        <v>0.37781052127605003</v>
      </c>
      <c r="I9" s="38">
        <f t="shared" si="5"/>
        <v>0.39714255385513947</v>
      </c>
      <c r="J9" s="38">
        <f t="shared" si="5"/>
        <v>0.40747550300047564</v>
      </c>
      <c r="K9" s="38">
        <f t="shared" si="5"/>
        <v>0.41345354075893143</v>
      </c>
      <c r="L9" s="38">
        <f t="shared" si="5"/>
        <v>0.416992379361737</v>
      </c>
      <c r="M9" s="38">
        <f t="shared" si="5"/>
        <v>0.41902655656006099</v>
      </c>
      <c r="N9" s="39">
        <f t="shared" si="5"/>
        <v>0.4200664455182036</v>
      </c>
    </row>
    <row r="10" spans="1:14">
      <c r="A10" s="45"/>
      <c r="B10" s="30" t="s">
        <v>19</v>
      </c>
      <c r="C10" s="34"/>
      <c r="D10" s="32">
        <f>D110</f>
        <v>48315.8070668</v>
      </c>
      <c r="E10" s="32">
        <f t="shared" ref="E10:N10" si="6">E110</f>
        <v>-2618.1223050970025</v>
      </c>
      <c r="F10" s="32">
        <f t="shared" si="6"/>
        <v>148572.95072597932</v>
      </c>
      <c r="G10" s="32">
        <f t="shared" si="6"/>
        <v>441478.86350246269</v>
      </c>
      <c r="H10" s="32">
        <f t="shared" si="6"/>
        <v>786748.92753943277</v>
      </c>
      <c r="I10" s="32">
        <f t="shared" si="6"/>
        <v>1104979.1106896563</v>
      </c>
      <c r="J10" s="32">
        <f t="shared" si="6"/>
        <v>1398326.5298612083</v>
      </c>
      <c r="K10" s="32">
        <f t="shared" si="6"/>
        <v>1668765.5847490788</v>
      </c>
      <c r="L10" s="32">
        <f t="shared" si="6"/>
        <v>1918104.5543236304</v>
      </c>
      <c r="M10" s="32">
        <f t="shared" si="6"/>
        <v>2148000.5748108397</v>
      </c>
      <c r="N10" s="33">
        <f t="shared" si="6"/>
        <v>2359973.1672703773</v>
      </c>
    </row>
    <row r="11" spans="1:14">
      <c r="A11" s="46"/>
      <c r="B11" s="40"/>
      <c r="C11" s="41" t="s">
        <v>20</v>
      </c>
      <c r="D11" s="42">
        <f>D137</f>
        <v>0.22591462997676731</v>
      </c>
      <c r="E11" s="42">
        <f t="shared" ref="E11:N11" si="7">E137</f>
        <v>-6.5697729703667026E-3</v>
      </c>
      <c r="F11" s="42">
        <f t="shared" si="7"/>
        <v>0.16738635589193746</v>
      </c>
      <c r="G11" s="42">
        <f t="shared" si="7"/>
        <v>0.28106377603965788</v>
      </c>
      <c r="H11" s="42">
        <f t="shared" si="7"/>
        <v>0.33406990963902072</v>
      </c>
      <c r="I11" s="42">
        <f t="shared" si="7"/>
        <v>0.35814608127225162</v>
      </c>
      <c r="J11" s="42">
        <f t="shared" si="7"/>
        <v>0.3713231774245066</v>
      </c>
      <c r="K11" s="42">
        <f t="shared" si="7"/>
        <v>0.37921481611373731</v>
      </c>
      <c r="L11" s="42">
        <f t="shared" si="7"/>
        <v>0.38413721952419788</v>
      </c>
      <c r="M11" s="42">
        <f t="shared" si="7"/>
        <v>0.38722081885405202</v>
      </c>
      <c r="N11" s="43">
        <f t="shared" si="7"/>
        <v>0.38908340333991642</v>
      </c>
    </row>
    <row r="12" spans="1:14" s="57" customFormat="1">
      <c r="A12" s="52"/>
      <c r="B12" s="53"/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/>
    </row>
    <row r="13" spans="1:14" s="28" customFormat="1" ht="12.75" thickBot="1">
      <c r="A13" s="44"/>
      <c r="B13" s="24"/>
      <c r="C13" s="25"/>
      <c r="D13" s="26" t="s">
        <v>1</v>
      </c>
      <c r="E13" s="26" t="s">
        <v>2</v>
      </c>
      <c r="F13" s="26" t="s">
        <v>3</v>
      </c>
      <c r="G13" s="26" t="s">
        <v>4</v>
      </c>
      <c r="H13" s="26" t="s">
        <v>5</v>
      </c>
      <c r="I13" s="26" t="s">
        <v>6</v>
      </c>
      <c r="J13" s="26" t="s">
        <v>7</v>
      </c>
      <c r="K13" s="26" t="s">
        <v>8</v>
      </c>
      <c r="L13" s="26" t="s">
        <v>9</v>
      </c>
      <c r="M13" s="26" t="s">
        <v>10</v>
      </c>
      <c r="N13" s="27" t="s">
        <v>11</v>
      </c>
    </row>
    <row r="14" spans="1:14" ht="12.75" thickTop="1">
      <c r="A14" s="47" t="s">
        <v>21</v>
      </c>
      <c r="B14" s="30" t="s">
        <v>13</v>
      </c>
      <c r="C14" s="31"/>
      <c r="D14" s="32">
        <f>D39</f>
        <v>31621.631999999998</v>
      </c>
      <c r="E14" s="32">
        <f t="shared" ref="E14:N14" si="8">E39</f>
        <v>160180.98000000001</v>
      </c>
      <c r="F14" s="32">
        <f t="shared" si="8"/>
        <v>538435.04099999997</v>
      </c>
      <c r="G14" s="32">
        <f t="shared" si="8"/>
        <v>1064836.46493</v>
      </c>
      <c r="H14" s="32">
        <f t="shared" si="8"/>
        <v>1674358.4499849</v>
      </c>
      <c r="I14" s="32">
        <f t="shared" si="8"/>
        <v>2241213.8960859571</v>
      </c>
      <c r="J14" s="32">
        <f t="shared" si="8"/>
        <v>2768389.4609599402</v>
      </c>
      <c r="K14" s="32">
        <f t="shared" si="8"/>
        <v>3258662.7362927445</v>
      </c>
      <c r="L14" s="32">
        <f t="shared" si="8"/>
        <v>3714616.8823522525</v>
      </c>
      <c r="M14" s="32">
        <f t="shared" si="8"/>
        <v>4138654.2381875953</v>
      </c>
      <c r="N14" s="33">
        <f t="shared" si="8"/>
        <v>4533008.9791144636</v>
      </c>
    </row>
    <row r="15" spans="1:14">
      <c r="A15" s="47"/>
      <c r="B15" s="20" t="s">
        <v>14</v>
      </c>
      <c r="C15" s="23"/>
      <c r="D15" s="21">
        <f>D57</f>
        <v>31621.631999999998</v>
      </c>
      <c r="E15" s="21">
        <f t="shared" ref="E15:N15" si="9">E57</f>
        <v>160180.98000000001</v>
      </c>
      <c r="F15" s="21">
        <f t="shared" si="9"/>
        <v>538435.04099999997</v>
      </c>
      <c r="G15" s="21">
        <f t="shared" si="9"/>
        <v>1064836.46493</v>
      </c>
      <c r="H15" s="21">
        <f t="shared" si="9"/>
        <v>1674358.4499849</v>
      </c>
      <c r="I15" s="21">
        <f t="shared" si="9"/>
        <v>2241213.8960859571</v>
      </c>
      <c r="J15" s="21">
        <f t="shared" si="9"/>
        <v>2768389.4609599402</v>
      </c>
      <c r="K15" s="21">
        <f t="shared" si="9"/>
        <v>3258662.7362927445</v>
      </c>
      <c r="L15" s="21">
        <f t="shared" si="9"/>
        <v>3714616.8823522525</v>
      </c>
      <c r="M15" s="21">
        <f t="shared" si="9"/>
        <v>4138654.2381875953</v>
      </c>
      <c r="N15" s="22">
        <f t="shared" si="9"/>
        <v>4533008.9791144636</v>
      </c>
    </row>
    <row r="16" spans="1:14">
      <c r="A16" s="47"/>
      <c r="B16" s="30" t="s">
        <v>15</v>
      </c>
      <c r="C16" s="34"/>
      <c r="D16" s="32">
        <f>D75</f>
        <v>16776.922735999997</v>
      </c>
      <c r="E16" s="32">
        <f t="shared" ref="E16:N16" si="10">E75</f>
        <v>84984.352649374996</v>
      </c>
      <c r="F16" s="32">
        <f t="shared" si="10"/>
        <v>285667.83274221868</v>
      </c>
      <c r="G16" s="32">
        <f t="shared" si="10"/>
        <v>564951.20487791335</v>
      </c>
      <c r="H16" s="32">
        <f t="shared" si="10"/>
        <v>888334.36388625938</v>
      </c>
      <c r="I16" s="32">
        <f t="shared" si="10"/>
        <v>1189080.7017640213</v>
      </c>
      <c r="J16" s="32">
        <f t="shared" si="10"/>
        <v>1468774.7959903397</v>
      </c>
      <c r="K16" s="32">
        <f t="shared" si="10"/>
        <v>1728890.303620816</v>
      </c>
      <c r="L16" s="32">
        <f t="shared" si="10"/>
        <v>1970797.7257171588</v>
      </c>
      <c r="M16" s="32">
        <f t="shared" si="10"/>
        <v>2195771.6282667578</v>
      </c>
      <c r="N16" s="33">
        <f t="shared" si="10"/>
        <v>2404997.3576378846</v>
      </c>
    </row>
    <row r="17" spans="1:14">
      <c r="A17" s="47"/>
      <c r="B17" s="20"/>
      <c r="C17" s="23" t="s">
        <v>16</v>
      </c>
      <c r="D17" s="38">
        <f>D120</f>
        <v>0.53055208333333326</v>
      </c>
      <c r="E17" s="38">
        <f t="shared" ref="E17:N17" si="11">E120</f>
        <v>0.53055208333333326</v>
      </c>
      <c r="F17" s="38">
        <f>F120</f>
        <v>0.53055208333333326</v>
      </c>
      <c r="G17" s="38">
        <f t="shared" si="11"/>
        <v>0.53055208333333326</v>
      </c>
      <c r="H17" s="38">
        <f t="shared" si="11"/>
        <v>0.53055208333333326</v>
      </c>
      <c r="I17" s="38">
        <f t="shared" si="11"/>
        <v>0.53055208333333326</v>
      </c>
      <c r="J17" s="38">
        <f t="shared" si="11"/>
        <v>0.53055208333333326</v>
      </c>
      <c r="K17" s="38">
        <f t="shared" si="11"/>
        <v>0.53055208333333326</v>
      </c>
      <c r="L17" s="38">
        <f t="shared" si="11"/>
        <v>0.53055208333333326</v>
      </c>
      <c r="M17" s="38">
        <f t="shared" si="11"/>
        <v>0.53055208333333326</v>
      </c>
      <c r="N17" s="39">
        <f t="shared" si="11"/>
        <v>0.53055208333333326</v>
      </c>
    </row>
    <row r="18" spans="1:14">
      <c r="A18" s="47"/>
      <c r="B18" s="30" t="s">
        <v>17</v>
      </c>
      <c r="C18" s="34"/>
      <c r="D18" s="32">
        <f>D93</f>
        <v>9238.9227359999968</v>
      </c>
      <c r="E18" s="32">
        <f t="shared" ref="E18:N18" si="12">E93</f>
        <v>17230.104319243037</v>
      </c>
      <c r="F18" s="32">
        <f t="shared" si="12"/>
        <v>176250.16166466256</v>
      </c>
      <c r="G18" s="32">
        <f t="shared" si="12"/>
        <v>441422.15489523677</v>
      </c>
      <c r="H18" s="32">
        <f t="shared" si="12"/>
        <v>749375.57079979288</v>
      </c>
      <c r="I18" s="32">
        <f t="shared" si="12"/>
        <v>1037070.9962845464</v>
      </c>
      <c r="J18" s="32">
        <f t="shared" si="12"/>
        <v>1305108.4435337996</v>
      </c>
      <c r="K18" s="32">
        <f t="shared" si="12"/>
        <v>1554616.3070823243</v>
      </c>
      <c r="L18" s="32">
        <f t="shared" si="12"/>
        <v>1786792.4779567723</v>
      </c>
      <c r="M18" s="32">
        <f t="shared" si="12"/>
        <v>2002803.3062242093</v>
      </c>
      <c r="N18" s="33">
        <f t="shared" si="12"/>
        <v>2203755.6336989007</v>
      </c>
    </row>
    <row r="19" spans="1:14">
      <c r="A19" s="47"/>
      <c r="B19" s="20"/>
      <c r="C19" s="23" t="s">
        <v>18</v>
      </c>
      <c r="D19" s="38">
        <f>D129</f>
        <v>0.29217096499004219</v>
      </c>
      <c r="E19" s="38">
        <f t="shared" ref="E19:N19" si="13">E129</f>
        <v>0.10756648085960666</v>
      </c>
      <c r="F19" s="38">
        <f t="shared" si="13"/>
        <v>0.32733783696047108</v>
      </c>
      <c r="G19" s="38">
        <f t="shared" si="13"/>
        <v>0.41454455161267872</v>
      </c>
      <c r="H19" s="38">
        <f t="shared" si="13"/>
        <v>0.44755982257356602</v>
      </c>
      <c r="I19" s="38">
        <f t="shared" si="13"/>
        <v>0.46272736310250495</v>
      </c>
      <c r="J19" s="38">
        <f t="shared" si="13"/>
        <v>0.47143238404081078</v>
      </c>
      <c r="K19" s="38">
        <f t="shared" si="13"/>
        <v>0.47707186440869653</v>
      </c>
      <c r="L19" s="38">
        <f t="shared" si="13"/>
        <v>0.48101662554909291</v>
      </c>
      <c r="M19" s="38">
        <f t="shared" si="13"/>
        <v>0.4839262211721459</v>
      </c>
      <c r="N19" s="39">
        <f t="shared" si="13"/>
        <v>0.48615735019554512</v>
      </c>
    </row>
    <row r="20" spans="1:14">
      <c r="A20" s="47"/>
      <c r="B20" s="30" t="s">
        <v>19</v>
      </c>
      <c r="C20" s="34"/>
      <c r="D20" s="32">
        <f>D111</f>
        <v>9238.9227359999968</v>
      </c>
      <c r="E20" s="32">
        <f t="shared" ref="E20:N20" si="14">E111</f>
        <v>6230.104319243037</v>
      </c>
      <c r="F20" s="32">
        <f t="shared" si="14"/>
        <v>135250.16166466256</v>
      </c>
      <c r="G20" s="32">
        <f t="shared" si="14"/>
        <v>395422.15489523677</v>
      </c>
      <c r="H20" s="32">
        <f t="shared" si="14"/>
        <v>698375.57079979288</v>
      </c>
      <c r="I20" s="32">
        <f t="shared" si="14"/>
        <v>981070.99628454645</v>
      </c>
      <c r="J20" s="32">
        <f t="shared" si="14"/>
        <v>1244108.4435337996</v>
      </c>
      <c r="K20" s="32">
        <f t="shared" si="14"/>
        <v>1488616.3070823243</v>
      </c>
      <c r="L20" s="32">
        <f t="shared" si="14"/>
        <v>1715792.4779567723</v>
      </c>
      <c r="M20" s="32">
        <f t="shared" si="14"/>
        <v>1926803.3062242093</v>
      </c>
      <c r="N20" s="33">
        <f t="shared" si="14"/>
        <v>2122755.6336989007</v>
      </c>
    </row>
    <row r="21" spans="1:14">
      <c r="A21" s="48"/>
      <c r="B21" s="40"/>
      <c r="C21" s="41" t="s">
        <v>20</v>
      </c>
      <c r="D21" s="42">
        <f>D138</f>
        <v>0.29217096499004219</v>
      </c>
      <c r="E21" s="42">
        <f t="shared" ref="E21:N21" si="15">E138</f>
        <v>3.8894157840981096E-2</v>
      </c>
      <c r="F21" s="42">
        <f t="shared" si="15"/>
        <v>0.25119123267585136</v>
      </c>
      <c r="G21" s="42">
        <f t="shared" si="15"/>
        <v>0.37134542994940634</v>
      </c>
      <c r="H21" s="42">
        <f t="shared" si="15"/>
        <v>0.41710039496386875</v>
      </c>
      <c r="I21" s="42">
        <f t="shared" si="15"/>
        <v>0.43774090371199426</v>
      </c>
      <c r="J21" s="42">
        <f t="shared" si="15"/>
        <v>0.44939791206342927</v>
      </c>
      <c r="K21" s="42">
        <f t="shared" si="15"/>
        <v>0.45681815749237858</v>
      </c>
      <c r="L21" s="42">
        <f t="shared" si="15"/>
        <v>0.46190294512155988</v>
      </c>
      <c r="M21" s="42">
        <f t="shared" si="15"/>
        <v>0.46556276396454838</v>
      </c>
      <c r="N21" s="43">
        <f t="shared" si="15"/>
        <v>0.46828842463788528</v>
      </c>
    </row>
    <row r="22" spans="1:14">
      <c r="A22" s="51"/>
      <c r="B22" s="20"/>
      <c r="C22" s="23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</row>
    <row r="23" spans="1:14" s="28" customFormat="1" ht="12.75" thickBot="1">
      <c r="A23" s="44"/>
      <c r="B23" s="24"/>
      <c r="C23" s="25"/>
      <c r="D23" s="26" t="s">
        <v>1</v>
      </c>
      <c r="E23" s="26" t="s">
        <v>2</v>
      </c>
      <c r="F23" s="26" t="s">
        <v>3</v>
      </c>
      <c r="G23" s="26" t="s">
        <v>4</v>
      </c>
      <c r="H23" s="26" t="s">
        <v>5</v>
      </c>
      <c r="I23" s="26" t="s">
        <v>6</v>
      </c>
      <c r="J23" s="26" t="s">
        <v>7</v>
      </c>
      <c r="K23" s="26" t="s">
        <v>8</v>
      </c>
      <c r="L23" s="26" t="s">
        <v>9</v>
      </c>
      <c r="M23" s="26" t="s">
        <v>10</v>
      </c>
      <c r="N23" s="27" t="s">
        <v>11</v>
      </c>
    </row>
    <row r="24" spans="1:14" ht="12.75" thickTop="1">
      <c r="A24" s="58" t="s">
        <v>22</v>
      </c>
      <c r="B24" s="30" t="s">
        <v>13</v>
      </c>
      <c r="C24" s="31"/>
      <c r="D24" s="32">
        <f>SUM(D40:D42)</f>
        <v>52989.911999999997</v>
      </c>
      <c r="E24" s="32">
        <f t="shared" ref="E24:N24" si="16">SUM(E40:E42)</f>
        <v>109073.33639999999</v>
      </c>
      <c r="F24" s="32">
        <f t="shared" si="16"/>
        <v>219913.86523200001</v>
      </c>
      <c r="G24" s="32">
        <f t="shared" si="16"/>
        <v>376650.19612415996</v>
      </c>
      <c r="H24" s="32">
        <f t="shared" si="16"/>
        <v>551428.32650926081</v>
      </c>
      <c r="I24" s="32">
        <f t="shared" si="16"/>
        <v>714804.99164814956</v>
      </c>
      <c r="J24" s="32">
        <f t="shared" si="16"/>
        <v>868148.36737037171</v>
      </c>
      <c r="K24" s="32">
        <f t="shared" si="16"/>
        <v>1012662.448405927</v>
      </c>
      <c r="L24" s="32">
        <f t="shared" si="16"/>
        <v>1149406.7501172158</v>
      </c>
      <c r="M24" s="32">
        <f t="shared" si="16"/>
        <v>1279313.6460231496</v>
      </c>
      <c r="N24" s="33">
        <f t="shared" si="16"/>
        <v>1403203.6248203716</v>
      </c>
    </row>
    <row r="25" spans="1:14">
      <c r="A25" s="58"/>
      <c r="B25" s="20" t="s">
        <v>14</v>
      </c>
      <c r="C25" s="23"/>
      <c r="D25" s="21">
        <f>SUM(D58:D60)</f>
        <v>36161.309880000001</v>
      </c>
      <c r="E25" s="21">
        <f t="shared" ref="E25:N25" si="17">SUM(E58:E60)</f>
        <v>80975.961467999994</v>
      </c>
      <c r="F25" s="21">
        <f t="shared" si="17"/>
        <v>171142.44608543999</v>
      </c>
      <c r="G25" s="21">
        <f t="shared" si="17"/>
        <v>298639.80648318719</v>
      </c>
      <c r="H25" s="21">
        <f t="shared" si="17"/>
        <v>442063.90744120476</v>
      </c>
      <c r="I25" s="21">
        <f t="shared" si="17"/>
        <v>577849.02668426023</v>
      </c>
      <c r="J25" s="21">
        <f t="shared" si="17"/>
        <v>706911.84201814909</v>
      </c>
      <c r="K25" s="21">
        <f t="shared" si="17"/>
        <v>830059.02991197119</v>
      </c>
      <c r="L25" s="21">
        <f t="shared" si="17"/>
        <v>948000.46565853455</v>
      </c>
      <c r="M25" s="21">
        <f t="shared" si="17"/>
        <v>1061360.8395155102</v>
      </c>
      <c r="N25" s="22">
        <f t="shared" si="17"/>
        <v>1170689.8789096489</v>
      </c>
    </row>
    <row r="26" spans="1:14">
      <c r="A26" s="58"/>
      <c r="B26" s="30" t="s">
        <v>15</v>
      </c>
      <c r="C26" s="34"/>
      <c r="D26" s="32">
        <f>SUM(D76:D78)</f>
        <v>27230.4856908</v>
      </c>
      <c r="E26" s="32">
        <f t="shared" ref="E26:N26" si="18">SUM(E76:E78)</f>
        <v>50861.095351127995</v>
      </c>
      <c r="F26" s="32">
        <f t="shared" si="18"/>
        <v>96267.550811888621</v>
      </c>
      <c r="G26" s="32">
        <f t="shared" si="18"/>
        <v>160211.39367230196</v>
      </c>
      <c r="H26" s="32">
        <f t="shared" si="18"/>
        <v>229653.74846194574</v>
      </c>
      <c r="I26" s="32">
        <f t="shared" si="18"/>
        <v>292131.80386403226</v>
      </c>
      <c r="J26" s="32">
        <f t="shared" si="18"/>
        <v>348481.27580506844</v>
      </c>
      <c r="K26" s="32">
        <f t="shared" si="18"/>
        <v>399437.59430038015</v>
      </c>
      <c r="L26" s="32">
        <f t="shared" si="18"/>
        <v>445647.93776345457</v>
      </c>
      <c r="M26" s="32">
        <f t="shared" si="18"/>
        <v>487681.82319815987</v>
      </c>
      <c r="N26" s="33">
        <f t="shared" si="18"/>
        <v>526040.42556790065</v>
      </c>
    </row>
    <row r="27" spans="1:14">
      <c r="A27" s="58"/>
      <c r="B27" s="20"/>
      <c r="C27" s="23" t="s">
        <v>16</v>
      </c>
      <c r="D27" s="38">
        <f>D26/D24</f>
        <v>0.51388056071502819</v>
      </c>
      <c r="E27" s="38">
        <f t="shared" ref="E27:N27" si="19">E26/E24</f>
        <v>0.46630182068152087</v>
      </c>
      <c r="F27" s="38">
        <f t="shared" si="19"/>
        <v>0.437751165486225</v>
      </c>
      <c r="G27" s="38">
        <f t="shared" si="19"/>
        <v>0.42535858289979345</v>
      </c>
      <c r="H27" s="38">
        <f t="shared" si="19"/>
        <v>0.41647071327607776</v>
      </c>
      <c r="I27" s="38">
        <f t="shared" si="19"/>
        <v>0.40868741443796341</v>
      </c>
      <c r="J27" s="38">
        <f t="shared" si="19"/>
        <v>0.4014075115531473</v>
      </c>
      <c r="K27" s="38">
        <f t="shared" si="19"/>
        <v>0.39444298041183518</v>
      </c>
      <c r="L27" s="38">
        <f t="shared" si="19"/>
        <v>0.38771995876830173</v>
      </c>
      <c r="M27" s="38">
        <f t="shared" si="19"/>
        <v>0.38120583229465144</v>
      </c>
      <c r="N27" s="39">
        <f t="shared" si="19"/>
        <v>0.37488530977479528</v>
      </c>
    </row>
    <row r="28" spans="1:14">
      <c r="A28" s="58"/>
      <c r="B28" s="30" t="s">
        <v>17</v>
      </c>
      <c r="C28" s="34"/>
      <c r="D28" s="32">
        <f>SUM(D94:D96)</f>
        <v>18590.156090799999</v>
      </c>
      <c r="E28" s="32">
        <f t="shared" ref="E28:N28" si="20">SUM(E94:E96)</f>
        <v>7473.3435821872808</v>
      </c>
      <c r="F28" s="32">
        <f t="shared" si="20"/>
        <v>29855.529946920058</v>
      </c>
      <c r="G28" s="32">
        <f t="shared" si="20"/>
        <v>70383.130339391733</v>
      </c>
      <c r="H28" s="32">
        <f t="shared" si="20"/>
        <v>124351.97754600336</v>
      </c>
      <c r="I28" s="32">
        <f t="shared" si="20"/>
        <v>171086.38633129085</v>
      </c>
      <c r="J28" s="32">
        <f t="shared" si="20"/>
        <v>211580.2090662102</v>
      </c>
      <c r="K28" s="32">
        <f t="shared" si="20"/>
        <v>246618.6294600089</v>
      </c>
      <c r="L28" s="32">
        <f t="shared" si="20"/>
        <v>276869.78938271076</v>
      </c>
      <c r="M28" s="32">
        <f t="shared" si="20"/>
        <v>302913.80673246941</v>
      </c>
      <c r="N28" s="33">
        <f t="shared" si="20"/>
        <v>325257.96846685559</v>
      </c>
    </row>
    <row r="29" spans="1:14">
      <c r="A29" s="58"/>
      <c r="B29" s="20"/>
      <c r="C29" s="23" t="s">
        <v>18</v>
      </c>
      <c r="D29" s="38">
        <f>D28/D24</f>
        <v>0.35082443788168588</v>
      </c>
      <c r="E29" s="38">
        <f t="shared" ref="E29:N29" si="21">E28/E24</f>
        <v>6.8516686376775049E-2</v>
      </c>
      <c r="F29" s="38">
        <f t="shared" si="21"/>
        <v>0.13576010732849297</v>
      </c>
      <c r="G29" s="38">
        <f t="shared" si="21"/>
        <v>0.18686603926841033</v>
      </c>
      <c r="H29" s="38">
        <f t="shared" si="21"/>
        <v>0.22550886773118095</v>
      </c>
      <c r="I29" s="38">
        <f t="shared" si="21"/>
        <v>0.23934693843814842</v>
      </c>
      <c r="J29" s="38">
        <f t="shared" si="21"/>
        <v>0.24371434309908147</v>
      </c>
      <c r="K29" s="38">
        <f t="shared" si="21"/>
        <v>0.24353488158687159</v>
      </c>
      <c r="L29" s="38">
        <f t="shared" si="21"/>
        <v>0.24088060154029525</v>
      </c>
      <c r="M29" s="38">
        <f t="shared" si="21"/>
        <v>0.23677837540004484</v>
      </c>
      <c r="N29" s="39">
        <f t="shared" si="21"/>
        <v>0.23179669914870185</v>
      </c>
    </row>
    <row r="30" spans="1:14">
      <c r="A30" s="58"/>
      <c r="B30" s="30" t="s">
        <v>19</v>
      </c>
      <c r="C30" s="34"/>
      <c r="D30" s="32">
        <f>SUM(D112:D114)</f>
        <v>18379.2875308</v>
      </c>
      <c r="E30" s="32">
        <f t="shared" ref="E30:N30" si="22">SUM(E112:E114)</f>
        <v>2869.7816765872813</v>
      </c>
      <c r="F30" s="32">
        <f t="shared" si="22"/>
        <v>15603.177018792059</v>
      </c>
      <c r="G30" s="32">
        <f t="shared" si="22"/>
        <v>42953.739426639091</v>
      </c>
      <c r="H30" s="32">
        <f t="shared" si="22"/>
        <v>82940.966070781011</v>
      </c>
      <c r="I30" s="32">
        <f t="shared" si="22"/>
        <v>117371.54876109521</v>
      </c>
      <c r="J30" s="32">
        <f t="shared" si="22"/>
        <v>147038.00453243806</v>
      </c>
      <c r="K30" s="32">
        <f t="shared" si="22"/>
        <v>172548.34199828937</v>
      </c>
      <c r="L30" s="32">
        <f t="shared" si="22"/>
        <v>194414.78894439765</v>
      </c>
      <c r="M30" s="32">
        <f t="shared" si="22"/>
        <v>213080.25887475381</v>
      </c>
      <c r="N30" s="33">
        <f t="shared" si="22"/>
        <v>228931.29888006585</v>
      </c>
    </row>
    <row r="31" spans="1:14">
      <c r="A31" s="59"/>
      <c r="B31" s="40"/>
      <c r="C31" s="41" t="s">
        <v>20</v>
      </c>
      <c r="D31" s="42">
        <f>D30/D24</f>
        <v>0.34684502836690878</v>
      </c>
      <c r="E31" s="42">
        <f t="shared" ref="E31:N31" si="23">E30/E24</f>
        <v>2.631057022096632E-2</v>
      </c>
      <c r="F31" s="42">
        <f t="shared" si="23"/>
        <v>7.0951310879518004E-2</v>
      </c>
      <c r="G31" s="42">
        <f t="shared" si="23"/>
        <v>0.1140414630568245</v>
      </c>
      <c r="H31" s="42">
        <f t="shared" si="23"/>
        <v>0.1504111451724417</v>
      </c>
      <c r="I31" s="42">
        <f t="shared" si="23"/>
        <v>0.16420079620662376</v>
      </c>
      <c r="J31" s="42">
        <f t="shared" si="23"/>
        <v>0.16936967234968989</v>
      </c>
      <c r="K31" s="42">
        <f t="shared" si="23"/>
        <v>0.17039077756848267</v>
      </c>
      <c r="L31" s="42">
        <f t="shared" si="23"/>
        <v>0.16914359422769298</v>
      </c>
      <c r="M31" s="42">
        <f t="shared" si="23"/>
        <v>0.16655826312580274</v>
      </c>
      <c r="N31" s="43">
        <f t="shared" si="23"/>
        <v>0.16314902187440689</v>
      </c>
    </row>
    <row r="37" spans="1:14" s="28" customFormat="1">
      <c r="A37" s="49"/>
      <c r="D37" s="29" t="s">
        <v>1</v>
      </c>
      <c r="E37" s="29" t="s">
        <v>2</v>
      </c>
      <c r="F37" s="29" t="s">
        <v>3</v>
      </c>
      <c r="G37" s="29" t="s">
        <v>4</v>
      </c>
      <c r="H37" s="29" t="s">
        <v>5</v>
      </c>
      <c r="I37" s="29" t="s">
        <v>6</v>
      </c>
      <c r="J37" s="29" t="s">
        <v>7</v>
      </c>
      <c r="K37" s="29" t="s">
        <v>8</v>
      </c>
      <c r="L37" s="29" t="s">
        <v>9</v>
      </c>
      <c r="M37" s="29" t="s">
        <v>10</v>
      </c>
      <c r="N37" s="29" t="s">
        <v>11</v>
      </c>
    </row>
    <row r="38" spans="1:14">
      <c r="B38" s="9" t="s">
        <v>13</v>
      </c>
      <c r="C38" s="9" t="s">
        <v>23</v>
      </c>
      <c r="D38" s="16">
        <f t="shared" ref="D38:N38" si="24">SUM(D39:D46)</f>
        <v>213867.54399999999</v>
      </c>
      <c r="E38" s="16">
        <f>SUM(E39:E46)</f>
        <v>398510.31640000001</v>
      </c>
      <c r="F38" s="16">
        <f t="shared" si="24"/>
        <v>887604.90623199998</v>
      </c>
      <c r="G38" s="16">
        <f t="shared" si="24"/>
        <v>1570742.66105416</v>
      </c>
      <c r="H38" s="16">
        <f t="shared" si="24"/>
        <v>2355042.7764941608</v>
      </c>
      <c r="I38" s="16">
        <f t="shared" si="24"/>
        <v>3085274.8877341067</v>
      </c>
      <c r="J38" s="16">
        <f t="shared" si="24"/>
        <v>3765793.8283303119</v>
      </c>
      <c r="K38" s="16">
        <f t="shared" si="24"/>
        <v>4400581.1846986711</v>
      </c>
      <c r="L38" s="16">
        <f t="shared" si="24"/>
        <v>4993279.6324694688</v>
      </c>
      <c r="M38" s="16">
        <f t="shared" si="24"/>
        <v>5547223.8842107449</v>
      </c>
      <c r="N38" s="16">
        <f t="shared" si="24"/>
        <v>6065468.6039348356</v>
      </c>
    </row>
    <row r="39" spans="1:14">
      <c r="B39" s="8" t="s">
        <v>13</v>
      </c>
      <c r="C39" s="1" t="s">
        <v>21</v>
      </c>
      <c r="D39" s="4">
        <f>売上高!E5</f>
        <v>31621.631999999998</v>
      </c>
      <c r="E39" s="4">
        <f>売上高!F5</f>
        <v>160180.98000000001</v>
      </c>
      <c r="F39" s="4">
        <f>売上高!G5</f>
        <v>538435.04099999997</v>
      </c>
      <c r="G39" s="4">
        <f>売上高!H5</f>
        <v>1064836.46493</v>
      </c>
      <c r="H39" s="4">
        <f>売上高!I5</f>
        <v>1674358.4499849</v>
      </c>
      <c r="I39" s="4">
        <f>売上高!J5</f>
        <v>2241213.8960859571</v>
      </c>
      <c r="J39" s="4">
        <f>売上高!K5</f>
        <v>2768389.4609599402</v>
      </c>
      <c r="K39" s="4">
        <f>売上高!L5</f>
        <v>3258662.7362927445</v>
      </c>
      <c r="L39" s="4">
        <f>売上高!M5</f>
        <v>3714616.8823522525</v>
      </c>
      <c r="M39" s="4">
        <f>売上高!N5</f>
        <v>4138654.2381875953</v>
      </c>
      <c r="N39" s="4">
        <f>売上高!O5</f>
        <v>4533008.9791144636</v>
      </c>
    </row>
    <row r="40" spans="1:14">
      <c r="B40" s="8" t="s">
        <v>13</v>
      </c>
      <c r="C40" s="1" t="s">
        <v>24</v>
      </c>
      <c r="D40" s="4">
        <f>売上高!E6</f>
        <v>49489.56</v>
      </c>
      <c r="E40" s="4">
        <f>売上高!F6</f>
        <v>52260.975359999997</v>
      </c>
      <c r="F40" s="4">
        <f>売上高!G6</f>
        <v>45989.6583168</v>
      </c>
      <c r="G40" s="4">
        <f>売上高!H6</f>
        <v>40470.899318784002</v>
      </c>
      <c r="H40" s="4">
        <f>売上高!I6</f>
        <v>35614.391400529916</v>
      </c>
      <c r="I40" s="4">
        <f>売上高!J6</f>
        <v>31340.664432466332</v>
      </c>
      <c r="J40" s="4">
        <f>売上高!K6</f>
        <v>27579.784700570373</v>
      </c>
      <c r="K40" s="4">
        <f>売上高!L6</f>
        <v>24270.210536501927</v>
      </c>
      <c r="L40" s="4">
        <f>売上高!M6</f>
        <v>21357.785272121695</v>
      </c>
      <c r="M40" s="4">
        <f>売上高!N6</f>
        <v>18794.851039467092</v>
      </c>
      <c r="N40" s="4">
        <f>売上高!O6</f>
        <v>16539.468914731042</v>
      </c>
    </row>
    <row r="41" spans="1:14">
      <c r="B41" s="8" t="s">
        <v>13</v>
      </c>
      <c r="C41" s="1" t="s">
        <v>25</v>
      </c>
      <c r="D41" s="4">
        <f>売上高!E7</f>
        <v>1506.204</v>
      </c>
      <c r="E41" s="4">
        <f>売上高!F7</f>
        <v>32882.585039999998</v>
      </c>
      <c r="F41" s="4">
        <f>売上高!G7</f>
        <v>101802.5209152</v>
      </c>
      <c r="G41" s="4">
        <f>売上高!H7</f>
        <v>195924.22080537598</v>
      </c>
      <c r="H41" s="4">
        <f>売上高!I7</f>
        <v>295792.93910873088</v>
      </c>
      <c r="I41" s="4">
        <f>売上高!J7</f>
        <v>383677.41121568321</v>
      </c>
      <c r="J41" s="4">
        <f>売上高!K7</f>
        <v>461015.74666980118</v>
      </c>
      <c r="K41" s="4">
        <f>売上高!L7</f>
        <v>529073.48186942504</v>
      </c>
      <c r="L41" s="4">
        <f>売上高!M7</f>
        <v>588964.28884509404</v>
      </c>
      <c r="M41" s="4">
        <f>売上高!N7</f>
        <v>641668.19898368267</v>
      </c>
      <c r="N41" s="4">
        <f>売上高!O7</f>
        <v>688047.63990564074</v>
      </c>
    </row>
    <row r="42" spans="1:14">
      <c r="B42" s="8" t="s">
        <v>13</v>
      </c>
      <c r="C42" s="1" t="s">
        <v>26</v>
      </c>
      <c r="D42" s="4">
        <f>売上高!E8</f>
        <v>1994.1480000000001</v>
      </c>
      <c r="E42" s="4">
        <f>売上高!F8</f>
        <v>23929.775999999998</v>
      </c>
      <c r="F42" s="4">
        <f>売上高!G8</f>
        <v>72121.686000000002</v>
      </c>
      <c r="G42" s="4">
        <f>売上高!H8</f>
        <v>140255.076</v>
      </c>
      <c r="H42" s="4">
        <f>売上高!I8</f>
        <v>220020.99600000001</v>
      </c>
      <c r="I42" s="4">
        <f>売上高!J8</f>
        <v>299786.91600000003</v>
      </c>
      <c r="J42" s="4">
        <f>売上高!K8</f>
        <v>379552.83600000007</v>
      </c>
      <c r="K42" s="4">
        <f>売上高!L8</f>
        <v>459318.75600000005</v>
      </c>
      <c r="L42" s="4">
        <f>売上高!M8</f>
        <v>539084.67599999998</v>
      </c>
      <c r="M42" s="4">
        <f>売上高!N8</f>
        <v>618850.5959999999</v>
      </c>
      <c r="N42" s="4">
        <f>売上高!O8</f>
        <v>698616.51599999995</v>
      </c>
    </row>
    <row r="43" spans="1:14">
      <c r="B43" s="8" t="s">
        <v>13</v>
      </c>
      <c r="C43" s="1" t="s">
        <v>27</v>
      </c>
      <c r="D43" s="4">
        <f>売上高!E9</f>
        <v>45120</v>
      </c>
      <c r="E43" s="4">
        <f>売上高!F9</f>
        <v>45120</v>
      </c>
      <c r="F43" s="4">
        <f>売上高!G9</f>
        <v>45120</v>
      </c>
      <c r="G43" s="4">
        <f>売上高!H9</f>
        <v>45120</v>
      </c>
      <c r="H43" s="4">
        <f>売上高!I9</f>
        <v>45120</v>
      </c>
      <c r="I43" s="4">
        <f>売上高!J9</f>
        <v>45120</v>
      </c>
      <c r="J43" s="4">
        <f>売上高!K9</f>
        <v>45120</v>
      </c>
      <c r="K43" s="4">
        <f>売上高!L9</f>
        <v>45120</v>
      </c>
      <c r="L43" s="4">
        <f>売上高!M9</f>
        <v>45120</v>
      </c>
      <c r="M43" s="4">
        <f>売上高!N9</f>
        <v>45120</v>
      </c>
      <c r="N43" s="4">
        <f>売上高!O9</f>
        <v>45120</v>
      </c>
    </row>
    <row r="44" spans="1:14">
      <c r="B44" s="8" t="s">
        <v>13</v>
      </c>
      <c r="C44" s="1" t="s">
        <v>28</v>
      </c>
      <c r="D44" s="4">
        <f>売上高!E10</f>
        <v>937</v>
      </c>
      <c r="E44" s="4">
        <f>売上高!F10</f>
        <v>937</v>
      </c>
      <c r="F44" s="4">
        <f>売上高!G10</f>
        <v>937</v>
      </c>
      <c r="G44" s="4">
        <f>売上高!H10</f>
        <v>937</v>
      </c>
      <c r="H44" s="4">
        <f>売上高!I10</f>
        <v>937</v>
      </c>
      <c r="I44" s="4">
        <f>売上高!J10</f>
        <v>937</v>
      </c>
      <c r="J44" s="4">
        <f>売上高!K10</f>
        <v>937</v>
      </c>
      <c r="K44" s="4">
        <f>売上高!L10</f>
        <v>937</v>
      </c>
      <c r="L44" s="4">
        <f>売上高!M10</f>
        <v>937</v>
      </c>
      <c r="M44" s="4">
        <f>売上高!N10</f>
        <v>937</v>
      </c>
      <c r="N44" s="4">
        <f>売上高!O10</f>
        <v>937</v>
      </c>
    </row>
    <row r="45" spans="1:14">
      <c r="B45" s="8" t="s">
        <v>13</v>
      </c>
      <c r="C45" s="1" t="s">
        <v>29</v>
      </c>
      <c r="D45" s="4">
        <f>売上高!E11</f>
        <v>49598</v>
      </c>
      <c r="E45" s="4">
        <f>売上高!F11</f>
        <v>49598</v>
      </c>
      <c r="F45" s="4">
        <f>売上高!G11</f>
        <v>49598</v>
      </c>
      <c r="G45" s="4">
        <f>売上高!H11</f>
        <v>49598</v>
      </c>
      <c r="H45" s="4">
        <f>売上高!I11</f>
        <v>49598</v>
      </c>
      <c r="I45" s="4">
        <f>売上高!J11</f>
        <v>49598</v>
      </c>
      <c r="J45" s="4">
        <f>売上高!K11</f>
        <v>49598</v>
      </c>
      <c r="K45" s="4">
        <f>売上高!L11</f>
        <v>49598</v>
      </c>
      <c r="L45" s="4">
        <f>売上高!M11</f>
        <v>49598</v>
      </c>
      <c r="M45" s="4">
        <f>売上高!N11</f>
        <v>49598</v>
      </c>
      <c r="N45" s="4">
        <f>売上高!O11</f>
        <v>49598</v>
      </c>
    </row>
    <row r="46" spans="1:14">
      <c r="B46" s="8" t="s">
        <v>13</v>
      </c>
      <c r="C46" s="1" t="s">
        <v>30</v>
      </c>
      <c r="D46" s="4">
        <f>売上高!E12</f>
        <v>33601</v>
      </c>
      <c r="E46" s="4">
        <f>売上高!F12</f>
        <v>33601</v>
      </c>
      <c r="F46" s="4">
        <f>売上高!G12</f>
        <v>33601</v>
      </c>
      <c r="G46" s="4">
        <f>売上高!H12</f>
        <v>33601</v>
      </c>
      <c r="H46" s="4">
        <f>売上高!I12</f>
        <v>33601</v>
      </c>
      <c r="I46" s="4">
        <f>売上高!J12</f>
        <v>33601</v>
      </c>
      <c r="J46" s="4">
        <f>売上高!K12</f>
        <v>33601</v>
      </c>
      <c r="K46" s="4">
        <f>売上高!L12</f>
        <v>33601</v>
      </c>
      <c r="L46" s="4">
        <f>売上高!M12</f>
        <v>33601</v>
      </c>
      <c r="M46" s="4">
        <f>売上高!N12</f>
        <v>33601</v>
      </c>
      <c r="N46" s="4">
        <f>売上高!O12</f>
        <v>33601</v>
      </c>
    </row>
    <row r="47" spans="1:14">
      <c r="B47" s="10" t="s">
        <v>31</v>
      </c>
      <c r="C47" s="10" t="s">
        <v>23</v>
      </c>
      <c r="D47" s="11">
        <f t="shared" ref="D47" si="25">SUM(D48:D55)</f>
        <v>72049.102119999996</v>
      </c>
      <c r="E47" s="11">
        <f t="shared" ref="E47" si="26">SUM(E48:E55)</f>
        <v>83317.874931999992</v>
      </c>
      <c r="F47" s="11">
        <f t="shared" ref="F47" si="27">SUM(F48:F55)</f>
        <v>103991.91914656</v>
      </c>
      <c r="G47" s="11">
        <f t="shared" ref="G47" si="28">SUM(G48:G55)</f>
        <v>133230.8896409728</v>
      </c>
      <c r="H47" s="11">
        <f t="shared" ref="H47" si="29">SUM(H48:H55)</f>
        <v>164584.91906805607</v>
      </c>
      <c r="I47" s="11">
        <f t="shared" ref="I47" si="30">SUM(I48:I55)</f>
        <v>192176.46496388936</v>
      </c>
      <c r="J47" s="11">
        <f t="shared" ref="J47" si="31">SUM(J48:J55)</f>
        <v>216457.02535222261</v>
      </c>
      <c r="K47" s="11">
        <f t="shared" ref="K47" si="32">SUM(K48:K55)</f>
        <v>237823.91849395589</v>
      </c>
      <c r="L47" s="11">
        <f t="shared" ref="L47" si="33">SUM(L48:L55)</f>
        <v>256626.78445868118</v>
      </c>
      <c r="M47" s="11">
        <f t="shared" ref="M47" si="34">SUM(M48:M55)</f>
        <v>273173.30650763941</v>
      </c>
      <c r="N47" s="11">
        <f t="shared" ref="N47" si="35">SUM(N48:N55)</f>
        <v>287734.2459107227</v>
      </c>
    </row>
    <row r="48" spans="1:14">
      <c r="B48" s="8" t="s">
        <v>31</v>
      </c>
      <c r="C48" s="1" t="s">
        <v>21</v>
      </c>
      <c r="D48" s="4">
        <f>D39*原価・変動費!E6</f>
        <v>0</v>
      </c>
      <c r="E48" s="4">
        <f>E39*原価・変動費!F6</f>
        <v>0</v>
      </c>
      <c r="F48" s="4">
        <f>F39*原価・変動費!G6</f>
        <v>0</v>
      </c>
      <c r="G48" s="4">
        <f>G39*原価・変動費!H6</f>
        <v>0</v>
      </c>
      <c r="H48" s="4">
        <f>H39*原価・変動費!I6</f>
        <v>0</v>
      </c>
      <c r="I48" s="4">
        <f>I39*原価・変動費!J6</f>
        <v>0</v>
      </c>
      <c r="J48" s="4">
        <f>J39*原価・変動費!K6</f>
        <v>0</v>
      </c>
      <c r="K48" s="4">
        <f>K39*原価・変動費!L6</f>
        <v>0</v>
      </c>
      <c r="L48" s="4">
        <f>L39*原価・変動費!M6</f>
        <v>0</v>
      </c>
      <c r="M48" s="4">
        <f>M39*原価・変動費!N6</f>
        <v>0</v>
      </c>
      <c r="N48" s="4">
        <f>N39*原価・変動費!O6</f>
        <v>0</v>
      </c>
    </row>
    <row r="49" spans="2:14">
      <c r="B49" s="8" t="s">
        <v>31</v>
      </c>
      <c r="C49" s="1" t="s">
        <v>24</v>
      </c>
      <c r="D49" s="4">
        <f>D40*原価・変動費!E7</f>
        <v>16331.5548</v>
      </c>
      <c r="E49" s="4">
        <f>E40*原価・変動費!F7</f>
        <v>17246.121868800001</v>
      </c>
      <c r="F49" s="4">
        <f>F40*原価・変動費!G7</f>
        <v>15176.587244544</v>
      </c>
      <c r="G49" s="4">
        <f>G40*原価・変動費!H7</f>
        <v>13355.396775198722</v>
      </c>
      <c r="H49" s="4">
        <f>H40*原価・変動費!I7</f>
        <v>11752.749162174872</v>
      </c>
      <c r="I49" s="4">
        <f>I40*原価・変動費!J7</f>
        <v>10342.419262713891</v>
      </c>
      <c r="J49" s="4">
        <f>J40*原価・変動費!K7</f>
        <v>9101.3289511882231</v>
      </c>
      <c r="K49" s="4">
        <f>K40*原価・変動費!L7</f>
        <v>8009.1694770456361</v>
      </c>
      <c r="L49" s="4">
        <f>L40*原価・変動費!M7</f>
        <v>7048.06913980016</v>
      </c>
      <c r="M49" s="4">
        <f>M40*原価・変動費!N7</f>
        <v>6202.3008430241407</v>
      </c>
      <c r="N49" s="4">
        <f>N40*原価・変動費!O7</f>
        <v>5458.0247418612444</v>
      </c>
    </row>
    <row r="50" spans="2:14">
      <c r="B50" s="8" t="s">
        <v>31</v>
      </c>
      <c r="C50" s="1" t="s">
        <v>25</v>
      </c>
      <c r="D50" s="4">
        <f>D41*原価・変動費!E8</f>
        <v>497.04732000000001</v>
      </c>
      <c r="E50" s="4">
        <f>E41*原価・変動費!F8</f>
        <v>10851.2530632</v>
      </c>
      <c r="F50" s="4">
        <f>F41*原価・変動費!G8</f>
        <v>33594.831902016005</v>
      </c>
      <c r="G50" s="4">
        <f>G41*原価・変動費!H8</f>
        <v>64654.992865774075</v>
      </c>
      <c r="H50" s="4">
        <f>H41*原価・変動費!I8</f>
        <v>97611.669905881194</v>
      </c>
      <c r="I50" s="4">
        <f>I41*原価・変動費!J8</f>
        <v>126613.54570117546</v>
      </c>
      <c r="J50" s="4">
        <f>J41*原価・変動費!K8</f>
        <v>152135.19640103439</v>
      </c>
      <c r="K50" s="4">
        <f>K41*原価・変動費!L8</f>
        <v>174594.24901691027</v>
      </c>
      <c r="L50" s="4">
        <f>L41*原価・変動費!M8</f>
        <v>194358.21531888103</v>
      </c>
      <c r="M50" s="4">
        <f>M41*原価・変動費!N8</f>
        <v>211750.50566461528</v>
      </c>
      <c r="N50" s="4">
        <f>N41*原価・変動費!O8</f>
        <v>227055.72116886146</v>
      </c>
    </row>
    <row r="51" spans="2:14">
      <c r="B51" s="8" t="s">
        <v>31</v>
      </c>
      <c r="C51" s="1" t="s">
        <v>26</v>
      </c>
      <c r="D51" s="4">
        <f>D42*原価・変動費!E9</f>
        <v>0</v>
      </c>
      <c r="E51" s="4">
        <f>E42*原価・変動費!F9</f>
        <v>0</v>
      </c>
      <c r="F51" s="4">
        <f>F42*原価・変動費!G9</f>
        <v>0</v>
      </c>
      <c r="G51" s="4">
        <f>G42*原価・変動費!H9</f>
        <v>0</v>
      </c>
      <c r="H51" s="4">
        <f>H42*原価・変動費!I9</f>
        <v>0</v>
      </c>
      <c r="I51" s="4">
        <f>I42*原価・変動費!J9</f>
        <v>0</v>
      </c>
      <c r="J51" s="4">
        <f>J42*原価・変動費!K9</f>
        <v>0</v>
      </c>
      <c r="K51" s="4">
        <f>K42*原価・変動費!L9</f>
        <v>0</v>
      </c>
      <c r="L51" s="4">
        <f>L42*原価・変動費!M9</f>
        <v>0</v>
      </c>
      <c r="M51" s="4">
        <f>M42*原価・変動費!N9</f>
        <v>0</v>
      </c>
      <c r="N51" s="4">
        <f>N42*原価・変動費!O9</f>
        <v>0</v>
      </c>
    </row>
    <row r="52" spans="2:14">
      <c r="B52" s="8" t="s">
        <v>31</v>
      </c>
      <c r="C52" s="1" t="s">
        <v>27</v>
      </c>
      <c r="D52" s="4">
        <f>D43*原価・変動費!E10</f>
        <v>0</v>
      </c>
      <c r="E52" s="4">
        <f>E43*原価・変動費!F10</f>
        <v>0</v>
      </c>
      <c r="F52" s="4">
        <f>F43*原価・変動費!G10</f>
        <v>0</v>
      </c>
      <c r="G52" s="4">
        <f>G43*原価・変動費!H10</f>
        <v>0</v>
      </c>
      <c r="H52" s="4">
        <f>H43*原価・変動費!I10</f>
        <v>0</v>
      </c>
      <c r="I52" s="4">
        <f>I43*原価・変動費!J10</f>
        <v>0</v>
      </c>
      <c r="J52" s="4">
        <f>J43*原価・変動費!K10</f>
        <v>0</v>
      </c>
      <c r="K52" s="4">
        <f>K43*原価・変動費!L10</f>
        <v>0</v>
      </c>
      <c r="L52" s="4">
        <f>L43*原価・変動費!M10</f>
        <v>0</v>
      </c>
      <c r="M52" s="4">
        <f>M43*原価・変動費!N10</f>
        <v>0</v>
      </c>
      <c r="N52" s="4">
        <f>N43*原価・変動費!O10</f>
        <v>0</v>
      </c>
    </row>
    <row r="53" spans="2:14">
      <c r="B53" s="8" t="s">
        <v>31</v>
      </c>
      <c r="C53" s="1" t="s">
        <v>28</v>
      </c>
      <c r="D53" s="4">
        <f>D44*原価・変動費!E11</f>
        <v>421.65000000000003</v>
      </c>
      <c r="E53" s="4">
        <f>E44*原価・変動費!F11</f>
        <v>421.65000000000003</v>
      </c>
      <c r="F53" s="4">
        <f>F44*原価・変動費!G11</f>
        <v>421.65000000000003</v>
      </c>
      <c r="G53" s="4">
        <f>G44*原価・変動費!H11</f>
        <v>421.65000000000003</v>
      </c>
      <c r="H53" s="4">
        <f>H44*原価・変動費!I11</f>
        <v>421.65000000000003</v>
      </c>
      <c r="I53" s="4">
        <f>I44*原価・変動費!J11</f>
        <v>421.65000000000003</v>
      </c>
      <c r="J53" s="4">
        <f>J44*原価・変動費!K11</f>
        <v>421.65000000000003</v>
      </c>
      <c r="K53" s="4">
        <f>K44*原価・変動費!L11</f>
        <v>421.65000000000003</v>
      </c>
      <c r="L53" s="4">
        <f>L44*原価・変動費!M11</f>
        <v>421.65000000000003</v>
      </c>
      <c r="M53" s="4">
        <f>M44*原価・変動費!N11</f>
        <v>421.65000000000003</v>
      </c>
      <c r="N53" s="4">
        <f>N44*原価・変動費!O11</f>
        <v>421.65000000000003</v>
      </c>
    </row>
    <row r="54" spans="2:14">
      <c r="B54" s="8" t="s">
        <v>31</v>
      </c>
      <c r="C54" s="1" t="s">
        <v>29</v>
      </c>
      <c r="D54" s="4">
        <f>D45*原価・変動費!E12</f>
        <v>39678.400000000001</v>
      </c>
      <c r="E54" s="4">
        <f>E45*原価・変動費!F12</f>
        <v>39678.400000000001</v>
      </c>
      <c r="F54" s="4">
        <f>F45*原価・変動費!G12</f>
        <v>39678.400000000001</v>
      </c>
      <c r="G54" s="4">
        <f>G45*原価・変動費!H12</f>
        <v>39678.400000000001</v>
      </c>
      <c r="H54" s="4">
        <f>H45*原価・変動費!I12</f>
        <v>39678.400000000001</v>
      </c>
      <c r="I54" s="4">
        <f>I45*原価・変動費!J12</f>
        <v>39678.400000000001</v>
      </c>
      <c r="J54" s="4">
        <f>J45*原価・変動費!K12</f>
        <v>39678.400000000001</v>
      </c>
      <c r="K54" s="4">
        <f>K45*原価・変動費!L12</f>
        <v>39678.400000000001</v>
      </c>
      <c r="L54" s="4">
        <f>L45*原価・変動費!M12</f>
        <v>39678.400000000001</v>
      </c>
      <c r="M54" s="4">
        <f>M45*原価・変動費!N12</f>
        <v>39678.400000000001</v>
      </c>
      <c r="N54" s="4">
        <f>N45*原価・変動費!O12</f>
        <v>39678.400000000001</v>
      </c>
    </row>
    <row r="55" spans="2:14">
      <c r="B55" s="8" t="s">
        <v>31</v>
      </c>
      <c r="C55" s="1" t="s">
        <v>30</v>
      </c>
      <c r="D55" s="4">
        <f>D46*原価・変動費!E13</f>
        <v>15120.45</v>
      </c>
      <c r="E55" s="4">
        <f>E46*原価・変動費!F13</f>
        <v>15120.45</v>
      </c>
      <c r="F55" s="4">
        <f>F46*原価・変動費!G13</f>
        <v>15120.45</v>
      </c>
      <c r="G55" s="4">
        <f>G46*原価・変動費!H13</f>
        <v>15120.45</v>
      </c>
      <c r="H55" s="4">
        <f>H46*原価・変動費!I13</f>
        <v>15120.45</v>
      </c>
      <c r="I55" s="4">
        <f>I46*原価・変動費!J13</f>
        <v>15120.45</v>
      </c>
      <c r="J55" s="4">
        <f>J46*原価・変動費!K13</f>
        <v>15120.45</v>
      </c>
      <c r="K55" s="4">
        <f>K46*原価・変動費!L13</f>
        <v>15120.45</v>
      </c>
      <c r="L55" s="4">
        <f>L46*原価・変動費!M13</f>
        <v>15120.45</v>
      </c>
      <c r="M55" s="4">
        <f>M46*原価・変動費!N13</f>
        <v>15120.45</v>
      </c>
      <c r="N55" s="4">
        <f>N46*原価・変動費!O13</f>
        <v>15120.45</v>
      </c>
    </row>
    <row r="56" spans="2:14">
      <c r="B56" s="9" t="s">
        <v>14</v>
      </c>
      <c r="C56" s="9" t="s">
        <v>23</v>
      </c>
      <c r="D56" s="16">
        <f t="shared" ref="D56" si="36">SUM(D57:D64)</f>
        <v>141818.44188</v>
      </c>
      <c r="E56" s="16">
        <f t="shared" ref="E56" si="37">SUM(E57:E64)</f>
        <v>315192.44146799995</v>
      </c>
      <c r="F56" s="16">
        <f t="shared" ref="F56" si="38">SUM(F57:F64)</f>
        <v>783612.98708543996</v>
      </c>
      <c r="G56" s="16">
        <f t="shared" ref="G56" si="39">SUM(G57:G64)</f>
        <v>1437511.7714131877</v>
      </c>
      <c r="H56" s="16">
        <f t="shared" ref="H56" si="40">SUM(H57:H64)</f>
        <v>2190457.8574261046</v>
      </c>
      <c r="I56" s="16">
        <f t="shared" ref="I56" si="41">SUM(I57:I64)</f>
        <v>2893098.4227702171</v>
      </c>
      <c r="J56" s="16">
        <f t="shared" ref="J56" si="42">SUM(J57:J64)</f>
        <v>3549336.8029780895</v>
      </c>
      <c r="K56" s="16">
        <f t="shared" ref="K56" si="43">SUM(K57:K64)</f>
        <v>4162757.2662047157</v>
      </c>
      <c r="L56" s="16">
        <f t="shared" ref="L56" si="44">SUM(L57:L64)</f>
        <v>4736652.8480107859</v>
      </c>
      <c r="M56" s="16">
        <f t="shared" ref="M56" si="45">SUM(M57:M64)</f>
        <v>5274050.5777031044</v>
      </c>
      <c r="N56" s="16">
        <f t="shared" ref="N56" si="46">SUM(N57:N64)</f>
        <v>5777734.358024111</v>
      </c>
    </row>
    <row r="57" spans="2:14">
      <c r="B57" s="8" t="s">
        <v>14</v>
      </c>
      <c r="C57" s="1" t="s">
        <v>21</v>
      </c>
      <c r="D57" s="4">
        <f t="shared" ref="D57:N57" si="47">D39-D48</f>
        <v>31621.631999999998</v>
      </c>
      <c r="E57" s="4">
        <f t="shared" si="47"/>
        <v>160180.98000000001</v>
      </c>
      <c r="F57" s="4">
        <f t="shared" si="47"/>
        <v>538435.04099999997</v>
      </c>
      <c r="G57" s="4">
        <f t="shared" si="47"/>
        <v>1064836.46493</v>
      </c>
      <c r="H57" s="4">
        <f t="shared" si="47"/>
        <v>1674358.4499849</v>
      </c>
      <c r="I57" s="4">
        <f t="shared" si="47"/>
        <v>2241213.8960859571</v>
      </c>
      <c r="J57" s="4">
        <f t="shared" si="47"/>
        <v>2768389.4609599402</v>
      </c>
      <c r="K57" s="4">
        <f t="shared" si="47"/>
        <v>3258662.7362927445</v>
      </c>
      <c r="L57" s="4">
        <f t="shared" si="47"/>
        <v>3714616.8823522525</v>
      </c>
      <c r="M57" s="4">
        <f t="shared" si="47"/>
        <v>4138654.2381875953</v>
      </c>
      <c r="N57" s="4">
        <f t="shared" si="47"/>
        <v>4533008.9791144636</v>
      </c>
    </row>
    <row r="58" spans="2:14">
      <c r="B58" s="8" t="s">
        <v>14</v>
      </c>
      <c r="C58" s="1" t="s">
        <v>24</v>
      </c>
      <c r="D58" s="4">
        <f t="shared" ref="D58:N58" si="48">D40-D49</f>
        <v>33158.0052</v>
      </c>
      <c r="E58" s="4">
        <f t="shared" si="48"/>
        <v>35014.853491199996</v>
      </c>
      <c r="F58" s="4">
        <f t="shared" si="48"/>
        <v>30813.071072256</v>
      </c>
      <c r="G58" s="4">
        <f t="shared" si="48"/>
        <v>27115.50254358528</v>
      </c>
      <c r="H58" s="4">
        <f t="shared" si="48"/>
        <v>23861.642238355045</v>
      </c>
      <c r="I58" s="4">
        <f t="shared" si="48"/>
        <v>20998.245169752441</v>
      </c>
      <c r="J58" s="4">
        <f t="shared" si="48"/>
        <v>18478.455749382148</v>
      </c>
      <c r="K58" s="4">
        <f t="shared" si="48"/>
        <v>16261.041059456291</v>
      </c>
      <c r="L58" s="4">
        <f t="shared" si="48"/>
        <v>14309.716132321535</v>
      </c>
      <c r="M58" s="4">
        <f t="shared" si="48"/>
        <v>12592.550196442951</v>
      </c>
      <c r="N58" s="4">
        <f t="shared" si="48"/>
        <v>11081.444172869797</v>
      </c>
    </row>
    <row r="59" spans="2:14">
      <c r="B59" s="8" t="s">
        <v>14</v>
      </c>
      <c r="C59" s="1" t="s">
        <v>25</v>
      </c>
      <c r="D59" s="4">
        <f t="shared" ref="D59:N59" si="49">D41-D50</f>
        <v>1009.1566799999999</v>
      </c>
      <c r="E59" s="4">
        <f t="shared" si="49"/>
        <v>22031.3319768</v>
      </c>
      <c r="F59" s="4">
        <f t="shared" si="49"/>
        <v>68207.68901318399</v>
      </c>
      <c r="G59" s="4">
        <f t="shared" si="49"/>
        <v>131269.2279396019</v>
      </c>
      <c r="H59" s="4">
        <f t="shared" si="49"/>
        <v>198181.26920284968</v>
      </c>
      <c r="I59" s="4">
        <f t="shared" si="49"/>
        <v>257063.86551450775</v>
      </c>
      <c r="J59" s="4">
        <f t="shared" si="49"/>
        <v>308880.55026876682</v>
      </c>
      <c r="K59" s="4">
        <f t="shared" si="49"/>
        <v>354479.23285251478</v>
      </c>
      <c r="L59" s="4">
        <f t="shared" si="49"/>
        <v>394606.073526213</v>
      </c>
      <c r="M59" s="4">
        <f t="shared" si="49"/>
        <v>429917.69331906736</v>
      </c>
      <c r="N59" s="4">
        <f t="shared" si="49"/>
        <v>460991.91873677925</v>
      </c>
    </row>
    <row r="60" spans="2:14">
      <c r="B60" s="8" t="s">
        <v>14</v>
      </c>
      <c r="C60" s="1" t="s">
        <v>26</v>
      </c>
      <c r="D60" s="4">
        <f t="shared" ref="D60:N60" si="50">D42-D51</f>
        <v>1994.1480000000001</v>
      </c>
      <c r="E60" s="4">
        <f t="shared" si="50"/>
        <v>23929.775999999998</v>
      </c>
      <c r="F60" s="4">
        <f t="shared" si="50"/>
        <v>72121.686000000002</v>
      </c>
      <c r="G60" s="4">
        <f t="shared" si="50"/>
        <v>140255.076</v>
      </c>
      <c r="H60" s="4">
        <f t="shared" si="50"/>
        <v>220020.99600000001</v>
      </c>
      <c r="I60" s="4">
        <f t="shared" si="50"/>
        <v>299786.91600000003</v>
      </c>
      <c r="J60" s="4">
        <f t="shared" si="50"/>
        <v>379552.83600000007</v>
      </c>
      <c r="K60" s="4">
        <f t="shared" si="50"/>
        <v>459318.75600000005</v>
      </c>
      <c r="L60" s="4">
        <f t="shared" si="50"/>
        <v>539084.67599999998</v>
      </c>
      <c r="M60" s="4">
        <f t="shared" si="50"/>
        <v>618850.5959999999</v>
      </c>
      <c r="N60" s="4">
        <f t="shared" si="50"/>
        <v>698616.51599999995</v>
      </c>
    </row>
    <row r="61" spans="2:14">
      <c r="B61" s="8" t="s">
        <v>14</v>
      </c>
      <c r="C61" s="1" t="s">
        <v>27</v>
      </c>
      <c r="D61" s="4">
        <f t="shared" ref="D61:N61" si="51">D43-D52</f>
        <v>45120</v>
      </c>
      <c r="E61" s="4">
        <f t="shared" si="51"/>
        <v>45120</v>
      </c>
      <c r="F61" s="4">
        <f t="shared" si="51"/>
        <v>45120</v>
      </c>
      <c r="G61" s="4">
        <f t="shared" si="51"/>
        <v>45120</v>
      </c>
      <c r="H61" s="4">
        <f t="shared" si="51"/>
        <v>45120</v>
      </c>
      <c r="I61" s="4">
        <f t="shared" si="51"/>
        <v>45120</v>
      </c>
      <c r="J61" s="4">
        <f t="shared" si="51"/>
        <v>45120</v>
      </c>
      <c r="K61" s="4">
        <f t="shared" si="51"/>
        <v>45120</v>
      </c>
      <c r="L61" s="4">
        <f t="shared" si="51"/>
        <v>45120</v>
      </c>
      <c r="M61" s="4">
        <f t="shared" si="51"/>
        <v>45120</v>
      </c>
      <c r="N61" s="4">
        <f t="shared" si="51"/>
        <v>45120</v>
      </c>
    </row>
    <row r="62" spans="2:14">
      <c r="B62" s="8" t="s">
        <v>14</v>
      </c>
      <c r="C62" s="1" t="s">
        <v>28</v>
      </c>
      <c r="D62" s="4">
        <f t="shared" ref="D62:N62" si="52">D44-D53</f>
        <v>515.34999999999991</v>
      </c>
      <c r="E62" s="4">
        <f t="shared" si="52"/>
        <v>515.34999999999991</v>
      </c>
      <c r="F62" s="4">
        <f t="shared" si="52"/>
        <v>515.34999999999991</v>
      </c>
      <c r="G62" s="4">
        <f t="shared" si="52"/>
        <v>515.34999999999991</v>
      </c>
      <c r="H62" s="4">
        <f t="shared" si="52"/>
        <v>515.34999999999991</v>
      </c>
      <c r="I62" s="4">
        <f t="shared" si="52"/>
        <v>515.34999999999991</v>
      </c>
      <c r="J62" s="4">
        <f t="shared" si="52"/>
        <v>515.34999999999991</v>
      </c>
      <c r="K62" s="4">
        <f t="shared" si="52"/>
        <v>515.34999999999991</v>
      </c>
      <c r="L62" s="4">
        <f t="shared" si="52"/>
        <v>515.34999999999991</v>
      </c>
      <c r="M62" s="4">
        <f t="shared" si="52"/>
        <v>515.34999999999991</v>
      </c>
      <c r="N62" s="4">
        <f t="shared" si="52"/>
        <v>515.34999999999991</v>
      </c>
    </row>
    <row r="63" spans="2:14">
      <c r="B63" s="8" t="s">
        <v>14</v>
      </c>
      <c r="C63" s="1" t="s">
        <v>29</v>
      </c>
      <c r="D63" s="4">
        <f t="shared" ref="D63:N63" si="53">D45-D54</f>
        <v>9919.5999999999985</v>
      </c>
      <c r="E63" s="4">
        <f t="shared" si="53"/>
        <v>9919.5999999999985</v>
      </c>
      <c r="F63" s="4">
        <f t="shared" si="53"/>
        <v>9919.5999999999985</v>
      </c>
      <c r="G63" s="4">
        <f t="shared" si="53"/>
        <v>9919.5999999999985</v>
      </c>
      <c r="H63" s="4">
        <f t="shared" si="53"/>
        <v>9919.5999999999985</v>
      </c>
      <c r="I63" s="4">
        <f t="shared" si="53"/>
        <v>9919.5999999999985</v>
      </c>
      <c r="J63" s="4">
        <f t="shared" si="53"/>
        <v>9919.5999999999985</v>
      </c>
      <c r="K63" s="4">
        <f t="shared" si="53"/>
        <v>9919.5999999999985</v>
      </c>
      <c r="L63" s="4">
        <f t="shared" si="53"/>
        <v>9919.5999999999985</v>
      </c>
      <c r="M63" s="4">
        <f t="shared" si="53"/>
        <v>9919.5999999999985</v>
      </c>
      <c r="N63" s="4">
        <f t="shared" si="53"/>
        <v>9919.5999999999985</v>
      </c>
    </row>
    <row r="64" spans="2:14">
      <c r="B64" s="8" t="s">
        <v>14</v>
      </c>
      <c r="C64" s="1" t="s">
        <v>30</v>
      </c>
      <c r="D64" s="4">
        <f t="shared" ref="D64:N64" si="54">D46-D55</f>
        <v>18480.55</v>
      </c>
      <c r="E64" s="4">
        <f t="shared" si="54"/>
        <v>18480.55</v>
      </c>
      <c r="F64" s="4">
        <f t="shared" si="54"/>
        <v>18480.55</v>
      </c>
      <c r="G64" s="4">
        <f t="shared" si="54"/>
        <v>18480.55</v>
      </c>
      <c r="H64" s="4">
        <f t="shared" si="54"/>
        <v>18480.55</v>
      </c>
      <c r="I64" s="4">
        <f t="shared" si="54"/>
        <v>18480.55</v>
      </c>
      <c r="J64" s="4">
        <f t="shared" si="54"/>
        <v>18480.55</v>
      </c>
      <c r="K64" s="4">
        <f t="shared" si="54"/>
        <v>18480.55</v>
      </c>
      <c r="L64" s="4">
        <f t="shared" si="54"/>
        <v>18480.55</v>
      </c>
      <c r="M64" s="4">
        <f t="shared" si="54"/>
        <v>18480.55</v>
      </c>
      <c r="N64" s="4">
        <f t="shared" si="54"/>
        <v>18480.55</v>
      </c>
    </row>
    <row r="65" spans="2:14">
      <c r="B65" s="10" t="s">
        <v>32</v>
      </c>
      <c r="C65" s="10" t="s">
        <v>23</v>
      </c>
      <c r="D65" s="11">
        <f t="shared" ref="D65" si="55">SUM(D66:D73)</f>
        <v>63668.436653200006</v>
      </c>
      <c r="E65" s="11">
        <f t="shared" ref="E65" si="56">SUM(E66:E73)</f>
        <v>145204.396667497</v>
      </c>
      <c r="F65" s="11">
        <f t="shared" ref="F65" si="57">SUM(F66:F73)</f>
        <v>367535.00673133263</v>
      </c>
      <c r="G65" s="11">
        <f t="shared" ref="G65" si="58">SUM(G66:G73)</f>
        <v>678206.57606297196</v>
      </c>
      <c r="H65" s="11">
        <f t="shared" ref="H65" si="59">SUM(H66:H73)</f>
        <v>1038327.1482778996</v>
      </c>
      <c r="I65" s="11">
        <f t="shared" ref="I65" si="60">SUM(I66:I73)</f>
        <v>1377743.3203421636</v>
      </c>
      <c r="J65" s="11">
        <f t="shared" ref="J65" si="61">SUM(J66:J73)</f>
        <v>1697938.1343826812</v>
      </c>
      <c r="K65" s="11">
        <f t="shared" ref="K65" si="62">SUM(K66:K73)</f>
        <v>2000286.7714835193</v>
      </c>
      <c r="L65" s="11">
        <f t="shared" ref="L65" si="63">SUM(L66:L73)</f>
        <v>2286064.5877301735</v>
      </c>
      <c r="M65" s="11">
        <f t="shared" ref="M65" si="64">SUM(M66:M73)</f>
        <v>2556454.5294381878</v>
      </c>
      <c r="N65" s="11">
        <f t="shared" ref="N65" si="65">SUM(N66:N73)</f>
        <v>2812553.9780183272</v>
      </c>
    </row>
    <row r="66" spans="2:14">
      <c r="B66" s="8" t="s">
        <v>32</v>
      </c>
      <c r="C66" s="1" t="s">
        <v>21</v>
      </c>
      <c r="D66" s="4">
        <f>D39*原価・変動費!E15</f>
        <v>14844.709264000001</v>
      </c>
      <c r="E66" s="4">
        <f>E39*原価・変動費!F15</f>
        <v>75196.627350625015</v>
      </c>
      <c r="F66" s="4">
        <f>F39*原価・変動費!G15</f>
        <v>252767.20825778128</v>
      </c>
      <c r="G66" s="4">
        <f>G39*原価・変動費!H15</f>
        <v>499885.26005208667</v>
      </c>
      <c r="H66" s="4">
        <f>H39*原価・変動費!I15</f>
        <v>786024.08609864058</v>
      </c>
      <c r="I66" s="4">
        <f>I39*原価・変動費!J15</f>
        <v>1052133.1943219358</v>
      </c>
      <c r="J66" s="4">
        <f>J39*原価・変動費!K15</f>
        <v>1299614.6649696005</v>
      </c>
      <c r="K66" s="4">
        <f>K39*原価・変動費!L15</f>
        <v>1529772.4326719285</v>
      </c>
      <c r="L66" s="4">
        <f>L39*原価・変動費!M15</f>
        <v>1743819.1566350937</v>
      </c>
      <c r="M66" s="4">
        <f>M39*原価・変動費!N15</f>
        <v>1942882.6099208375</v>
      </c>
      <c r="N66" s="4">
        <f>N39*原価・変動費!O15</f>
        <v>2128011.621476579</v>
      </c>
    </row>
    <row r="67" spans="2:14">
      <c r="B67" s="8" t="s">
        <v>32</v>
      </c>
      <c r="C67" s="1" t="s">
        <v>24</v>
      </c>
      <c r="D67" s="4">
        <f>D40*原価・変動費!E16</f>
        <v>7126.4966400000003</v>
      </c>
      <c r="E67" s="4">
        <f>E40*原価・変動費!F16</f>
        <v>7525.58045184</v>
      </c>
      <c r="F67" s="4">
        <f>F40*原価・変動費!G16</f>
        <v>6622.5107976192012</v>
      </c>
      <c r="G67" s="4">
        <f>G40*原価・変動費!H16</f>
        <v>5827.8095019048969</v>
      </c>
      <c r="H67" s="4">
        <f>H40*原価・変動費!I16</f>
        <v>5128.4723616763085</v>
      </c>
      <c r="I67" s="4">
        <f>I40*原価・変動費!J16</f>
        <v>4513.0556782751528</v>
      </c>
      <c r="J67" s="4">
        <f>J40*原価・変動費!K16</f>
        <v>3971.4889968821344</v>
      </c>
      <c r="K67" s="4">
        <f>K40*原価・変動費!L16</f>
        <v>3494.9103172562777</v>
      </c>
      <c r="L67" s="4">
        <f>L40*原価・変動費!M16</f>
        <v>3075.5210791855243</v>
      </c>
      <c r="M67" s="4">
        <f>M40*原価・変動費!N16</f>
        <v>2706.4585496832615</v>
      </c>
      <c r="N67" s="4">
        <f>N40*原価・変動費!O16</f>
        <v>2381.6835237212704</v>
      </c>
    </row>
    <row r="68" spans="2:14">
      <c r="B68" s="8" t="s">
        <v>32</v>
      </c>
      <c r="C68" s="1" t="s">
        <v>25</v>
      </c>
      <c r="D68" s="4">
        <f>D41*原価・変動費!E17</f>
        <v>95.342713199999992</v>
      </c>
      <c r="E68" s="4">
        <f>E41*原価・変動費!F17</f>
        <v>2081.4676330319999</v>
      </c>
      <c r="F68" s="4">
        <f>F41*原価・変動費!G17</f>
        <v>6444.0995739321597</v>
      </c>
      <c r="G68" s="4">
        <f>G41*原価・変動費!H17</f>
        <v>12402.003176980299</v>
      </c>
      <c r="H68" s="4">
        <f>H41*原価・変動費!I17</f>
        <v>18723.693045582662</v>
      </c>
      <c r="I68" s="4">
        <f>I41*原価・変動費!J17</f>
        <v>24286.780129952745</v>
      </c>
      <c r="J68" s="4">
        <f>J41*原価・変動費!K17</f>
        <v>29182.296764198414</v>
      </c>
      <c r="K68" s="4">
        <f>K41*原価・変動費!L17</f>
        <v>33490.3514023346</v>
      </c>
      <c r="L68" s="4">
        <f>L41*原価・変動費!M17</f>
        <v>37281.43948389445</v>
      </c>
      <c r="M68" s="4">
        <f>M41*原価・変動費!N17</f>
        <v>40617.596995667111</v>
      </c>
      <c r="N68" s="4">
        <f>N41*原価・変動費!O17</f>
        <v>43553.415606027054</v>
      </c>
    </row>
    <row r="69" spans="2:14">
      <c r="B69" s="8" t="s">
        <v>32</v>
      </c>
      <c r="C69" s="1" t="s">
        <v>26</v>
      </c>
      <c r="D69" s="4">
        <f>D42*原価・変動費!E18</f>
        <v>1708.9848360000003</v>
      </c>
      <c r="E69" s="4">
        <f>E42*原価・変動費!F18</f>
        <v>20507.818031999999</v>
      </c>
      <c r="F69" s="4">
        <f>F42*原価・変動費!G18</f>
        <v>61808.284902000007</v>
      </c>
      <c r="G69" s="4">
        <f>G42*原価・変動費!H18</f>
        <v>120198.60013200002</v>
      </c>
      <c r="H69" s="4">
        <f>H42*原価・変動費!I18</f>
        <v>188557.99357200004</v>
      </c>
      <c r="I69" s="4">
        <f>I42*原価・変動費!J18</f>
        <v>256917.38701200005</v>
      </c>
      <c r="J69" s="4">
        <f>J42*原価・変動費!K18</f>
        <v>325276.78045200009</v>
      </c>
      <c r="K69" s="4">
        <f>K42*原価・変動費!L18</f>
        <v>393636.17389200011</v>
      </c>
      <c r="L69" s="4">
        <f>L42*原価・変動費!M18</f>
        <v>461995.56733200001</v>
      </c>
      <c r="M69" s="4">
        <f>M42*原価・変動費!N18</f>
        <v>530354.96077200002</v>
      </c>
      <c r="N69" s="4">
        <f>N42*原価・変動費!O18</f>
        <v>598714.35421200003</v>
      </c>
    </row>
    <row r="70" spans="2:14">
      <c r="B70" s="8" t="s">
        <v>32</v>
      </c>
      <c r="C70" s="1" t="s">
        <v>27</v>
      </c>
      <c r="D70" s="4">
        <f>D43*原価・変動費!E19</f>
        <v>23611.295999999998</v>
      </c>
      <c r="E70" s="4">
        <f>E43*原価・変動費!F19</f>
        <v>23611.295999999998</v>
      </c>
      <c r="F70" s="4">
        <f>F43*原価・変動費!G19</f>
        <v>23611.295999999998</v>
      </c>
      <c r="G70" s="4">
        <f>G43*原価・変動費!H19</f>
        <v>23611.295999999998</v>
      </c>
      <c r="H70" s="4">
        <f>H43*原価・変動費!I19</f>
        <v>23611.295999999998</v>
      </c>
      <c r="I70" s="4">
        <f>I43*原価・変動費!J19</f>
        <v>23611.295999999998</v>
      </c>
      <c r="J70" s="4">
        <f>J43*原価・変動費!K19</f>
        <v>23611.295999999998</v>
      </c>
      <c r="K70" s="4">
        <f>K43*原価・変動費!L19</f>
        <v>23611.295999999998</v>
      </c>
      <c r="L70" s="4">
        <f>L43*原価・変動費!M19</f>
        <v>23611.295999999998</v>
      </c>
      <c r="M70" s="4">
        <f>M43*原価・変動費!N19</f>
        <v>23611.295999999998</v>
      </c>
      <c r="N70" s="4">
        <f>N43*原価・変動費!O19</f>
        <v>23611.295999999998</v>
      </c>
    </row>
    <row r="71" spans="2:14">
      <c r="B71" s="8" t="s">
        <v>32</v>
      </c>
      <c r="C71" s="1" t="s">
        <v>28</v>
      </c>
      <c r="D71" s="4">
        <f>D44*原価・変動費!E20</f>
        <v>361.30720000000002</v>
      </c>
      <c r="E71" s="4">
        <f>E44*原価・変動費!F20</f>
        <v>361.30720000000002</v>
      </c>
      <c r="F71" s="4">
        <f>F44*原価・変動費!G20</f>
        <v>361.30720000000002</v>
      </c>
      <c r="G71" s="4">
        <f>G44*原価・変動費!H20</f>
        <v>361.30720000000002</v>
      </c>
      <c r="H71" s="4">
        <f>H44*原価・変動費!I20</f>
        <v>361.30720000000002</v>
      </c>
      <c r="I71" s="4">
        <f>I44*原価・変動費!J20</f>
        <v>361.30720000000002</v>
      </c>
      <c r="J71" s="4">
        <f>J44*原価・変動費!K20</f>
        <v>361.30720000000002</v>
      </c>
      <c r="K71" s="4">
        <f>K44*原価・変動費!L20</f>
        <v>361.30720000000002</v>
      </c>
      <c r="L71" s="4">
        <f>L44*原価・変動費!M20</f>
        <v>361.30720000000002</v>
      </c>
      <c r="M71" s="4">
        <f>M44*原価・変動費!N20</f>
        <v>361.30720000000002</v>
      </c>
      <c r="N71" s="4">
        <f>N44*原価・変動費!O20</f>
        <v>361.30720000000002</v>
      </c>
    </row>
    <row r="72" spans="2:14">
      <c r="B72" s="8" t="s">
        <v>32</v>
      </c>
      <c r="C72" s="1" t="s">
        <v>29</v>
      </c>
      <c r="D72" s="4">
        <f>D45*原価・変動費!E21</f>
        <v>2479.9</v>
      </c>
      <c r="E72" s="4">
        <f>E45*原価・変動費!F21</f>
        <v>2479.9</v>
      </c>
      <c r="F72" s="4">
        <f>F45*原価・変動費!G21</f>
        <v>2479.9</v>
      </c>
      <c r="G72" s="4">
        <f>G45*原価・変動費!H21</f>
        <v>2479.9</v>
      </c>
      <c r="H72" s="4">
        <f>H45*原価・変動費!I21</f>
        <v>2479.9</v>
      </c>
      <c r="I72" s="4">
        <f>I45*原価・変動費!J21</f>
        <v>2479.9</v>
      </c>
      <c r="J72" s="4">
        <f>J45*原価・変動費!K21</f>
        <v>2479.9</v>
      </c>
      <c r="K72" s="4">
        <f>K45*原価・変動費!L21</f>
        <v>2479.9</v>
      </c>
      <c r="L72" s="4">
        <f>L45*原価・変動費!M21</f>
        <v>2479.9</v>
      </c>
      <c r="M72" s="4">
        <f>M45*原価・変動費!N21</f>
        <v>2479.9</v>
      </c>
      <c r="N72" s="4">
        <f>N45*原価・変動費!O21</f>
        <v>2479.9</v>
      </c>
    </row>
    <row r="73" spans="2:14">
      <c r="B73" s="8" t="s">
        <v>32</v>
      </c>
      <c r="C73" s="1" t="s">
        <v>30</v>
      </c>
      <c r="D73" s="4">
        <f>D46*原価・変動費!E22</f>
        <v>13440.400000000001</v>
      </c>
      <c r="E73" s="4">
        <f>E46*原価・変動費!F22</f>
        <v>13440.400000000001</v>
      </c>
      <c r="F73" s="4">
        <f>F46*原価・変動費!G22</f>
        <v>13440.400000000001</v>
      </c>
      <c r="G73" s="4">
        <f>G46*原価・変動費!H22</f>
        <v>13440.400000000001</v>
      </c>
      <c r="H73" s="4">
        <f>H46*原価・変動費!I22</f>
        <v>13440.400000000001</v>
      </c>
      <c r="I73" s="4">
        <f>I46*原価・変動費!J22</f>
        <v>13440.400000000001</v>
      </c>
      <c r="J73" s="4">
        <f>J46*原価・変動費!K22</f>
        <v>13440.400000000001</v>
      </c>
      <c r="K73" s="4">
        <f>K46*原価・変動費!L22</f>
        <v>13440.400000000001</v>
      </c>
      <c r="L73" s="4">
        <f>L46*原価・変動費!M22</f>
        <v>13440.400000000001</v>
      </c>
      <c r="M73" s="4">
        <f>M46*原価・変動費!N22</f>
        <v>13440.400000000001</v>
      </c>
      <c r="N73" s="4">
        <f>N46*原価・変動費!O22</f>
        <v>13440.400000000001</v>
      </c>
    </row>
    <row r="74" spans="2:14">
      <c r="B74" s="9" t="s">
        <v>15</v>
      </c>
      <c r="C74" s="9" t="s">
        <v>23</v>
      </c>
      <c r="D74" s="16">
        <f>SUM(D75:D82)</f>
        <v>78150.005226799985</v>
      </c>
      <c r="E74" s="16">
        <f t="shared" ref="E74" si="66">SUM(E75:E82)</f>
        <v>169988.04480050298</v>
      </c>
      <c r="F74" s="16">
        <f t="shared" ref="F74" si="67">SUM(F75:F82)</f>
        <v>416077.98035410733</v>
      </c>
      <c r="G74" s="16">
        <f t="shared" ref="G74" si="68">SUM(G75:G82)</f>
        <v>759305.1953502153</v>
      </c>
      <c r="H74" s="16">
        <f t="shared" ref="H74" si="69">SUM(H75:H82)</f>
        <v>1152130.7091482047</v>
      </c>
      <c r="I74" s="16">
        <f t="shared" ref="I74" si="70">SUM(I75:I82)</f>
        <v>1515355.1024280533</v>
      </c>
      <c r="J74" s="16">
        <f t="shared" ref="J74" si="71">SUM(J75:J82)</f>
        <v>1851398.6685954079</v>
      </c>
      <c r="K74" s="16">
        <f t="shared" ref="K74" si="72">SUM(K75:K82)</f>
        <v>2162470.4947211961</v>
      </c>
      <c r="L74" s="16">
        <f t="shared" ref="L74" si="73">SUM(L75:L82)</f>
        <v>2450588.2602806133</v>
      </c>
      <c r="M74" s="16">
        <f t="shared" ref="M74" si="74">SUM(M75:M82)</f>
        <v>2717596.0482649175</v>
      </c>
      <c r="N74" s="16">
        <f t="shared" ref="N74" si="75">SUM(N75:N82)</f>
        <v>2965180.3800057848</v>
      </c>
    </row>
    <row r="75" spans="2:14">
      <c r="B75" s="8" t="s">
        <v>15</v>
      </c>
      <c r="C75" s="1" t="s">
        <v>21</v>
      </c>
      <c r="D75" s="4">
        <f t="shared" ref="D75:N75" si="76">D57-D66</f>
        <v>16776.922735999997</v>
      </c>
      <c r="E75" s="4">
        <f t="shared" si="76"/>
        <v>84984.352649374996</v>
      </c>
      <c r="F75" s="4">
        <f t="shared" si="76"/>
        <v>285667.83274221868</v>
      </c>
      <c r="G75" s="4">
        <f t="shared" si="76"/>
        <v>564951.20487791335</v>
      </c>
      <c r="H75" s="4">
        <f t="shared" si="76"/>
        <v>888334.36388625938</v>
      </c>
      <c r="I75" s="4">
        <f t="shared" si="76"/>
        <v>1189080.7017640213</v>
      </c>
      <c r="J75" s="4">
        <f t="shared" si="76"/>
        <v>1468774.7959903397</v>
      </c>
      <c r="K75" s="4">
        <f t="shared" si="76"/>
        <v>1728890.303620816</v>
      </c>
      <c r="L75" s="4">
        <f t="shared" si="76"/>
        <v>1970797.7257171588</v>
      </c>
      <c r="M75" s="4">
        <f t="shared" si="76"/>
        <v>2195771.6282667578</v>
      </c>
      <c r="N75" s="4">
        <f t="shared" si="76"/>
        <v>2404997.3576378846</v>
      </c>
    </row>
    <row r="76" spans="2:14">
      <c r="B76" s="8" t="s">
        <v>15</v>
      </c>
      <c r="C76" s="1" t="s">
        <v>24</v>
      </c>
      <c r="D76" s="4">
        <f t="shared" ref="D76:N76" si="77">D58-D67</f>
        <v>26031.508559999998</v>
      </c>
      <c r="E76" s="4">
        <f t="shared" si="77"/>
        <v>27489.273039359996</v>
      </c>
      <c r="F76" s="4">
        <f t="shared" si="77"/>
        <v>24190.560274636799</v>
      </c>
      <c r="G76" s="4">
        <f t="shared" si="77"/>
        <v>21287.693041680384</v>
      </c>
      <c r="H76" s="4">
        <f t="shared" si="77"/>
        <v>18733.169876678738</v>
      </c>
      <c r="I76" s="4">
        <f t="shared" si="77"/>
        <v>16485.189491477289</v>
      </c>
      <c r="J76" s="4">
        <f t="shared" si="77"/>
        <v>14506.966752500015</v>
      </c>
      <c r="K76" s="4">
        <f t="shared" si="77"/>
        <v>12766.130742200014</v>
      </c>
      <c r="L76" s="4">
        <f t="shared" si="77"/>
        <v>11234.195053136011</v>
      </c>
      <c r="M76" s="4">
        <f t="shared" si="77"/>
        <v>9886.0916467596908</v>
      </c>
      <c r="N76" s="4">
        <f t="shared" si="77"/>
        <v>8699.7606491485258</v>
      </c>
    </row>
    <row r="77" spans="2:14">
      <c r="B77" s="8" t="s">
        <v>15</v>
      </c>
      <c r="C77" s="1" t="s">
        <v>25</v>
      </c>
      <c r="D77" s="4">
        <f t="shared" ref="D77:N77" si="78">D59-D68</f>
        <v>913.81396679999989</v>
      </c>
      <c r="E77" s="4">
        <f t="shared" si="78"/>
        <v>19949.864343768</v>
      </c>
      <c r="F77" s="4">
        <f t="shared" si="78"/>
        <v>61763.589439251831</v>
      </c>
      <c r="G77" s="4">
        <f t="shared" si="78"/>
        <v>118867.2247626216</v>
      </c>
      <c r="H77" s="4">
        <f t="shared" si="78"/>
        <v>179457.57615726703</v>
      </c>
      <c r="I77" s="4">
        <f t="shared" si="78"/>
        <v>232777.08538455502</v>
      </c>
      <c r="J77" s="4">
        <f t="shared" si="78"/>
        <v>279698.25350456842</v>
      </c>
      <c r="K77" s="4">
        <f t="shared" si="78"/>
        <v>320988.8814501802</v>
      </c>
      <c r="L77" s="4">
        <f t="shared" si="78"/>
        <v>357324.63404231856</v>
      </c>
      <c r="M77" s="4">
        <f t="shared" si="78"/>
        <v>389300.09632340027</v>
      </c>
      <c r="N77" s="4">
        <f t="shared" si="78"/>
        <v>417438.50313075219</v>
      </c>
    </row>
    <row r="78" spans="2:14">
      <c r="B78" s="8" t="s">
        <v>15</v>
      </c>
      <c r="C78" s="1" t="s">
        <v>26</v>
      </c>
      <c r="D78" s="4">
        <f t="shared" ref="D78:N78" si="79">D60-D69</f>
        <v>285.16316399999982</v>
      </c>
      <c r="E78" s="4">
        <f t="shared" si="79"/>
        <v>3421.9579679999988</v>
      </c>
      <c r="F78" s="4">
        <f t="shared" si="79"/>
        <v>10313.401097999995</v>
      </c>
      <c r="G78" s="4">
        <f t="shared" si="79"/>
        <v>20056.47586799998</v>
      </c>
      <c r="H78" s="4">
        <f t="shared" si="79"/>
        <v>31463.002427999978</v>
      </c>
      <c r="I78" s="4">
        <f t="shared" si="79"/>
        <v>42869.528987999976</v>
      </c>
      <c r="J78" s="4">
        <f t="shared" si="79"/>
        <v>54276.055547999975</v>
      </c>
      <c r="K78" s="4">
        <f t="shared" si="79"/>
        <v>65682.582107999944</v>
      </c>
      <c r="L78" s="4">
        <f t="shared" si="79"/>
        <v>77089.108667999972</v>
      </c>
      <c r="M78" s="4">
        <f t="shared" si="79"/>
        <v>88495.635227999883</v>
      </c>
      <c r="N78" s="4">
        <f t="shared" si="79"/>
        <v>99902.16178799991</v>
      </c>
    </row>
    <row r="79" spans="2:14">
      <c r="B79" s="8" t="s">
        <v>15</v>
      </c>
      <c r="C79" s="1" t="s">
        <v>27</v>
      </c>
      <c r="D79" s="4">
        <f t="shared" ref="D79:N79" si="80">D61-D70</f>
        <v>21508.704000000002</v>
      </c>
      <c r="E79" s="4">
        <f t="shared" si="80"/>
        <v>21508.704000000002</v>
      </c>
      <c r="F79" s="4">
        <f t="shared" si="80"/>
        <v>21508.704000000002</v>
      </c>
      <c r="G79" s="4">
        <f t="shared" si="80"/>
        <v>21508.704000000002</v>
      </c>
      <c r="H79" s="4">
        <f t="shared" si="80"/>
        <v>21508.704000000002</v>
      </c>
      <c r="I79" s="4">
        <f t="shared" si="80"/>
        <v>21508.704000000002</v>
      </c>
      <c r="J79" s="4">
        <f t="shared" si="80"/>
        <v>21508.704000000002</v>
      </c>
      <c r="K79" s="4">
        <f t="shared" si="80"/>
        <v>21508.704000000002</v>
      </c>
      <c r="L79" s="4">
        <f t="shared" si="80"/>
        <v>21508.704000000002</v>
      </c>
      <c r="M79" s="4">
        <f t="shared" si="80"/>
        <v>21508.704000000002</v>
      </c>
      <c r="N79" s="4">
        <f t="shared" si="80"/>
        <v>21508.704000000002</v>
      </c>
    </row>
    <row r="80" spans="2:14">
      <c r="B80" s="8" t="s">
        <v>15</v>
      </c>
      <c r="C80" s="1" t="s">
        <v>28</v>
      </c>
      <c r="D80" s="4">
        <f t="shared" ref="D80:N80" si="81">D62-D71</f>
        <v>154.04279999999989</v>
      </c>
      <c r="E80" s="4">
        <f t="shared" si="81"/>
        <v>154.04279999999989</v>
      </c>
      <c r="F80" s="4">
        <f t="shared" si="81"/>
        <v>154.04279999999989</v>
      </c>
      <c r="G80" s="4">
        <f t="shared" si="81"/>
        <v>154.04279999999989</v>
      </c>
      <c r="H80" s="4">
        <f t="shared" si="81"/>
        <v>154.04279999999989</v>
      </c>
      <c r="I80" s="4">
        <f t="shared" si="81"/>
        <v>154.04279999999989</v>
      </c>
      <c r="J80" s="4">
        <f t="shared" si="81"/>
        <v>154.04279999999989</v>
      </c>
      <c r="K80" s="4">
        <f t="shared" si="81"/>
        <v>154.04279999999989</v>
      </c>
      <c r="L80" s="4">
        <f t="shared" si="81"/>
        <v>154.04279999999989</v>
      </c>
      <c r="M80" s="4">
        <f t="shared" si="81"/>
        <v>154.04279999999989</v>
      </c>
      <c r="N80" s="4">
        <f t="shared" si="81"/>
        <v>154.04279999999989</v>
      </c>
    </row>
    <row r="81" spans="2:14">
      <c r="B81" s="8" t="s">
        <v>15</v>
      </c>
      <c r="C81" s="1" t="s">
        <v>29</v>
      </c>
      <c r="D81" s="4">
        <f t="shared" ref="D81:N81" si="82">D63-D72</f>
        <v>7439.6999999999989</v>
      </c>
      <c r="E81" s="4">
        <f t="shared" si="82"/>
        <v>7439.6999999999989</v>
      </c>
      <c r="F81" s="4">
        <f t="shared" si="82"/>
        <v>7439.6999999999989</v>
      </c>
      <c r="G81" s="4">
        <f t="shared" si="82"/>
        <v>7439.6999999999989</v>
      </c>
      <c r="H81" s="4">
        <f t="shared" si="82"/>
        <v>7439.6999999999989</v>
      </c>
      <c r="I81" s="4">
        <f t="shared" si="82"/>
        <v>7439.6999999999989</v>
      </c>
      <c r="J81" s="4">
        <f t="shared" si="82"/>
        <v>7439.6999999999989</v>
      </c>
      <c r="K81" s="4">
        <f t="shared" si="82"/>
        <v>7439.6999999999989</v>
      </c>
      <c r="L81" s="4">
        <f t="shared" si="82"/>
        <v>7439.6999999999989</v>
      </c>
      <c r="M81" s="4">
        <f t="shared" si="82"/>
        <v>7439.6999999999989</v>
      </c>
      <c r="N81" s="4">
        <f t="shared" si="82"/>
        <v>7439.6999999999989</v>
      </c>
    </row>
    <row r="82" spans="2:14">
      <c r="B82" s="8" t="s">
        <v>15</v>
      </c>
      <c r="C82" s="1" t="s">
        <v>30</v>
      </c>
      <c r="D82" s="4">
        <f t="shared" ref="D82:N82" si="83">D64-D73</f>
        <v>5040.1499999999978</v>
      </c>
      <c r="E82" s="4">
        <f t="shared" si="83"/>
        <v>5040.1499999999978</v>
      </c>
      <c r="F82" s="4">
        <f t="shared" si="83"/>
        <v>5040.1499999999978</v>
      </c>
      <c r="G82" s="4">
        <f t="shared" si="83"/>
        <v>5040.1499999999978</v>
      </c>
      <c r="H82" s="4">
        <f t="shared" si="83"/>
        <v>5040.1499999999978</v>
      </c>
      <c r="I82" s="4">
        <f t="shared" si="83"/>
        <v>5040.1499999999978</v>
      </c>
      <c r="J82" s="4">
        <f t="shared" si="83"/>
        <v>5040.1499999999978</v>
      </c>
      <c r="K82" s="4">
        <f t="shared" si="83"/>
        <v>5040.1499999999978</v>
      </c>
      <c r="L82" s="4">
        <f t="shared" si="83"/>
        <v>5040.1499999999978</v>
      </c>
      <c r="M82" s="4">
        <f t="shared" si="83"/>
        <v>5040.1499999999978</v>
      </c>
      <c r="N82" s="4">
        <f t="shared" si="83"/>
        <v>5040.1499999999978</v>
      </c>
    </row>
    <row r="83" spans="2:14">
      <c r="B83" s="10" t="s">
        <v>33</v>
      </c>
      <c r="C83" s="10" t="s">
        <v>23</v>
      </c>
      <c r="D83" s="11">
        <f>固定費!E5</f>
        <v>29706.329600000001</v>
      </c>
      <c r="E83" s="11">
        <f>固定費!F5</f>
        <v>146632.60519999999</v>
      </c>
      <c r="F83" s="11">
        <f>固定費!G5</f>
        <v>201652.67670000001</v>
      </c>
      <c r="G83" s="11">
        <f>固定費!H5</f>
        <v>233796.94093499999</v>
      </c>
      <c r="H83" s="11">
        <f>固定費!I5</f>
        <v>262370.77013355005</v>
      </c>
      <c r="I83" s="11">
        <f>固定費!J5</f>
        <v>290061.15416820149</v>
      </c>
      <c r="J83" s="11">
        <f>固定費!K5</f>
        <v>316929.93420042738</v>
      </c>
      <c r="K83" s="11">
        <f>固定費!L5</f>
        <v>343034.62251039746</v>
      </c>
      <c r="L83" s="11">
        <f>固定費!M5</f>
        <v>368428.70551866968</v>
      </c>
      <c r="M83" s="11">
        <f>固定費!N5</f>
        <v>393161.92559636279</v>
      </c>
      <c r="N83" s="11">
        <f>固定費!O5</f>
        <v>417280.54314861738</v>
      </c>
    </row>
    <row r="84" spans="2:14">
      <c r="B84" s="8" t="s">
        <v>33</v>
      </c>
      <c r="C84" s="1" t="s">
        <v>21</v>
      </c>
      <c r="D84" s="4">
        <f>固定費!E6</f>
        <v>7538</v>
      </c>
      <c r="E84" s="4">
        <f>固定費!F6</f>
        <v>67754.248330131959</v>
      </c>
      <c r="F84" s="4">
        <f>固定費!G6</f>
        <v>109417.67107755612</v>
      </c>
      <c r="G84" s="4">
        <f>固定費!H6</f>
        <v>123529.04998267659</v>
      </c>
      <c r="H84" s="4">
        <f>固定費!I6</f>
        <v>138958.79308646655</v>
      </c>
      <c r="I84" s="4">
        <f>固定費!J6</f>
        <v>152009.70547947483</v>
      </c>
      <c r="J84" s="4">
        <f>固定費!K6</f>
        <v>163666.35245654004</v>
      </c>
      <c r="K84" s="4">
        <f>固定費!L6</f>
        <v>174273.9965384916</v>
      </c>
      <c r="L84" s="4">
        <f>固定費!M6</f>
        <v>184005.24776038635</v>
      </c>
      <c r="M84" s="4">
        <f>固定費!N6</f>
        <v>192968.32204254848</v>
      </c>
      <c r="N84" s="4">
        <f>固定費!O6</f>
        <v>201241.72393898395</v>
      </c>
    </row>
    <row r="85" spans="2:14">
      <c r="B85" s="8" t="s">
        <v>33</v>
      </c>
      <c r="C85" s="1" t="s">
        <v>24</v>
      </c>
      <c r="D85" s="4">
        <f>固定費!E7</f>
        <v>7621</v>
      </c>
      <c r="E85" s="4">
        <f>固定費!F7</f>
        <v>11911.5113648562</v>
      </c>
      <c r="F85" s="4">
        <f>固定費!G7</f>
        <v>7402.1227459216452</v>
      </c>
      <c r="G85" s="4">
        <f>固定費!H7</f>
        <v>3800.0636733123188</v>
      </c>
      <c r="H85" s="4">
        <f>固定費!I7</f>
        <v>2895.4217763091019</v>
      </c>
      <c r="I85" s="4">
        <f>固定費!J7</f>
        <v>2473.4421805818756</v>
      </c>
      <c r="J85" s="4">
        <f>固定費!K7</f>
        <v>2232.5199271166412</v>
      </c>
      <c r="K85" s="4">
        <f>固定費!L7</f>
        <v>2078.7944180591057</v>
      </c>
      <c r="L85" s="4">
        <f>固定費!M7</f>
        <v>1973.5710157959884</v>
      </c>
      <c r="M85" s="4">
        <f>固定費!N7</f>
        <v>1897.993124435071</v>
      </c>
      <c r="N85" s="4">
        <f>固定費!O7</f>
        <v>1841.7800898087448</v>
      </c>
    </row>
    <row r="86" spans="2:14">
      <c r="B86" s="8" t="s">
        <v>33</v>
      </c>
      <c r="C86" s="1" t="s">
        <v>25</v>
      </c>
      <c r="D86" s="4">
        <f>固定費!E8</f>
        <v>703.5</v>
      </c>
      <c r="E86" s="4">
        <f>固定費!F8</f>
        <v>22608.877827640496</v>
      </c>
      <c r="F86" s="4">
        <f>固定費!G8</f>
        <v>37678.948228019646</v>
      </c>
      <c r="G86" s="4">
        <f>固定費!H8</f>
        <v>50387.347017989814</v>
      </c>
      <c r="H86" s="4">
        <f>固定費!I8</f>
        <v>50460.984349494662</v>
      </c>
      <c r="I86" s="4">
        <f>固定費!J8</f>
        <v>50355.396849560617</v>
      </c>
      <c r="J86" s="4">
        <f>固定費!K8</f>
        <v>50190.864009901903</v>
      </c>
      <c r="K86" s="4">
        <f>固定費!L8</f>
        <v>50004.387865237288</v>
      </c>
      <c r="L86" s="4">
        <f>固定費!M8</f>
        <v>49810.868414478209</v>
      </c>
      <c r="M86" s="4">
        <f>固定費!N8</f>
        <v>49617.268906408703</v>
      </c>
      <c r="N86" s="4">
        <f>固定費!O8</f>
        <v>49427.132077650072</v>
      </c>
    </row>
    <row r="87" spans="2:14">
      <c r="B87" s="8" t="s">
        <v>33</v>
      </c>
      <c r="C87" s="1" t="s">
        <v>26</v>
      </c>
      <c r="D87" s="4">
        <f>固定費!E9</f>
        <v>398.82960000000003</v>
      </c>
      <c r="E87" s="4">
        <f>固定費!F9</f>
        <v>8867.3625764440185</v>
      </c>
      <c r="F87" s="4">
        <f>固定費!G9</f>
        <v>21330.94989102727</v>
      </c>
      <c r="G87" s="4">
        <f>固定費!H9</f>
        <v>35640.8526416081</v>
      </c>
      <c r="H87" s="4">
        <f>固定費!I9</f>
        <v>51945.364790138643</v>
      </c>
      <c r="I87" s="4">
        <f>固定費!J9</f>
        <v>68216.578502598946</v>
      </c>
      <c r="J87" s="4">
        <f>固定費!K9</f>
        <v>84477.682801839648</v>
      </c>
      <c r="K87" s="4">
        <f>固定費!L9</f>
        <v>100735.78255707482</v>
      </c>
      <c r="L87" s="4">
        <f>固定費!M9</f>
        <v>116993.70895046955</v>
      </c>
      <c r="M87" s="4">
        <f>固定費!N9</f>
        <v>133252.75443484669</v>
      </c>
      <c r="N87" s="4">
        <f>固定費!O9</f>
        <v>149513.54493358626</v>
      </c>
    </row>
    <row r="88" spans="2:14">
      <c r="B88" s="8" t="s">
        <v>33</v>
      </c>
      <c r="C88" s="1" t="s">
        <v>27</v>
      </c>
      <c r="D88" s="4">
        <f>固定費!E10</f>
        <v>12245</v>
      </c>
      <c r="E88" s="4">
        <f>固定費!F10</f>
        <v>19940.56308530235</v>
      </c>
      <c r="F88" s="4">
        <f>固定費!G10</f>
        <v>16565.841371056555</v>
      </c>
      <c r="G88" s="4">
        <f>固定費!H10</f>
        <v>14686.647569071632</v>
      </c>
      <c r="H88" s="4">
        <f>固定費!I10</f>
        <v>13873.505451484529</v>
      </c>
      <c r="I88" s="4">
        <f>固定費!J10</f>
        <v>13488.065898357167</v>
      </c>
      <c r="J88" s="4">
        <f>固定費!K10</f>
        <v>13263.430688145363</v>
      </c>
      <c r="K88" s="4">
        <f>固定費!L10</f>
        <v>13116.521246633385</v>
      </c>
      <c r="L88" s="4">
        <f>固定費!M10</f>
        <v>13013.072345690616</v>
      </c>
      <c r="M88" s="4">
        <f>固定費!N10</f>
        <v>12936.372852449</v>
      </c>
      <c r="N88" s="4">
        <f>固定費!O10</f>
        <v>12877.30069272999</v>
      </c>
    </row>
    <row r="89" spans="2:14">
      <c r="B89" s="8" t="s">
        <v>33</v>
      </c>
      <c r="C89" s="1" t="s">
        <v>28</v>
      </c>
      <c r="D89" s="4">
        <f>固定費!E11</f>
        <v>1200</v>
      </c>
      <c r="E89" s="4">
        <f>固定費!F11</f>
        <v>1359.8125578663187</v>
      </c>
      <c r="F89" s="4">
        <f>固定費!G11</f>
        <v>1289.7302385789005</v>
      </c>
      <c r="G89" s="4">
        <f>固定費!H11</f>
        <v>1250.7053141006231</v>
      </c>
      <c r="H89" s="4">
        <f>固定費!I11</f>
        <v>1233.81891861793</v>
      </c>
      <c r="I89" s="4">
        <f>固定費!J11</f>
        <v>1225.8145555576389</v>
      </c>
      <c r="J89" s="4">
        <f>固定費!K11</f>
        <v>1221.1495911966358</v>
      </c>
      <c r="K89" s="4">
        <f>固定費!L11</f>
        <v>1218.098745746797</v>
      </c>
      <c r="L89" s="4">
        <f>固定費!M11</f>
        <v>1215.9504385618818</v>
      </c>
      <c r="M89" s="4">
        <f>固定費!N11</f>
        <v>1214.35763215303</v>
      </c>
      <c r="N89" s="4">
        <f>固定費!O11</f>
        <v>1213.1308898290781</v>
      </c>
    </row>
    <row r="90" spans="2:14">
      <c r="B90" s="8" t="s">
        <v>33</v>
      </c>
      <c r="C90" s="1" t="s">
        <v>29</v>
      </c>
      <c r="D90" s="4">
        <f>固定費!E12</f>
        <v>0</v>
      </c>
      <c r="E90" s="4">
        <f>固定費!F12</f>
        <v>8459.32043228781</v>
      </c>
      <c r="F90" s="4">
        <f>固定費!G12</f>
        <v>4749.6695550013974</v>
      </c>
      <c r="G90" s="4">
        <f>固定費!H12</f>
        <v>2683.9724319772813</v>
      </c>
      <c r="H90" s="4">
        <f>固定費!I12</f>
        <v>1790.128842702341</v>
      </c>
      <c r="I90" s="4">
        <f>固定費!J12</f>
        <v>1366.4357807340134</v>
      </c>
      <c r="J90" s="4">
        <f>固定費!K12</f>
        <v>1119.5063224874493</v>
      </c>
      <c r="K90" s="4">
        <f>固定費!L12</f>
        <v>958.01663986087283</v>
      </c>
      <c r="L90" s="4">
        <f>固定費!M12</f>
        <v>844.30080233960894</v>
      </c>
      <c r="M90" s="4">
        <f>固定費!N12</f>
        <v>759.98915637778077</v>
      </c>
      <c r="N90" s="4">
        <f>固定費!O12</f>
        <v>695.05429428240313</v>
      </c>
    </row>
    <row r="91" spans="2:14">
      <c r="B91" s="8" t="s">
        <v>33</v>
      </c>
      <c r="C91" s="1" t="s">
        <v>30</v>
      </c>
      <c r="D91" s="4">
        <f>固定費!E13</f>
        <v>0</v>
      </c>
      <c r="E91" s="4">
        <f>固定費!F13</f>
        <v>5730.9090254708399</v>
      </c>
      <c r="F91" s="4">
        <f>固定費!G13</f>
        <v>3217.7435928384598</v>
      </c>
      <c r="G91" s="4">
        <f>固定費!H13</f>
        <v>1818.3023042636523</v>
      </c>
      <c r="H91" s="4">
        <f>固定費!I13</f>
        <v>1212.7529183362508</v>
      </c>
      <c r="I91" s="4">
        <f>固定費!J13</f>
        <v>925.71492133641652</v>
      </c>
      <c r="J91" s="4">
        <f>固定費!K13</f>
        <v>758.42840319974152</v>
      </c>
      <c r="K91" s="4">
        <f>固定費!L13</f>
        <v>649.02449929362456</v>
      </c>
      <c r="L91" s="4">
        <f>固定費!M13</f>
        <v>571.98579094748175</v>
      </c>
      <c r="M91" s="4">
        <f>固定費!N13</f>
        <v>514.86744714403426</v>
      </c>
      <c r="N91" s="4">
        <f>固定費!O13</f>
        <v>470.87623174690566</v>
      </c>
    </row>
    <row r="92" spans="2:14">
      <c r="B92" s="9" t="s">
        <v>17</v>
      </c>
      <c r="C92" s="9" t="s">
        <v>23</v>
      </c>
      <c r="D92" s="16">
        <f t="shared" ref="D92" si="84">SUM(D93:D100)</f>
        <v>48526.675626800003</v>
      </c>
      <c r="E92" s="16">
        <f t="shared" ref="E92" si="85">SUM(E93:E100)</f>
        <v>23355.439600502999</v>
      </c>
      <c r="F92" s="16">
        <f t="shared" ref="F92" si="86">SUM(F93:F100)</f>
        <v>214425.30365410729</v>
      </c>
      <c r="G92" s="16">
        <f t="shared" ref="G92" si="87">SUM(G93:G100)</f>
        <v>525508.25441521534</v>
      </c>
      <c r="H92" s="16">
        <f t="shared" ref="H92" si="88">SUM(H93:H100)</f>
        <v>889759.93901465507</v>
      </c>
      <c r="I92" s="16">
        <f t="shared" ref="I92" si="89">SUM(I93:I100)</f>
        <v>1225293.9482598519</v>
      </c>
      <c r="J92" s="16">
        <f t="shared" ref="J92" si="90">SUM(J93:J100)</f>
        <v>1534468.7343949806</v>
      </c>
      <c r="K92" s="16">
        <f t="shared" ref="K92" si="91">SUM(K93:K100)</f>
        <v>1819435.8722107988</v>
      </c>
      <c r="L92" s="16">
        <f t="shared" ref="L92" si="92">SUM(L93:L100)</f>
        <v>2082159.5547619434</v>
      </c>
      <c r="M92" s="16">
        <f t="shared" ref="M92" si="93">SUM(M93:M100)</f>
        <v>2324434.122668555</v>
      </c>
      <c r="N92" s="16">
        <f t="shared" ref="N92" si="94">SUM(N93:N100)</f>
        <v>2547899.8368571671</v>
      </c>
    </row>
    <row r="93" spans="2:14">
      <c r="B93" s="8" t="s">
        <v>17</v>
      </c>
      <c r="C93" s="1" t="s">
        <v>21</v>
      </c>
      <c r="D93" s="4">
        <f>D75-D84</f>
        <v>9238.9227359999968</v>
      </c>
      <c r="E93" s="4">
        <f>E75-E84</f>
        <v>17230.104319243037</v>
      </c>
      <c r="F93" s="4">
        <f t="shared" ref="F93:N93" si="95">F75-F84</f>
        <v>176250.16166466256</v>
      </c>
      <c r="G93" s="4">
        <f t="shared" si="95"/>
        <v>441422.15489523677</v>
      </c>
      <c r="H93" s="4">
        <f t="shared" si="95"/>
        <v>749375.57079979288</v>
      </c>
      <c r="I93" s="4">
        <f t="shared" si="95"/>
        <v>1037070.9962845464</v>
      </c>
      <c r="J93" s="4">
        <f t="shared" si="95"/>
        <v>1305108.4435337996</v>
      </c>
      <c r="K93" s="4">
        <f t="shared" si="95"/>
        <v>1554616.3070823243</v>
      </c>
      <c r="L93" s="4">
        <f t="shared" si="95"/>
        <v>1786792.4779567723</v>
      </c>
      <c r="M93" s="4">
        <f t="shared" si="95"/>
        <v>2002803.3062242093</v>
      </c>
      <c r="N93" s="4">
        <f t="shared" si="95"/>
        <v>2203755.6336989007</v>
      </c>
    </row>
    <row r="94" spans="2:14">
      <c r="B94" s="8" t="s">
        <v>17</v>
      </c>
      <c r="C94" s="1" t="s">
        <v>24</v>
      </c>
      <c r="D94" s="4">
        <f>D76-D84</f>
        <v>18493.508559999998</v>
      </c>
      <c r="E94" s="4">
        <f t="shared" ref="E94:N94" si="96">E76-E85</f>
        <v>15577.761674503796</v>
      </c>
      <c r="F94" s="4">
        <f t="shared" si="96"/>
        <v>16788.437528715152</v>
      </c>
      <c r="G94" s="4">
        <f t="shared" si="96"/>
        <v>17487.629368368067</v>
      </c>
      <c r="H94" s="4">
        <f t="shared" si="96"/>
        <v>15837.748100369636</v>
      </c>
      <c r="I94" s="4">
        <f t="shared" si="96"/>
        <v>14011.747310895415</v>
      </c>
      <c r="J94" s="4">
        <f t="shared" si="96"/>
        <v>12274.446825383373</v>
      </c>
      <c r="K94" s="4">
        <f t="shared" si="96"/>
        <v>10687.336324140908</v>
      </c>
      <c r="L94" s="4">
        <f t="shared" si="96"/>
        <v>9260.6240373400215</v>
      </c>
      <c r="M94" s="4">
        <f t="shared" si="96"/>
        <v>7988.0985223246198</v>
      </c>
      <c r="N94" s="4">
        <f t="shared" si="96"/>
        <v>6857.9805593397814</v>
      </c>
    </row>
    <row r="95" spans="2:14">
      <c r="B95" s="8" t="s">
        <v>17</v>
      </c>
      <c r="C95" s="1" t="s">
        <v>25</v>
      </c>
      <c r="D95" s="4">
        <f t="shared" ref="D95:N95" si="97">D77-D86</f>
        <v>210.31396679999989</v>
      </c>
      <c r="E95" s="4">
        <f t="shared" si="97"/>
        <v>-2659.0134838724953</v>
      </c>
      <c r="F95" s="4">
        <f t="shared" si="97"/>
        <v>24084.641211232185</v>
      </c>
      <c r="G95" s="4">
        <f t="shared" si="97"/>
        <v>68479.877744631784</v>
      </c>
      <c r="H95" s="4">
        <f t="shared" si="97"/>
        <v>128996.59180777238</v>
      </c>
      <c r="I95" s="4">
        <f t="shared" si="97"/>
        <v>182421.68853499441</v>
      </c>
      <c r="J95" s="4">
        <f t="shared" si="97"/>
        <v>229507.38949466651</v>
      </c>
      <c r="K95" s="4">
        <f t="shared" si="97"/>
        <v>270984.49358494289</v>
      </c>
      <c r="L95" s="4">
        <f t="shared" si="97"/>
        <v>307513.76562784036</v>
      </c>
      <c r="M95" s="4">
        <f t="shared" si="97"/>
        <v>339682.82741699158</v>
      </c>
      <c r="N95" s="4">
        <f t="shared" si="97"/>
        <v>368011.37105310214</v>
      </c>
    </row>
    <row r="96" spans="2:14">
      <c r="B96" s="8" t="s">
        <v>17</v>
      </c>
      <c r="C96" s="1" t="s">
        <v>26</v>
      </c>
      <c r="D96" s="4">
        <f t="shared" ref="D96:N96" si="98">D78-D87</f>
        <v>-113.6664360000002</v>
      </c>
      <c r="E96" s="4">
        <f t="shared" si="98"/>
        <v>-5445.4046084440197</v>
      </c>
      <c r="F96" s="4">
        <f t="shared" si="98"/>
        <v>-11017.548793027276</v>
      </c>
      <c r="G96" s="4">
        <f t="shared" si="98"/>
        <v>-15584.376773608121</v>
      </c>
      <c r="H96" s="4">
        <f t="shared" si="98"/>
        <v>-20482.362362138665</v>
      </c>
      <c r="I96" s="4">
        <f t="shared" si="98"/>
        <v>-25347.04951459897</v>
      </c>
      <c r="J96" s="4">
        <f t="shared" si="98"/>
        <v>-30201.627253839673</v>
      </c>
      <c r="K96" s="4">
        <f t="shared" si="98"/>
        <v>-35053.20044907488</v>
      </c>
      <c r="L96" s="4">
        <f t="shared" si="98"/>
        <v>-39904.600282469575</v>
      </c>
      <c r="M96" s="4">
        <f t="shared" si="98"/>
        <v>-44757.119206846808</v>
      </c>
      <c r="N96" s="4">
        <f t="shared" si="98"/>
        <v>-49611.383145586355</v>
      </c>
    </row>
    <row r="97" spans="2:14">
      <c r="B97" s="8" t="s">
        <v>17</v>
      </c>
      <c r="C97" s="1" t="s">
        <v>27</v>
      </c>
      <c r="D97" s="4">
        <f t="shared" ref="D97:N97" si="99">D79-D88</f>
        <v>9263.7040000000015</v>
      </c>
      <c r="E97" s="4">
        <f t="shared" si="99"/>
        <v>1568.1409146976512</v>
      </c>
      <c r="F97" s="4">
        <f t="shared" si="99"/>
        <v>4942.8626289434469</v>
      </c>
      <c r="G97" s="4">
        <f t="shared" si="99"/>
        <v>6822.0564309283691</v>
      </c>
      <c r="H97" s="4">
        <f t="shared" si="99"/>
        <v>7635.1985485154728</v>
      </c>
      <c r="I97" s="4">
        <f t="shared" si="99"/>
        <v>8020.638101642835</v>
      </c>
      <c r="J97" s="4">
        <f t="shared" si="99"/>
        <v>8245.2733118546385</v>
      </c>
      <c r="K97" s="4">
        <f t="shared" si="99"/>
        <v>8392.1827533666165</v>
      </c>
      <c r="L97" s="4">
        <f t="shared" si="99"/>
        <v>8495.6316543093853</v>
      </c>
      <c r="M97" s="4">
        <f t="shared" si="99"/>
        <v>8572.3311475510018</v>
      </c>
      <c r="N97" s="4">
        <f t="shared" si="99"/>
        <v>8631.4033072700113</v>
      </c>
    </row>
    <row r="98" spans="2:14">
      <c r="B98" s="8" t="s">
        <v>17</v>
      </c>
      <c r="C98" s="1" t="s">
        <v>28</v>
      </c>
      <c r="D98" s="4">
        <f t="shared" ref="D98:N98" si="100">D80-D89</f>
        <v>-1045.9572000000001</v>
      </c>
      <c r="E98" s="4">
        <f t="shared" si="100"/>
        <v>-1205.7697578663187</v>
      </c>
      <c r="F98" s="4">
        <f t="shared" si="100"/>
        <v>-1135.6874385789006</v>
      </c>
      <c r="G98" s="4">
        <f t="shared" si="100"/>
        <v>-1096.6625141006232</v>
      </c>
      <c r="H98" s="4">
        <f t="shared" si="100"/>
        <v>-1079.77611861793</v>
      </c>
      <c r="I98" s="4">
        <f t="shared" si="100"/>
        <v>-1071.7717555576389</v>
      </c>
      <c r="J98" s="4">
        <f t="shared" si="100"/>
        <v>-1067.1067911966359</v>
      </c>
      <c r="K98" s="4">
        <f t="shared" si="100"/>
        <v>-1064.0559457467971</v>
      </c>
      <c r="L98" s="4">
        <f t="shared" si="100"/>
        <v>-1061.9076385618819</v>
      </c>
      <c r="M98" s="4">
        <f t="shared" si="100"/>
        <v>-1060.31483215303</v>
      </c>
      <c r="N98" s="4">
        <f t="shared" si="100"/>
        <v>-1059.0880898290782</v>
      </c>
    </row>
    <row r="99" spans="2:14">
      <c r="B99" s="8" t="s">
        <v>17</v>
      </c>
      <c r="C99" s="1" t="s">
        <v>29</v>
      </c>
      <c r="D99" s="4">
        <f t="shared" ref="D99:N99" si="101">D81-D90</f>
        <v>7439.6999999999989</v>
      </c>
      <c r="E99" s="4">
        <f t="shared" si="101"/>
        <v>-1019.6204322878111</v>
      </c>
      <c r="F99" s="4">
        <f t="shared" si="101"/>
        <v>2690.0304449986015</v>
      </c>
      <c r="G99" s="4">
        <f t="shared" si="101"/>
        <v>4755.7275680227176</v>
      </c>
      <c r="H99" s="4">
        <f t="shared" si="101"/>
        <v>5649.5711572976579</v>
      </c>
      <c r="I99" s="4">
        <f t="shared" si="101"/>
        <v>6073.264219265986</v>
      </c>
      <c r="J99" s="4">
        <f t="shared" si="101"/>
        <v>6320.1936775125496</v>
      </c>
      <c r="K99" s="4">
        <f t="shared" si="101"/>
        <v>6481.6833601391263</v>
      </c>
      <c r="L99" s="4">
        <f t="shared" si="101"/>
        <v>6595.3991976603902</v>
      </c>
      <c r="M99" s="4">
        <f t="shared" si="101"/>
        <v>6679.7108436222179</v>
      </c>
      <c r="N99" s="4">
        <f t="shared" si="101"/>
        <v>6744.6457057175958</v>
      </c>
    </row>
    <row r="100" spans="2:14">
      <c r="B100" s="8" t="s">
        <v>17</v>
      </c>
      <c r="C100" s="1" t="s">
        <v>30</v>
      </c>
      <c r="D100" s="4">
        <f t="shared" ref="D100:N100" si="102">D82-D91</f>
        <v>5040.1499999999978</v>
      </c>
      <c r="E100" s="4">
        <f t="shared" si="102"/>
        <v>-690.75902547084206</v>
      </c>
      <c r="F100" s="4">
        <f t="shared" si="102"/>
        <v>1822.406407161538</v>
      </c>
      <c r="G100" s="4">
        <f t="shared" si="102"/>
        <v>3221.8476957363455</v>
      </c>
      <c r="H100" s="4">
        <f t="shared" si="102"/>
        <v>3827.397081663747</v>
      </c>
      <c r="I100" s="4">
        <f t="shared" si="102"/>
        <v>4114.4350786635814</v>
      </c>
      <c r="J100" s="4">
        <f t="shared" si="102"/>
        <v>4281.7215968002565</v>
      </c>
      <c r="K100" s="4">
        <f t="shared" si="102"/>
        <v>4391.1255007063737</v>
      </c>
      <c r="L100" s="4">
        <f t="shared" si="102"/>
        <v>4468.1642090525165</v>
      </c>
      <c r="M100" s="4">
        <f t="shared" si="102"/>
        <v>4525.2825528559633</v>
      </c>
      <c r="N100" s="4">
        <f t="shared" si="102"/>
        <v>4569.2737682530924</v>
      </c>
    </row>
    <row r="101" spans="2:14">
      <c r="B101" s="10" t="s">
        <v>34</v>
      </c>
      <c r="C101" s="10" t="s">
        <v>23</v>
      </c>
      <c r="D101" s="11">
        <f>営業・一般管理費!E5</f>
        <v>71244.868560000003</v>
      </c>
      <c r="E101" s="11">
        <f>営業・一般管理費!F5</f>
        <v>107703.5619056</v>
      </c>
      <c r="F101" s="11">
        <f>営業・一般管理費!G5</f>
        <v>170283.27292812802</v>
      </c>
      <c r="G101" s="11">
        <f>営業・一般管理費!H5</f>
        <v>192422.18651275264</v>
      </c>
      <c r="H101" s="11">
        <f>営業・一般管理費!I5</f>
        <v>215088.35138322233</v>
      </c>
      <c r="I101" s="11">
        <f>営業・一般管理費!J5</f>
        <v>235818.80368463567</v>
      </c>
      <c r="J101" s="11">
        <f>営業・一般管理費!K5</f>
        <v>254832.93302020137</v>
      </c>
      <c r="K101" s="11">
        <f>営業・一般管理費!L5</f>
        <v>272324.70495409868</v>
      </c>
      <c r="L101" s="11">
        <f>営業・一般管理費!M5</f>
        <v>288465.64870622579</v>
      </c>
      <c r="M101" s="11">
        <f>営業・一般管理費!N5</f>
        <v>303407.4907468743</v>
      </c>
      <c r="N101" s="11">
        <f>営業・一般管理費!O5</f>
        <v>317284.47647370736</v>
      </c>
    </row>
    <row r="102" spans="2:14">
      <c r="B102" s="8" t="s">
        <v>34</v>
      </c>
      <c r="C102" s="1" t="s">
        <v>21</v>
      </c>
      <c r="D102" s="4">
        <f>営業・一般管理費!E6</f>
        <v>0</v>
      </c>
      <c r="E102" s="4">
        <f>営業・一般管理費!F6</f>
        <v>11000</v>
      </c>
      <c r="F102" s="4">
        <f>営業・一般管理費!G6</f>
        <v>41000</v>
      </c>
      <c r="G102" s="4">
        <f>営業・一般管理費!H6</f>
        <v>46000</v>
      </c>
      <c r="H102" s="4">
        <f>営業・一般管理費!I6</f>
        <v>51000</v>
      </c>
      <c r="I102" s="4">
        <f>営業・一般管理費!J6</f>
        <v>56000</v>
      </c>
      <c r="J102" s="4">
        <f>営業・一般管理費!K6</f>
        <v>61000</v>
      </c>
      <c r="K102" s="4">
        <f>営業・一般管理費!L6</f>
        <v>66000</v>
      </c>
      <c r="L102" s="4">
        <f>営業・一般管理費!M6</f>
        <v>71000</v>
      </c>
      <c r="M102" s="4">
        <f>営業・一般管理費!N6</f>
        <v>76000</v>
      </c>
      <c r="N102" s="4">
        <f>営業・一般管理費!O6</f>
        <v>81000</v>
      </c>
    </row>
    <row r="103" spans="2:14">
      <c r="B103" s="8" t="s">
        <v>34</v>
      </c>
      <c r="C103" s="1" t="s">
        <v>24</v>
      </c>
      <c r="D103" s="4">
        <f>営業・一般管理費!E7</f>
        <v>0</v>
      </c>
      <c r="E103" s="4">
        <f>営業・一般管理費!F7</f>
        <v>0</v>
      </c>
      <c r="F103" s="4">
        <f>営業・一般管理費!G7</f>
        <v>0</v>
      </c>
      <c r="G103" s="4">
        <f>営業・一般管理費!H7</f>
        <v>0</v>
      </c>
      <c r="H103" s="4">
        <f>営業・一般管理費!I7</f>
        <v>0</v>
      </c>
      <c r="I103" s="4">
        <f>営業・一般管理費!J7</f>
        <v>0</v>
      </c>
      <c r="J103" s="4">
        <f>営業・一般管理費!K7</f>
        <v>0</v>
      </c>
      <c r="K103" s="4">
        <f>営業・一般管理費!L7</f>
        <v>0</v>
      </c>
      <c r="L103" s="4">
        <f>営業・一般管理費!M7</f>
        <v>0</v>
      </c>
      <c r="M103" s="4">
        <f>営業・一般管理費!N7</f>
        <v>0</v>
      </c>
      <c r="N103" s="4">
        <f>営業・一般管理費!O7</f>
        <v>0</v>
      </c>
    </row>
    <row r="104" spans="2:14">
      <c r="B104" s="8" t="s">
        <v>34</v>
      </c>
      <c r="C104" s="1" t="s">
        <v>25</v>
      </c>
      <c r="D104" s="4">
        <f>営業・一般管理費!E8</f>
        <v>210.86856</v>
      </c>
      <c r="E104" s="4">
        <f>営業・一般管理費!F8</f>
        <v>4603.5619056000005</v>
      </c>
      <c r="F104" s="4">
        <f>営業・一般管理費!G8</f>
        <v>14252.352928128003</v>
      </c>
      <c r="G104" s="4">
        <f>営業・一般管理費!H8</f>
        <v>27429.390912752639</v>
      </c>
      <c r="H104" s="4">
        <f>営業・一般管理費!I8</f>
        <v>41411.011475222323</v>
      </c>
      <c r="I104" s="4">
        <f>営業・一般管理費!J8</f>
        <v>53714.837570195654</v>
      </c>
      <c r="J104" s="4">
        <f>営業・一般管理費!K8</f>
        <v>64542.204533772172</v>
      </c>
      <c r="K104" s="4">
        <f>営業・一般管理費!L8</f>
        <v>74070.287461719519</v>
      </c>
      <c r="L104" s="4">
        <f>営業・一般管理費!M8</f>
        <v>82455.000438313175</v>
      </c>
      <c r="M104" s="4">
        <f>営業・一般管理費!N8</f>
        <v>89833.547857715588</v>
      </c>
      <c r="N104" s="4">
        <f>営業・一般管理費!O8</f>
        <v>96326.669586789707</v>
      </c>
    </row>
    <row r="105" spans="2:14">
      <c r="B105" s="8" t="s">
        <v>34</v>
      </c>
      <c r="C105" s="1" t="s">
        <v>26</v>
      </c>
      <c r="D105" s="4">
        <f>営業・一般管理費!E9</f>
        <v>0</v>
      </c>
      <c r="E105" s="4">
        <f>営業・一般管理費!F9</f>
        <v>0</v>
      </c>
      <c r="F105" s="4">
        <f>営業・一般管理費!G9</f>
        <v>0</v>
      </c>
      <c r="G105" s="4">
        <f>営業・一般管理費!H9</f>
        <v>0</v>
      </c>
      <c r="H105" s="4">
        <f>営業・一般管理費!I9</f>
        <v>0</v>
      </c>
      <c r="I105" s="4">
        <f>営業・一般管理費!J9</f>
        <v>0</v>
      </c>
      <c r="J105" s="4">
        <f>営業・一般管理費!K9</f>
        <v>0</v>
      </c>
      <c r="K105" s="4">
        <f>営業・一般管理費!L9</f>
        <v>0</v>
      </c>
      <c r="L105" s="4">
        <f>営業・一般管理費!M9</f>
        <v>0</v>
      </c>
      <c r="M105" s="4">
        <f>営業・一般管理費!N9</f>
        <v>0</v>
      </c>
      <c r="N105" s="4">
        <f>営業・一般管理費!O9</f>
        <v>0</v>
      </c>
    </row>
    <row r="106" spans="2:14">
      <c r="B106" s="8" t="s">
        <v>34</v>
      </c>
      <c r="C106" s="1" t="s">
        <v>27</v>
      </c>
      <c r="D106" s="4">
        <f>営業・一般管理費!E10</f>
        <v>0</v>
      </c>
      <c r="E106" s="4">
        <f>営業・一般管理費!F10</f>
        <v>10370</v>
      </c>
      <c r="F106" s="4">
        <f>営業・一般管理費!G10</f>
        <v>10600</v>
      </c>
      <c r="G106" s="4">
        <f>営業・一般管理費!H10</f>
        <v>10600</v>
      </c>
      <c r="H106" s="4">
        <f>営業・一般管理費!I10</f>
        <v>10600</v>
      </c>
      <c r="I106" s="4">
        <f>営業・一般管理費!J10</f>
        <v>10600</v>
      </c>
      <c r="J106" s="4">
        <f>営業・一般管理費!K10</f>
        <v>10600</v>
      </c>
      <c r="K106" s="4">
        <f>営業・一般管理費!L10</f>
        <v>10600</v>
      </c>
      <c r="L106" s="4">
        <f>営業・一般管理費!M10</f>
        <v>10600</v>
      </c>
      <c r="M106" s="4">
        <f>営業・一般管理費!N10</f>
        <v>10600</v>
      </c>
      <c r="N106" s="4">
        <f>営業・一般管理費!O10</f>
        <v>10600</v>
      </c>
    </row>
    <row r="107" spans="2:14">
      <c r="B107" s="8" t="s">
        <v>34</v>
      </c>
      <c r="C107" s="1" t="s">
        <v>28</v>
      </c>
      <c r="D107" s="4">
        <f>営業・一般管理費!E11</f>
        <v>0</v>
      </c>
      <c r="E107" s="4">
        <f>営業・一般管理費!F11</f>
        <v>0</v>
      </c>
      <c r="F107" s="4">
        <f>営業・一般管理費!G11</f>
        <v>0</v>
      </c>
      <c r="G107" s="4">
        <f>営業・一般管理費!H11</f>
        <v>0</v>
      </c>
      <c r="H107" s="4">
        <f>営業・一般管理費!I11</f>
        <v>0</v>
      </c>
      <c r="I107" s="4">
        <f>営業・一般管理費!J11</f>
        <v>0</v>
      </c>
      <c r="J107" s="4">
        <f>営業・一般管理費!K11</f>
        <v>0</v>
      </c>
      <c r="K107" s="4">
        <f>営業・一般管理費!L11</f>
        <v>0</v>
      </c>
      <c r="L107" s="4">
        <f>営業・一般管理費!M11</f>
        <v>0</v>
      </c>
      <c r="M107" s="4">
        <f>営業・一般管理費!N11</f>
        <v>0</v>
      </c>
      <c r="N107" s="4">
        <f>営業・一般管理費!O11</f>
        <v>0</v>
      </c>
    </row>
    <row r="108" spans="2:14">
      <c r="B108" s="8" t="s">
        <v>34</v>
      </c>
      <c r="C108" s="1" t="s">
        <v>29</v>
      </c>
      <c r="D108" s="4">
        <f>営業・一般管理費!E12</f>
        <v>0</v>
      </c>
      <c r="E108" s="4">
        <f>営業・一般管理費!F12</f>
        <v>0</v>
      </c>
      <c r="F108" s="4">
        <f>営業・一般管理費!G12</f>
        <v>0</v>
      </c>
      <c r="G108" s="4">
        <f>営業・一般管理費!H12</f>
        <v>0</v>
      </c>
      <c r="H108" s="4">
        <f>営業・一般管理費!I12</f>
        <v>0</v>
      </c>
      <c r="I108" s="4">
        <f>営業・一般管理費!J12</f>
        <v>0</v>
      </c>
      <c r="J108" s="4">
        <f>営業・一般管理費!K12</f>
        <v>0</v>
      </c>
      <c r="K108" s="4">
        <f>営業・一般管理費!L12</f>
        <v>0</v>
      </c>
      <c r="L108" s="4">
        <f>営業・一般管理費!M12</f>
        <v>0</v>
      </c>
      <c r="M108" s="4">
        <f>営業・一般管理費!N12</f>
        <v>0</v>
      </c>
      <c r="N108" s="4">
        <f>営業・一般管理費!O12</f>
        <v>0</v>
      </c>
    </row>
    <row r="109" spans="2:14">
      <c r="B109" s="8" t="s">
        <v>34</v>
      </c>
      <c r="C109" s="1" t="s">
        <v>30</v>
      </c>
      <c r="D109" s="4">
        <f>営業・一般管理費!E13</f>
        <v>0</v>
      </c>
      <c r="E109" s="4">
        <f>営業・一般管理費!F13</f>
        <v>0</v>
      </c>
      <c r="F109" s="4">
        <f>営業・一般管理費!G13</f>
        <v>0</v>
      </c>
      <c r="G109" s="4">
        <f>営業・一般管理費!H13</f>
        <v>0</v>
      </c>
      <c r="H109" s="4">
        <f>営業・一般管理費!I13</f>
        <v>0</v>
      </c>
      <c r="I109" s="4">
        <f>営業・一般管理費!J13</f>
        <v>0</v>
      </c>
      <c r="J109" s="4">
        <f>営業・一般管理費!K13</f>
        <v>0</v>
      </c>
      <c r="K109" s="4">
        <f>営業・一般管理費!L13</f>
        <v>0</v>
      </c>
      <c r="L109" s="4">
        <f>営業・一般管理費!M13</f>
        <v>0</v>
      </c>
      <c r="M109" s="4">
        <f>営業・一般管理費!N13</f>
        <v>0</v>
      </c>
      <c r="N109" s="4">
        <f>営業・一般管理費!O13</f>
        <v>0</v>
      </c>
    </row>
    <row r="110" spans="2:14">
      <c r="B110" s="9" t="s">
        <v>19</v>
      </c>
      <c r="C110" s="9" t="s">
        <v>23</v>
      </c>
      <c r="D110" s="16">
        <f t="shared" ref="D110" si="103">SUM(D111:D118)</f>
        <v>48315.8070668</v>
      </c>
      <c r="E110" s="16">
        <f t="shared" ref="E110" si="104">SUM(E111:E118)</f>
        <v>-2618.1223050970025</v>
      </c>
      <c r="F110" s="16">
        <f t="shared" ref="F110" si="105">SUM(F111:F118)</f>
        <v>148572.95072597932</v>
      </c>
      <c r="G110" s="16">
        <f t="shared" ref="G110" si="106">SUM(G111:G118)</f>
        <v>441478.86350246269</v>
      </c>
      <c r="H110" s="16">
        <f t="shared" ref="H110" si="107">SUM(H111:H118)</f>
        <v>786748.92753943277</v>
      </c>
      <c r="I110" s="16">
        <f t="shared" ref="I110" si="108">SUM(I111:I118)</f>
        <v>1104979.1106896563</v>
      </c>
      <c r="J110" s="16">
        <f t="shared" ref="J110" si="109">SUM(J111:J118)</f>
        <v>1398326.5298612083</v>
      </c>
      <c r="K110" s="16">
        <f t="shared" ref="K110" si="110">SUM(K111:K118)</f>
        <v>1668765.5847490788</v>
      </c>
      <c r="L110" s="16">
        <f t="shared" ref="L110" si="111">SUM(L111:L118)</f>
        <v>1918104.5543236304</v>
      </c>
      <c r="M110" s="16">
        <f t="shared" ref="M110" si="112">SUM(M111:M118)</f>
        <v>2148000.5748108397</v>
      </c>
      <c r="N110" s="16">
        <f t="shared" ref="N110" si="113">SUM(N111:N118)</f>
        <v>2359973.1672703773</v>
      </c>
    </row>
    <row r="111" spans="2:14">
      <c r="B111" s="8" t="s">
        <v>19</v>
      </c>
      <c r="C111" s="1" t="s">
        <v>21</v>
      </c>
      <c r="D111" s="4">
        <f t="shared" ref="D111:N111" si="114">D93-D102</f>
        <v>9238.9227359999968</v>
      </c>
      <c r="E111" s="4">
        <f t="shared" si="114"/>
        <v>6230.104319243037</v>
      </c>
      <c r="F111" s="4">
        <f t="shared" si="114"/>
        <v>135250.16166466256</v>
      </c>
      <c r="G111" s="4">
        <f t="shared" si="114"/>
        <v>395422.15489523677</v>
      </c>
      <c r="H111" s="4">
        <f t="shared" si="114"/>
        <v>698375.57079979288</v>
      </c>
      <c r="I111" s="4">
        <f t="shared" si="114"/>
        <v>981070.99628454645</v>
      </c>
      <c r="J111" s="4">
        <f t="shared" si="114"/>
        <v>1244108.4435337996</v>
      </c>
      <c r="K111" s="4">
        <f t="shared" si="114"/>
        <v>1488616.3070823243</v>
      </c>
      <c r="L111" s="4">
        <f t="shared" si="114"/>
        <v>1715792.4779567723</v>
      </c>
      <c r="M111" s="4">
        <f t="shared" si="114"/>
        <v>1926803.3062242093</v>
      </c>
      <c r="N111" s="4">
        <f t="shared" si="114"/>
        <v>2122755.6336989007</v>
      </c>
    </row>
    <row r="112" spans="2:14">
      <c r="B112" s="8" t="s">
        <v>19</v>
      </c>
      <c r="C112" s="1" t="s">
        <v>24</v>
      </c>
      <c r="D112" s="4">
        <f t="shared" ref="D112:N112" si="115">D94-D103</f>
        <v>18493.508559999998</v>
      </c>
      <c r="E112" s="4">
        <f t="shared" si="115"/>
        <v>15577.761674503796</v>
      </c>
      <c r="F112" s="4">
        <f t="shared" si="115"/>
        <v>16788.437528715152</v>
      </c>
      <c r="G112" s="4">
        <f t="shared" si="115"/>
        <v>17487.629368368067</v>
      </c>
      <c r="H112" s="4">
        <f t="shared" si="115"/>
        <v>15837.748100369636</v>
      </c>
      <c r="I112" s="4">
        <f t="shared" si="115"/>
        <v>14011.747310895415</v>
      </c>
      <c r="J112" s="4">
        <f t="shared" si="115"/>
        <v>12274.446825383373</v>
      </c>
      <c r="K112" s="4">
        <f t="shared" si="115"/>
        <v>10687.336324140908</v>
      </c>
      <c r="L112" s="4">
        <f t="shared" si="115"/>
        <v>9260.6240373400215</v>
      </c>
      <c r="M112" s="4">
        <f t="shared" si="115"/>
        <v>7988.0985223246198</v>
      </c>
      <c r="N112" s="4">
        <f t="shared" si="115"/>
        <v>6857.9805593397814</v>
      </c>
    </row>
    <row r="113" spans="2:14">
      <c r="B113" s="8" t="s">
        <v>19</v>
      </c>
      <c r="C113" s="1" t="s">
        <v>25</v>
      </c>
      <c r="D113" s="4">
        <f t="shared" ref="D113:N113" si="116">D95-D104</f>
        <v>-0.55459320000011303</v>
      </c>
      <c r="E113" s="4">
        <f t="shared" si="116"/>
        <v>-7262.5753894724958</v>
      </c>
      <c r="F113" s="4">
        <f t="shared" si="116"/>
        <v>9832.2882831041825</v>
      </c>
      <c r="G113" s="4">
        <f t="shared" si="116"/>
        <v>41050.486831879141</v>
      </c>
      <c r="H113" s="4">
        <f t="shared" si="116"/>
        <v>87585.580332550046</v>
      </c>
      <c r="I113" s="4">
        <f t="shared" si="116"/>
        <v>128706.85096479875</v>
      </c>
      <c r="J113" s="4">
        <f t="shared" si="116"/>
        <v>164965.18496089434</v>
      </c>
      <c r="K113" s="4">
        <f t="shared" si="116"/>
        <v>196914.20612322335</v>
      </c>
      <c r="L113" s="4">
        <f t="shared" si="116"/>
        <v>225058.76518952718</v>
      </c>
      <c r="M113" s="4">
        <f t="shared" si="116"/>
        <v>249849.27955927601</v>
      </c>
      <c r="N113" s="4">
        <f t="shared" si="116"/>
        <v>271684.7014663124</v>
      </c>
    </row>
    <row r="114" spans="2:14">
      <c r="B114" s="8" t="s">
        <v>19</v>
      </c>
      <c r="C114" s="1" t="s">
        <v>26</v>
      </c>
      <c r="D114" s="4">
        <f t="shared" ref="D114:N114" si="117">D96-D105</f>
        <v>-113.6664360000002</v>
      </c>
      <c r="E114" s="4">
        <f t="shared" si="117"/>
        <v>-5445.4046084440197</v>
      </c>
      <c r="F114" s="4">
        <f t="shared" si="117"/>
        <v>-11017.548793027276</v>
      </c>
      <c r="G114" s="4">
        <f t="shared" si="117"/>
        <v>-15584.376773608121</v>
      </c>
      <c r="H114" s="4">
        <f t="shared" si="117"/>
        <v>-20482.362362138665</v>
      </c>
      <c r="I114" s="4">
        <f t="shared" si="117"/>
        <v>-25347.04951459897</v>
      </c>
      <c r="J114" s="4">
        <f t="shared" si="117"/>
        <v>-30201.627253839673</v>
      </c>
      <c r="K114" s="4">
        <f t="shared" si="117"/>
        <v>-35053.20044907488</v>
      </c>
      <c r="L114" s="4">
        <f t="shared" si="117"/>
        <v>-39904.600282469575</v>
      </c>
      <c r="M114" s="4">
        <f t="shared" si="117"/>
        <v>-44757.119206846808</v>
      </c>
      <c r="N114" s="4">
        <f t="shared" si="117"/>
        <v>-49611.383145586355</v>
      </c>
    </row>
    <row r="115" spans="2:14">
      <c r="B115" s="8" t="s">
        <v>19</v>
      </c>
      <c r="C115" s="1" t="s">
        <v>27</v>
      </c>
      <c r="D115" s="4">
        <f t="shared" ref="D115:N115" si="118">D97-D106</f>
        <v>9263.7040000000015</v>
      </c>
      <c r="E115" s="4">
        <f t="shared" si="118"/>
        <v>-8801.8590853023488</v>
      </c>
      <c r="F115" s="4">
        <f t="shared" si="118"/>
        <v>-5657.1373710565531</v>
      </c>
      <c r="G115" s="4">
        <f t="shared" si="118"/>
        <v>-3777.9435690716309</v>
      </c>
      <c r="H115" s="4">
        <f t="shared" si="118"/>
        <v>-2964.8014514845272</v>
      </c>
      <c r="I115" s="4">
        <f t="shared" si="118"/>
        <v>-2579.361898357165</v>
      </c>
      <c r="J115" s="4">
        <f t="shared" si="118"/>
        <v>-2354.7266881453615</v>
      </c>
      <c r="K115" s="4">
        <f t="shared" si="118"/>
        <v>-2207.8172466333835</v>
      </c>
      <c r="L115" s="4">
        <f t="shared" si="118"/>
        <v>-2104.3683456906147</v>
      </c>
      <c r="M115" s="4">
        <f t="shared" si="118"/>
        <v>-2027.6688524489982</v>
      </c>
      <c r="N115" s="4">
        <f t="shared" si="118"/>
        <v>-1968.5966927299887</v>
      </c>
    </row>
    <row r="116" spans="2:14">
      <c r="B116" s="8" t="s">
        <v>19</v>
      </c>
      <c r="C116" s="1" t="s">
        <v>28</v>
      </c>
      <c r="D116" s="4">
        <f>D98-D107</f>
        <v>-1045.9572000000001</v>
      </c>
      <c r="E116" s="4">
        <f t="shared" ref="E116:N116" si="119">E98-E107</f>
        <v>-1205.7697578663187</v>
      </c>
      <c r="F116" s="4">
        <f t="shared" si="119"/>
        <v>-1135.6874385789006</v>
      </c>
      <c r="G116" s="4">
        <f t="shared" si="119"/>
        <v>-1096.6625141006232</v>
      </c>
      <c r="H116" s="4">
        <f t="shared" si="119"/>
        <v>-1079.77611861793</v>
      </c>
      <c r="I116" s="4">
        <f t="shared" si="119"/>
        <v>-1071.7717555576389</v>
      </c>
      <c r="J116" s="4">
        <f t="shared" si="119"/>
        <v>-1067.1067911966359</v>
      </c>
      <c r="K116" s="4">
        <f t="shared" si="119"/>
        <v>-1064.0559457467971</v>
      </c>
      <c r="L116" s="4">
        <f t="shared" si="119"/>
        <v>-1061.9076385618819</v>
      </c>
      <c r="M116" s="4">
        <f t="shared" si="119"/>
        <v>-1060.31483215303</v>
      </c>
      <c r="N116" s="4">
        <f t="shared" si="119"/>
        <v>-1059.0880898290782</v>
      </c>
    </row>
    <row r="117" spans="2:14">
      <c r="B117" s="8" t="s">
        <v>19</v>
      </c>
      <c r="C117" s="1" t="s">
        <v>29</v>
      </c>
      <c r="D117" s="4">
        <f>D99-D108</f>
        <v>7439.6999999999989</v>
      </c>
      <c r="E117" s="4">
        <f t="shared" ref="E117:N117" si="120">E99-E108</f>
        <v>-1019.6204322878111</v>
      </c>
      <c r="F117" s="4">
        <f t="shared" si="120"/>
        <v>2690.0304449986015</v>
      </c>
      <c r="G117" s="4">
        <f t="shared" si="120"/>
        <v>4755.7275680227176</v>
      </c>
      <c r="H117" s="4">
        <f t="shared" si="120"/>
        <v>5649.5711572976579</v>
      </c>
      <c r="I117" s="4">
        <f t="shared" si="120"/>
        <v>6073.264219265986</v>
      </c>
      <c r="J117" s="4">
        <f t="shared" si="120"/>
        <v>6320.1936775125496</v>
      </c>
      <c r="K117" s="4">
        <f t="shared" si="120"/>
        <v>6481.6833601391263</v>
      </c>
      <c r="L117" s="4">
        <f t="shared" si="120"/>
        <v>6595.3991976603902</v>
      </c>
      <c r="M117" s="4">
        <f t="shared" si="120"/>
        <v>6679.7108436222179</v>
      </c>
      <c r="N117" s="4">
        <f t="shared" si="120"/>
        <v>6744.6457057175958</v>
      </c>
    </row>
    <row r="118" spans="2:14">
      <c r="B118" s="8" t="s">
        <v>19</v>
      </c>
      <c r="C118" s="1" t="s">
        <v>30</v>
      </c>
      <c r="D118" s="4">
        <f>D100-D109</f>
        <v>5040.1499999999978</v>
      </c>
      <c r="E118" s="4">
        <f t="shared" ref="E118:N118" si="121">E100-E109</f>
        <v>-690.75902547084206</v>
      </c>
      <c r="F118" s="4">
        <f t="shared" si="121"/>
        <v>1822.406407161538</v>
      </c>
      <c r="G118" s="4">
        <f t="shared" si="121"/>
        <v>3221.8476957363455</v>
      </c>
      <c r="H118" s="4">
        <f t="shared" si="121"/>
        <v>3827.397081663747</v>
      </c>
      <c r="I118" s="4">
        <f t="shared" si="121"/>
        <v>4114.4350786635814</v>
      </c>
      <c r="J118" s="4">
        <f t="shared" si="121"/>
        <v>4281.7215968002565</v>
      </c>
      <c r="K118" s="4">
        <f t="shared" si="121"/>
        <v>4391.1255007063737</v>
      </c>
      <c r="L118" s="4">
        <f t="shared" si="121"/>
        <v>4468.1642090525165</v>
      </c>
      <c r="M118" s="4">
        <f t="shared" si="121"/>
        <v>4525.2825528559633</v>
      </c>
      <c r="N118" s="4">
        <f t="shared" si="121"/>
        <v>4569.2737682530924</v>
      </c>
    </row>
    <row r="119" spans="2:14">
      <c r="B119" s="17" t="s">
        <v>16</v>
      </c>
      <c r="C119" s="17" t="s">
        <v>23</v>
      </c>
      <c r="D119" s="18">
        <f>D74/D38</f>
        <v>0.36541311395430803</v>
      </c>
      <c r="E119" s="18">
        <f t="shared" ref="E119:N119" si="122">E74/E38</f>
        <v>0.42655870577232308</v>
      </c>
      <c r="F119" s="18">
        <f t="shared" si="122"/>
        <v>0.46876484957751452</v>
      </c>
      <c r="G119" s="18">
        <f t="shared" si="122"/>
        <v>0.48340521600185538</v>
      </c>
      <c r="H119" s="18">
        <f t="shared" si="122"/>
        <v>0.48921859112186761</v>
      </c>
      <c r="I119" s="18">
        <f t="shared" si="122"/>
        <v>0.49115724127290428</v>
      </c>
      <c r="J119" s="18">
        <f t="shared" si="122"/>
        <v>0.49163569568445709</v>
      </c>
      <c r="K119" s="18">
        <f t="shared" si="122"/>
        <v>0.49140565847083012</v>
      </c>
      <c r="L119" s="18">
        <f t="shared" si="122"/>
        <v>0.49077729281279087</v>
      </c>
      <c r="M119" s="18">
        <f t="shared" si="122"/>
        <v>0.48990199512229982</v>
      </c>
      <c r="N119" s="18">
        <f t="shared" si="122"/>
        <v>0.48886253868039004</v>
      </c>
    </row>
    <row r="120" spans="2:14">
      <c r="B120" s="8" t="s">
        <v>16</v>
      </c>
      <c r="C120" s="1" t="s">
        <v>21</v>
      </c>
      <c r="D120" s="6">
        <f t="shared" ref="D120:N120" si="123">D75/D39</f>
        <v>0.53055208333333326</v>
      </c>
      <c r="E120" s="6">
        <f t="shared" si="123"/>
        <v>0.53055208333333326</v>
      </c>
      <c r="F120" s="6">
        <f t="shared" si="123"/>
        <v>0.53055208333333326</v>
      </c>
      <c r="G120" s="6">
        <f t="shared" si="123"/>
        <v>0.53055208333333326</v>
      </c>
      <c r="H120" s="6">
        <f t="shared" si="123"/>
        <v>0.53055208333333326</v>
      </c>
      <c r="I120" s="6">
        <f t="shared" si="123"/>
        <v>0.53055208333333326</v>
      </c>
      <c r="J120" s="6">
        <f t="shared" si="123"/>
        <v>0.53055208333333326</v>
      </c>
      <c r="K120" s="6">
        <f t="shared" si="123"/>
        <v>0.53055208333333326</v>
      </c>
      <c r="L120" s="6">
        <f t="shared" si="123"/>
        <v>0.53055208333333326</v>
      </c>
      <c r="M120" s="6">
        <f t="shared" si="123"/>
        <v>0.53055208333333326</v>
      </c>
      <c r="N120" s="6">
        <f t="shared" si="123"/>
        <v>0.53055208333333326</v>
      </c>
    </row>
    <row r="121" spans="2:14">
      <c r="B121" s="8" t="s">
        <v>16</v>
      </c>
      <c r="C121" s="1" t="s">
        <v>24</v>
      </c>
      <c r="D121" s="6">
        <f t="shared" ref="D121:N121" si="124">D76/D40</f>
        <v>0.52600000000000002</v>
      </c>
      <c r="E121" s="6">
        <f t="shared" si="124"/>
        <v>0.52599999999999991</v>
      </c>
      <c r="F121" s="6">
        <f t="shared" si="124"/>
        <v>0.52600000000000002</v>
      </c>
      <c r="G121" s="6">
        <f t="shared" si="124"/>
        <v>0.52600000000000002</v>
      </c>
      <c r="H121" s="6">
        <f t="shared" si="124"/>
        <v>0.52600000000000002</v>
      </c>
      <c r="I121" s="6">
        <f t="shared" si="124"/>
        <v>0.52599999999999991</v>
      </c>
      <c r="J121" s="6">
        <f t="shared" si="124"/>
        <v>0.52599999999999991</v>
      </c>
      <c r="K121" s="6">
        <f t="shared" si="124"/>
        <v>0.52600000000000002</v>
      </c>
      <c r="L121" s="6">
        <f t="shared" si="124"/>
        <v>0.52599999999999991</v>
      </c>
      <c r="M121" s="6">
        <f t="shared" si="124"/>
        <v>0.52600000000000002</v>
      </c>
      <c r="N121" s="6">
        <f t="shared" si="124"/>
        <v>0.52599999999999991</v>
      </c>
    </row>
    <row r="122" spans="2:14">
      <c r="B122" s="8" t="s">
        <v>16</v>
      </c>
      <c r="C122" s="1" t="s">
        <v>25</v>
      </c>
      <c r="D122" s="6">
        <f t="shared" ref="D122:N122" si="125">D77/D41</f>
        <v>0.60669999999999991</v>
      </c>
      <c r="E122" s="6">
        <f t="shared" si="125"/>
        <v>0.60670000000000002</v>
      </c>
      <c r="F122" s="6">
        <f t="shared" si="125"/>
        <v>0.60669999999999991</v>
      </c>
      <c r="G122" s="6">
        <f t="shared" si="125"/>
        <v>0.60669999999999991</v>
      </c>
      <c r="H122" s="6">
        <f t="shared" si="125"/>
        <v>0.60670000000000002</v>
      </c>
      <c r="I122" s="6">
        <f t="shared" si="125"/>
        <v>0.60670000000000002</v>
      </c>
      <c r="J122" s="6">
        <f t="shared" si="125"/>
        <v>0.60670000000000013</v>
      </c>
      <c r="K122" s="6">
        <f t="shared" si="125"/>
        <v>0.60670000000000002</v>
      </c>
      <c r="L122" s="6">
        <f t="shared" si="125"/>
        <v>0.60670000000000002</v>
      </c>
      <c r="M122" s="6">
        <f t="shared" si="125"/>
        <v>0.60670000000000002</v>
      </c>
      <c r="N122" s="6">
        <f t="shared" si="125"/>
        <v>0.60669999999999991</v>
      </c>
    </row>
    <row r="123" spans="2:14">
      <c r="B123" s="8" t="s">
        <v>16</v>
      </c>
      <c r="C123" s="1" t="s">
        <v>26</v>
      </c>
      <c r="D123" s="6">
        <f t="shared" ref="D123:N123" si="126">D78/D42</f>
        <v>0.1429999999999999</v>
      </c>
      <c r="E123" s="6">
        <f t="shared" si="126"/>
        <v>0.14299999999999996</v>
      </c>
      <c r="F123" s="6">
        <f t="shared" si="126"/>
        <v>0.14299999999999993</v>
      </c>
      <c r="G123" s="6">
        <f t="shared" si="126"/>
        <v>0.14299999999999985</v>
      </c>
      <c r="H123" s="6">
        <f t="shared" si="126"/>
        <v>0.14299999999999988</v>
      </c>
      <c r="I123" s="6">
        <f t="shared" si="126"/>
        <v>0.1429999999999999</v>
      </c>
      <c r="J123" s="6">
        <f t="shared" si="126"/>
        <v>0.1429999999999999</v>
      </c>
      <c r="K123" s="6">
        <f t="shared" si="126"/>
        <v>0.14299999999999985</v>
      </c>
      <c r="L123" s="6">
        <f t="shared" si="126"/>
        <v>0.14299999999999996</v>
      </c>
      <c r="M123" s="6">
        <f t="shared" si="126"/>
        <v>0.14299999999999982</v>
      </c>
      <c r="N123" s="6">
        <f t="shared" si="126"/>
        <v>0.14299999999999988</v>
      </c>
    </row>
    <row r="124" spans="2:14">
      <c r="B124" s="8" t="s">
        <v>16</v>
      </c>
      <c r="C124" s="1" t="s">
        <v>27</v>
      </c>
      <c r="D124" s="6">
        <f t="shared" ref="D124:N124" si="127">D79/D43</f>
        <v>0.47670000000000001</v>
      </c>
      <c r="E124" s="6">
        <f t="shared" si="127"/>
        <v>0.47670000000000001</v>
      </c>
      <c r="F124" s="6">
        <f t="shared" si="127"/>
        <v>0.47670000000000001</v>
      </c>
      <c r="G124" s="6">
        <f t="shared" si="127"/>
        <v>0.47670000000000001</v>
      </c>
      <c r="H124" s="6">
        <f t="shared" si="127"/>
        <v>0.47670000000000001</v>
      </c>
      <c r="I124" s="6">
        <f t="shared" si="127"/>
        <v>0.47670000000000001</v>
      </c>
      <c r="J124" s="6">
        <f t="shared" si="127"/>
        <v>0.47670000000000001</v>
      </c>
      <c r="K124" s="6">
        <f t="shared" si="127"/>
        <v>0.47670000000000001</v>
      </c>
      <c r="L124" s="6">
        <f t="shared" si="127"/>
        <v>0.47670000000000001</v>
      </c>
      <c r="M124" s="6">
        <f t="shared" si="127"/>
        <v>0.47670000000000001</v>
      </c>
      <c r="N124" s="6">
        <f t="shared" si="127"/>
        <v>0.47670000000000001</v>
      </c>
    </row>
    <row r="125" spans="2:14">
      <c r="B125" s="8" t="s">
        <v>16</v>
      </c>
      <c r="C125" s="1" t="s">
        <v>28</v>
      </c>
      <c r="D125" s="6">
        <f t="shared" ref="D125:N125" si="128">D80/D44</f>
        <v>0.16439999999999988</v>
      </c>
      <c r="E125" s="6">
        <f t="shared" si="128"/>
        <v>0.16439999999999988</v>
      </c>
      <c r="F125" s="6">
        <f t="shared" si="128"/>
        <v>0.16439999999999988</v>
      </c>
      <c r="G125" s="6">
        <f t="shared" si="128"/>
        <v>0.16439999999999988</v>
      </c>
      <c r="H125" s="6">
        <f t="shared" si="128"/>
        <v>0.16439999999999988</v>
      </c>
      <c r="I125" s="6">
        <f t="shared" si="128"/>
        <v>0.16439999999999988</v>
      </c>
      <c r="J125" s="6">
        <f t="shared" si="128"/>
        <v>0.16439999999999988</v>
      </c>
      <c r="K125" s="6">
        <f t="shared" si="128"/>
        <v>0.16439999999999988</v>
      </c>
      <c r="L125" s="6">
        <f t="shared" si="128"/>
        <v>0.16439999999999988</v>
      </c>
      <c r="M125" s="6">
        <f t="shared" si="128"/>
        <v>0.16439999999999988</v>
      </c>
      <c r="N125" s="6">
        <f t="shared" si="128"/>
        <v>0.16439999999999988</v>
      </c>
    </row>
    <row r="126" spans="2:14">
      <c r="B126" s="8" t="s">
        <v>16</v>
      </c>
      <c r="C126" s="1" t="s">
        <v>29</v>
      </c>
      <c r="D126" s="6">
        <f t="shared" ref="D126:N126" si="129">D81/D45</f>
        <v>0.14999999999999997</v>
      </c>
      <c r="E126" s="6">
        <f t="shared" si="129"/>
        <v>0.14999999999999997</v>
      </c>
      <c r="F126" s="6">
        <f t="shared" si="129"/>
        <v>0.14999999999999997</v>
      </c>
      <c r="G126" s="6">
        <f t="shared" si="129"/>
        <v>0.14999999999999997</v>
      </c>
      <c r="H126" s="6">
        <f t="shared" si="129"/>
        <v>0.14999999999999997</v>
      </c>
      <c r="I126" s="6">
        <f t="shared" si="129"/>
        <v>0.14999999999999997</v>
      </c>
      <c r="J126" s="6">
        <f t="shared" si="129"/>
        <v>0.14999999999999997</v>
      </c>
      <c r="K126" s="6">
        <f t="shared" si="129"/>
        <v>0.14999999999999997</v>
      </c>
      <c r="L126" s="6">
        <f t="shared" si="129"/>
        <v>0.14999999999999997</v>
      </c>
      <c r="M126" s="6">
        <f t="shared" si="129"/>
        <v>0.14999999999999997</v>
      </c>
      <c r="N126" s="6">
        <f t="shared" si="129"/>
        <v>0.14999999999999997</v>
      </c>
    </row>
    <row r="127" spans="2:14">
      <c r="B127" s="8" t="s">
        <v>16</v>
      </c>
      <c r="C127" s="1" t="s">
        <v>30</v>
      </c>
      <c r="D127" s="6">
        <f t="shared" ref="D127:N127" si="130">D82/D46</f>
        <v>0.14999999999999994</v>
      </c>
      <c r="E127" s="6">
        <f t="shared" si="130"/>
        <v>0.14999999999999994</v>
      </c>
      <c r="F127" s="6">
        <f t="shared" si="130"/>
        <v>0.14999999999999994</v>
      </c>
      <c r="G127" s="6">
        <f t="shared" si="130"/>
        <v>0.14999999999999994</v>
      </c>
      <c r="H127" s="6">
        <f t="shared" si="130"/>
        <v>0.14999999999999994</v>
      </c>
      <c r="I127" s="6">
        <f t="shared" si="130"/>
        <v>0.14999999999999994</v>
      </c>
      <c r="J127" s="6">
        <f t="shared" si="130"/>
        <v>0.14999999999999994</v>
      </c>
      <c r="K127" s="6">
        <f t="shared" si="130"/>
        <v>0.14999999999999994</v>
      </c>
      <c r="L127" s="6">
        <f t="shared" si="130"/>
        <v>0.14999999999999994</v>
      </c>
      <c r="M127" s="6">
        <f t="shared" si="130"/>
        <v>0.14999999999999994</v>
      </c>
      <c r="N127" s="6">
        <f t="shared" si="130"/>
        <v>0.14999999999999994</v>
      </c>
    </row>
    <row r="128" spans="2:14">
      <c r="B128" s="17" t="s">
        <v>18</v>
      </c>
      <c r="C128" s="17" t="s">
        <v>23</v>
      </c>
      <c r="D128" s="18">
        <f>D92/D38</f>
        <v>0.22690060735349354</v>
      </c>
      <c r="E128" s="18">
        <f t="shared" ref="E128:N128" si="131">E92/E38</f>
        <v>5.8606863208681033E-2</v>
      </c>
      <c r="F128" s="18">
        <f t="shared" si="131"/>
        <v>0.24157742048133896</v>
      </c>
      <c r="G128" s="18">
        <f t="shared" si="131"/>
        <v>0.33456037544847428</v>
      </c>
      <c r="H128" s="18">
        <f t="shared" si="131"/>
        <v>0.37781052127605003</v>
      </c>
      <c r="I128" s="18">
        <f t="shared" si="131"/>
        <v>0.39714255385513947</v>
      </c>
      <c r="J128" s="18">
        <f t="shared" si="131"/>
        <v>0.40747550300047564</v>
      </c>
      <c r="K128" s="18">
        <f t="shared" si="131"/>
        <v>0.41345354075893143</v>
      </c>
      <c r="L128" s="18">
        <f t="shared" si="131"/>
        <v>0.416992379361737</v>
      </c>
      <c r="M128" s="18">
        <f t="shared" si="131"/>
        <v>0.41902655656006099</v>
      </c>
      <c r="N128" s="18">
        <f t="shared" si="131"/>
        <v>0.4200664455182036</v>
      </c>
    </row>
    <row r="129" spans="2:14">
      <c r="B129" s="8" t="s">
        <v>18</v>
      </c>
      <c r="C129" s="1" t="s">
        <v>21</v>
      </c>
      <c r="D129" s="6">
        <f t="shared" ref="D129:N129" si="132">D93/D39</f>
        <v>0.29217096499004219</v>
      </c>
      <c r="E129" s="6">
        <f t="shared" si="132"/>
        <v>0.10756648085960666</v>
      </c>
      <c r="F129" s="6">
        <f t="shared" si="132"/>
        <v>0.32733783696047108</v>
      </c>
      <c r="G129" s="6">
        <f t="shared" si="132"/>
        <v>0.41454455161267872</v>
      </c>
      <c r="H129" s="6">
        <f t="shared" si="132"/>
        <v>0.44755982257356602</v>
      </c>
      <c r="I129" s="6">
        <f t="shared" si="132"/>
        <v>0.46272736310250495</v>
      </c>
      <c r="J129" s="6">
        <f t="shared" si="132"/>
        <v>0.47143238404081078</v>
      </c>
      <c r="K129" s="6">
        <f t="shared" si="132"/>
        <v>0.47707186440869653</v>
      </c>
      <c r="L129" s="6">
        <f t="shared" si="132"/>
        <v>0.48101662554909291</v>
      </c>
      <c r="M129" s="6">
        <f t="shared" si="132"/>
        <v>0.4839262211721459</v>
      </c>
      <c r="N129" s="6">
        <f t="shared" si="132"/>
        <v>0.48615735019554512</v>
      </c>
    </row>
    <row r="130" spans="2:14">
      <c r="B130" s="8" t="s">
        <v>18</v>
      </c>
      <c r="C130" s="1" t="s">
        <v>24</v>
      </c>
      <c r="D130" s="6">
        <f t="shared" ref="D130:N130" si="133">D94/D40</f>
        <v>0.37368504710892558</v>
      </c>
      <c r="E130" s="6">
        <f t="shared" si="133"/>
        <v>0.29807636706349822</v>
      </c>
      <c r="F130" s="6">
        <f t="shared" si="133"/>
        <v>0.36504810305542856</v>
      </c>
      <c r="G130" s="6">
        <f t="shared" si="133"/>
        <v>0.43210379958745881</v>
      </c>
      <c r="H130" s="6">
        <f t="shared" si="133"/>
        <v>0.44470079306574872</v>
      </c>
      <c r="I130" s="6">
        <f t="shared" si="133"/>
        <v>0.4470788212256408</v>
      </c>
      <c r="J130" s="6">
        <f t="shared" si="133"/>
        <v>0.44505230764653236</v>
      </c>
      <c r="K130" s="6">
        <f t="shared" si="133"/>
        <v>0.44034790337180474</v>
      </c>
      <c r="L130" s="6">
        <f t="shared" si="133"/>
        <v>0.43359477208659403</v>
      </c>
      <c r="M130" s="6">
        <f t="shared" si="133"/>
        <v>0.42501526112393778</v>
      </c>
      <c r="N130" s="6">
        <f t="shared" si="133"/>
        <v>0.41464333556875294</v>
      </c>
    </row>
    <row r="131" spans="2:14">
      <c r="B131" s="8" t="s">
        <v>18</v>
      </c>
      <c r="C131" s="1" t="s">
        <v>25</v>
      </c>
      <c r="D131" s="6">
        <f t="shared" ref="D131:N131" si="134">D95/D41</f>
        <v>0.13963179409960397</v>
      </c>
      <c r="E131" s="6">
        <f t="shared" si="134"/>
        <v>-8.0863882223308786E-2</v>
      </c>
      <c r="F131" s="6">
        <f t="shared" si="134"/>
        <v>0.23658197257506358</v>
      </c>
      <c r="G131" s="6">
        <f t="shared" si="134"/>
        <v>0.34952226663520697</v>
      </c>
      <c r="H131" s="6">
        <f t="shared" si="134"/>
        <v>0.43610436475075681</v>
      </c>
      <c r="I131" s="6">
        <f t="shared" si="134"/>
        <v>0.47545589915494541</v>
      </c>
      <c r="J131" s="6">
        <f t="shared" si="134"/>
        <v>0.49782982718603175</v>
      </c>
      <c r="K131" s="6">
        <f t="shared" si="134"/>
        <v>0.51218687549307507</v>
      </c>
      <c r="L131" s="6">
        <f t="shared" si="134"/>
        <v>0.52212633508025963</v>
      </c>
      <c r="M131" s="6">
        <f t="shared" si="134"/>
        <v>0.52937457077505812</v>
      </c>
      <c r="N131" s="6">
        <f t="shared" si="134"/>
        <v>0.53486321252925373</v>
      </c>
    </row>
    <row r="132" spans="2:14">
      <c r="B132" s="8" t="s">
        <v>18</v>
      </c>
      <c r="C132" s="1" t="s">
        <v>26</v>
      </c>
      <c r="D132" s="6">
        <f t="shared" ref="D132:N132" si="135">D96/D42</f>
        <v>-5.7000000000000099E-2</v>
      </c>
      <c r="E132" s="6">
        <f t="shared" si="135"/>
        <v>-0.22755769249340321</v>
      </c>
      <c r="F132" s="6">
        <f t="shared" si="135"/>
        <v>-0.15276332825923225</v>
      </c>
      <c r="G132" s="6">
        <f t="shared" si="135"/>
        <v>-0.11111452945637505</v>
      </c>
      <c r="H132" s="6">
        <f t="shared" si="135"/>
        <v>-9.3092762665880596E-2</v>
      </c>
      <c r="I132" s="6">
        <f t="shared" si="135"/>
        <v>-8.4550219378483379E-2</v>
      </c>
      <c r="J132" s="6">
        <f t="shared" si="135"/>
        <v>-7.9571602130881366E-2</v>
      </c>
      <c r="K132" s="6">
        <f t="shared" si="135"/>
        <v>-7.6315630466165588E-2</v>
      </c>
      <c r="L132" s="6">
        <f t="shared" si="135"/>
        <v>-7.4022880002008393E-2</v>
      </c>
      <c r="M132" s="6">
        <f t="shared" si="135"/>
        <v>-7.2322979885837926E-2</v>
      </c>
      <c r="N132" s="6">
        <f t="shared" si="135"/>
        <v>-7.1013756487810206E-2</v>
      </c>
    </row>
    <row r="133" spans="2:14">
      <c r="B133" s="8" t="s">
        <v>18</v>
      </c>
      <c r="C133" s="1" t="s">
        <v>27</v>
      </c>
      <c r="D133" s="6">
        <f t="shared" ref="D133:N133" si="136">D97/D43</f>
        <v>0.20531258865248231</v>
      </c>
      <c r="E133" s="6">
        <f t="shared" si="136"/>
        <v>3.4754896159079146E-2</v>
      </c>
      <c r="F133" s="6">
        <f t="shared" si="136"/>
        <v>0.10954926039325015</v>
      </c>
      <c r="G133" s="6">
        <f t="shared" si="136"/>
        <v>0.15119805919610746</v>
      </c>
      <c r="H133" s="6">
        <f t="shared" si="136"/>
        <v>0.16921982598660179</v>
      </c>
      <c r="I133" s="6">
        <f t="shared" si="136"/>
        <v>0.17776236927399899</v>
      </c>
      <c r="J133" s="6">
        <f t="shared" si="136"/>
        <v>0.18274098652160103</v>
      </c>
      <c r="K133" s="6">
        <f t="shared" si="136"/>
        <v>0.18599695818631684</v>
      </c>
      <c r="L133" s="6">
        <f t="shared" si="136"/>
        <v>0.18828970865047395</v>
      </c>
      <c r="M133" s="6">
        <f t="shared" si="136"/>
        <v>0.18998960876664453</v>
      </c>
      <c r="N133" s="6">
        <f t="shared" si="136"/>
        <v>0.19129883216467222</v>
      </c>
    </row>
    <row r="134" spans="2:14">
      <c r="B134" s="8" t="s">
        <v>18</v>
      </c>
      <c r="C134" s="1" t="s">
        <v>28</v>
      </c>
      <c r="D134" s="6">
        <f t="shared" ref="D134:N134" si="137">D98/D44</f>
        <v>-1.1162830309498399</v>
      </c>
      <c r="E134" s="6">
        <f t="shared" si="137"/>
        <v>-1.2868407234432431</v>
      </c>
      <c r="F134" s="6">
        <f t="shared" si="137"/>
        <v>-1.2120463592090722</v>
      </c>
      <c r="G134" s="6">
        <f t="shared" si="137"/>
        <v>-1.1703975604062147</v>
      </c>
      <c r="H134" s="6">
        <f t="shared" si="137"/>
        <v>-1.1523757936157204</v>
      </c>
      <c r="I134" s="6">
        <f t="shared" si="137"/>
        <v>-1.1438332503283233</v>
      </c>
      <c r="J134" s="6">
        <f t="shared" si="137"/>
        <v>-1.1388546330807212</v>
      </c>
      <c r="K134" s="6">
        <f t="shared" si="137"/>
        <v>-1.1355986614160054</v>
      </c>
      <c r="L134" s="6">
        <f t="shared" si="137"/>
        <v>-1.1333059109518484</v>
      </c>
      <c r="M134" s="6">
        <f t="shared" si="137"/>
        <v>-1.1316060108356778</v>
      </c>
      <c r="N134" s="6">
        <f t="shared" si="137"/>
        <v>-1.1302967874376502</v>
      </c>
    </row>
    <row r="135" spans="2:14">
      <c r="B135" s="8" t="s">
        <v>18</v>
      </c>
      <c r="C135" s="1" t="s">
        <v>29</v>
      </c>
      <c r="D135" s="6">
        <f t="shared" ref="D135:N135" si="138">D99/D45</f>
        <v>0.14999999999999997</v>
      </c>
      <c r="E135" s="6">
        <f t="shared" si="138"/>
        <v>-2.0557692493403185E-2</v>
      </c>
      <c r="F135" s="6">
        <f t="shared" si="138"/>
        <v>5.4236671740767801E-2</v>
      </c>
      <c r="G135" s="6">
        <f t="shared" si="138"/>
        <v>9.5885470543625104E-2</v>
      </c>
      <c r="H135" s="6">
        <f t="shared" si="138"/>
        <v>0.11390723733411948</v>
      </c>
      <c r="I135" s="6">
        <f t="shared" si="138"/>
        <v>0.12244978062151671</v>
      </c>
      <c r="J135" s="6">
        <f t="shared" si="138"/>
        <v>0.12742839786911869</v>
      </c>
      <c r="K135" s="6">
        <f t="shared" si="138"/>
        <v>0.13068436953383455</v>
      </c>
      <c r="L135" s="6">
        <f t="shared" si="138"/>
        <v>0.13297711999799167</v>
      </c>
      <c r="M135" s="6">
        <f t="shared" si="138"/>
        <v>0.13467702011416222</v>
      </c>
      <c r="N135" s="6">
        <f t="shared" si="138"/>
        <v>0.13598624351218994</v>
      </c>
    </row>
    <row r="136" spans="2:14">
      <c r="B136" s="8" t="s">
        <v>18</v>
      </c>
      <c r="C136" s="1" t="s">
        <v>30</v>
      </c>
      <c r="D136" s="6">
        <f t="shared" ref="D136:N136" si="139">D100/D46</f>
        <v>0.14999999999999994</v>
      </c>
      <c r="E136" s="6">
        <f t="shared" si="139"/>
        <v>-2.0557692493403234E-2</v>
      </c>
      <c r="F136" s="6">
        <f t="shared" si="139"/>
        <v>5.4236671740767774E-2</v>
      </c>
      <c r="G136" s="6">
        <f t="shared" si="139"/>
        <v>9.5885470543625062E-2</v>
      </c>
      <c r="H136" s="6">
        <f t="shared" si="139"/>
        <v>0.11390723733411943</v>
      </c>
      <c r="I136" s="6">
        <f t="shared" si="139"/>
        <v>0.12244978062151667</v>
      </c>
      <c r="J136" s="6">
        <f t="shared" si="139"/>
        <v>0.12742839786911866</v>
      </c>
      <c r="K136" s="6">
        <f t="shared" si="139"/>
        <v>0.13068436953383453</v>
      </c>
      <c r="L136" s="6">
        <f t="shared" si="139"/>
        <v>0.13297711999799161</v>
      </c>
      <c r="M136" s="6">
        <f t="shared" si="139"/>
        <v>0.13467702011416219</v>
      </c>
      <c r="N136" s="6">
        <f t="shared" si="139"/>
        <v>0.13598624351218988</v>
      </c>
    </row>
    <row r="137" spans="2:14">
      <c r="B137" s="17" t="s">
        <v>20</v>
      </c>
      <c r="C137" s="17" t="s">
        <v>23</v>
      </c>
      <c r="D137" s="18">
        <f>D110/D38</f>
        <v>0.22591462997676731</v>
      </c>
      <c r="E137" s="18">
        <f t="shared" ref="E137:N137" si="140">E110/E38</f>
        <v>-6.5697729703667026E-3</v>
      </c>
      <c r="F137" s="18">
        <f t="shared" si="140"/>
        <v>0.16738635589193746</v>
      </c>
      <c r="G137" s="18">
        <f t="shared" si="140"/>
        <v>0.28106377603965788</v>
      </c>
      <c r="H137" s="18">
        <f t="shared" si="140"/>
        <v>0.33406990963902072</v>
      </c>
      <c r="I137" s="18">
        <f t="shared" si="140"/>
        <v>0.35814608127225162</v>
      </c>
      <c r="J137" s="18">
        <f t="shared" si="140"/>
        <v>0.3713231774245066</v>
      </c>
      <c r="K137" s="18">
        <f t="shared" si="140"/>
        <v>0.37921481611373731</v>
      </c>
      <c r="L137" s="18">
        <f t="shared" si="140"/>
        <v>0.38413721952419788</v>
      </c>
      <c r="M137" s="18">
        <f t="shared" si="140"/>
        <v>0.38722081885405202</v>
      </c>
      <c r="N137" s="18">
        <f t="shared" si="140"/>
        <v>0.38908340333991642</v>
      </c>
    </row>
    <row r="138" spans="2:14">
      <c r="B138" s="8" t="s">
        <v>20</v>
      </c>
      <c r="C138" s="1" t="s">
        <v>21</v>
      </c>
      <c r="D138" s="6">
        <f t="shared" ref="D138:N138" si="141">D111/D39</f>
        <v>0.29217096499004219</v>
      </c>
      <c r="E138" s="6">
        <f t="shared" si="141"/>
        <v>3.8894157840981096E-2</v>
      </c>
      <c r="F138" s="6">
        <f t="shared" si="141"/>
        <v>0.25119123267585136</v>
      </c>
      <c r="G138" s="6">
        <f t="shared" si="141"/>
        <v>0.37134542994940634</v>
      </c>
      <c r="H138" s="6">
        <f t="shared" si="141"/>
        <v>0.41710039496386875</v>
      </c>
      <c r="I138" s="6">
        <f t="shared" si="141"/>
        <v>0.43774090371199426</v>
      </c>
      <c r="J138" s="6">
        <f t="shared" si="141"/>
        <v>0.44939791206342927</v>
      </c>
      <c r="K138" s="6">
        <f t="shared" si="141"/>
        <v>0.45681815749237858</v>
      </c>
      <c r="L138" s="6">
        <f t="shared" si="141"/>
        <v>0.46190294512155988</v>
      </c>
      <c r="M138" s="6">
        <f t="shared" si="141"/>
        <v>0.46556276396454838</v>
      </c>
      <c r="N138" s="6">
        <f t="shared" si="141"/>
        <v>0.46828842463788528</v>
      </c>
    </row>
    <row r="139" spans="2:14">
      <c r="B139" s="8" t="s">
        <v>20</v>
      </c>
      <c r="C139" s="1" t="s">
        <v>24</v>
      </c>
      <c r="D139" s="6">
        <f t="shared" ref="D139:N139" si="142">D112/D40</f>
        <v>0.37368504710892558</v>
      </c>
      <c r="E139" s="6">
        <f t="shared" si="142"/>
        <v>0.29807636706349822</v>
      </c>
      <c r="F139" s="6">
        <f t="shared" si="142"/>
        <v>0.36504810305542856</v>
      </c>
      <c r="G139" s="6">
        <f t="shared" si="142"/>
        <v>0.43210379958745881</v>
      </c>
      <c r="H139" s="6">
        <f t="shared" si="142"/>
        <v>0.44470079306574872</v>
      </c>
      <c r="I139" s="6">
        <f t="shared" si="142"/>
        <v>0.4470788212256408</v>
      </c>
      <c r="J139" s="6">
        <f t="shared" si="142"/>
        <v>0.44505230764653236</v>
      </c>
      <c r="K139" s="6">
        <f t="shared" si="142"/>
        <v>0.44034790337180474</v>
      </c>
      <c r="L139" s="6">
        <f t="shared" si="142"/>
        <v>0.43359477208659403</v>
      </c>
      <c r="M139" s="6">
        <f t="shared" si="142"/>
        <v>0.42501526112393778</v>
      </c>
      <c r="N139" s="6">
        <f t="shared" si="142"/>
        <v>0.41464333556875294</v>
      </c>
    </row>
    <row r="140" spans="2:14">
      <c r="B140" s="8" t="s">
        <v>20</v>
      </c>
      <c r="C140" s="1" t="s">
        <v>25</v>
      </c>
      <c r="D140" s="6">
        <f t="shared" ref="D140:N140" si="143">D113/D41</f>
        <v>-3.6820590039603738E-4</v>
      </c>
      <c r="E140" s="6">
        <f t="shared" si="143"/>
        <v>-0.2208638822233088</v>
      </c>
      <c r="F140" s="6">
        <f t="shared" si="143"/>
        <v>9.6581972575063568E-2</v>
      </c>
      <c r="G140" s="6">
        <f t="shared" si="143"/>
        <v>0.20952226663520693</v>
      </c>
      <c r="H140" s="6">
        <f t="shared" si="143"/>
        <v>0.2961043647507568</v>
      </c>
      <c r="I140" s="6">
        <f t="shared" si="143"/>
        <v>0.33545589915494539</v>
      </c>
      <c r="J140" s="6">
        <f t="shared" si="143"/>
        <v>0.35782982718603173</v>
      </c>
      <c r="K140" s="6">
        <f t="shared" si="143"/>
        <v>0.37218687549307494</v>
      </c>
      <c r="L140" s="6">
        <f t="shared" si="143"/>
        <v>0.38212633508025956</v>
      </c>
      <c r="M140" s="6">
        <f t="shared" si="143"/>
        <v>0.3893745707750581</v>
      </c>
      <c r="N140" s="6">
        <f t="shared" si="143"/>
        <v>0.39486321252925366</v>
      </c>
    </row>
    <row r="141" spans="2:14">
      <c r="B141" s="8" t="s">
        <v>20</v>
      </c>
      <c r="C141" s="1" t="s">
        <v>26</v>
      </c>
      <c r="D141" s="6">
        <f t="shared" ref="D141:N141" si="144">D114/D42</f>
        <v>-5.7000000000000099E-2</v>
      </c>
      <c r="E141" s="6">
        <f t="shared" si="144"/>
        <v>-0.22755769249340321</v>
      </c>
      <c r="F141" s="6">
        <f t="shared" si="144"/>
        <v>-0.15276332825923225</v>
      </c>
      <c r="G141" s="6">
        <f t="shared" si="144"/>
        <v>-0.11111452945637505</v>
      </c>
      <c r="H141" s="6">
        <f t="shared" si="144"/>
        <v>-9.3092762665880596E-2</v>
      </c>
      <c r="I141" s="6">
        <f t="shared" si="144"/>
        <v>-8.4550219378483379E-2</v>
      </c>
      <c r="J141" s="6">
        <f t="shared" si="144"/>
        <v>-7.9571602130881366E-2</v>
      </c>
      <c r="K141" s="6">
        <f t="shared" si="144"/>
        <v>-7.6315630466165588E-2</v>
      </c>
      <c r="L141" s="6">
        <f t="shared" si="144"/>
        <v>-7.4022880002008393E-2</v>
      </c>
      <c r="M141" s="6">
        <f t="shared" si="144"/>
        <v>-7.2322979885837926E-2</v>
      </c>
      <c r="N141" s="6">
        <f t="shared" si="144"/>
        <v>-7.1013756487810206E-2</v>
      </c>
    </row>
    <row r="142" spans="2:14">
      <c r="B142" s="8" t="s">
        <v>20</v>
      </c>
      <c r="C142" s="1" t="s">
        <v>27</v>
      </c>
      <c r="D142" s="6">
        <f t="shared" ref="D142:N142" si="145">D115/D43</f>
        <v>0.20531258865248231</v>
      </c>
      <c r="E142" s="6">
        <f t="shared" si="145"/>
        <v>-0.19507666412460881</v>
      </c>
      <c r="F142" s="6">
        <f t="shared" si="145"/>
        <v>-0.12537981762093425</v>
      </c>
      <c r="G142" s="6">
        <f t="shared" si="145"/>
        <v>-8.373101881807693E-2</v>
      </c>
      <c r="H142" s="6">
        <f t="shared" si="145"/>
        <v>-6.5709252027582613E-2</v>
      </c>
      <c r="I142" s="6">
        <f t="shared" si="145"/>
        <v>-5.7166708740185396E-2</v>
      </c>
      <c r="J142" s="6">
        <f t="shared" si="145"/>
        <v>-5.2188091492583369E-2</v>
      </c>
      <c r="K142" s="6">
        <f t="shared" si="145"/>
        <v>-4.8932119827867541E-2</v>
      </c>
      <c r="L142" s="6">
        <f t="shared" si="145"/>
        <v>-4.663936936371043E-2</v>
      </c>
      <c r="M142" s="6">
        <f t="shared" si="145"/>
        <v>-4.4939469247539852E-2</v>
      </c>
      <c r="N142" s="6">
        <f t="shared" si="145"/>
        <v>-4.363024584951216E-2</v>
      </c>
    </row>
    <row r="143" spans="2:14">
      <c r="B143" s="8" t="s">
        <v>20</v>
      </c>
      <c r="C143" s="1" t="s">
        <v>28</v>
      </c>
      <c r="D143" s="6">
        <f t="shared" ref="D143:N143" si="146">D116/D44</f>
        <v>-1.1162830309498399</v>
      </c>
      <c r="E143" s="6">
        <f t="shared" si="146"/>
        <v>-1.2868407234432431</v>
      </c>
      <c r="F143" s="6">
        <f t="shared" si="146"/>
        <v>-1.2120463592090722</v>
      </c>
      <c r="G143" s="6">
        <f t="shared" si="146"/>
        <v>-1.1703975604062147</v>
      </c>
      <c r="H143" s="6">
        <f t="shared" si="146"/>
        <v>-1.1523757936157204</v>
      </c>
      <c r="I143" s="6">
        <f t="shared" si="146"/>
        <v>-1.1438332503283233</v>
      </c>
      <c r="J143" s="6">
        <f t="shared" si="146"/>
        <v>-1.1388546330807212</v>
      </c>
      <c r="K143" s="6">
        <f t="shared" si="146"/>
        <v>-1.1355986614160054</v>
      </c>
      <c r="L143" s="6">
        <f t="shared" si="146"/>
        <v>-1.1333059109518484</v>
      </c>
      <c r="M143" s="6">
        <f t="shared" si="146"/>
        <v>-1.1316060108356778</v>
      </c>
      <c r="N143" s="6">
        <f t="shared" si="146"/>
        <v>-1.1302967874376502</v>
      </c>
    </row>
    <row r="144" spans="2:14">
      <c r="B144" s="8" t="s">
        <v>20</v>
      </c>
      <c r="C144" s="1" t="s">
        <v>29</v>
      </c>
      <c r="D144" s="6">
        <f t="shared" ref="D144:N144" si="147">D117/D45</f>
        <v>0.14999999999999997</v>
      </c>
      <c r="E144" s="6">
        <f t="shared" si="147"/>
        <v>-2.0557692493403185E-2</v>
      </c>
      <c r="F144" s="6">
        <f t="shared" si="147"/>
        <v>5.4236671740767801E-2</v>
      </c>
      <c r="G144" s="6">
        <f t="shared" si="147"/>
        <v>9.5885470543625104E-2</v>
      </c>
      <c r="H144" s="6">
        <f t="shared" si="147"/>
        <v>0.11390723733411948</v>
      </c>
      <c r="I144" s="6">
        <f t="shared" si="147"/>
        <v>0.12244978062151671</v>
      </c>
      <c r="J144" s="6">
        <f t="shared" si="147"/>
        <v>0.12742839786911869</v>
      </c>
      <c r="K144" s="6">
        <f t="shared" si="147"/>
        <v>0.13068436953383455</v>
      </c>
      <c r="L144" s="6">
        <f t="shared" si="147"/>
        <v>0.13297711999799167</v>
      </c>
      <c r="M144" s="6">
        <f t="shared" si="147"/>
        <v>0.13467702011416222</v>
      </c>
      <c r="N144" s="6">
        <f t="shared" si="147"/>
        <v>0.13598624351218994</v>
      </c>
    </row>
    <row r="145" spans="2:14">
      <c r="B145" s="8" t="s">
        <v>20</v>
      </c>
      <c r="C145" s="1" t="s">
        <v>30</v>
      </c>
      <c r="D145" s="6">
        <f t="shared" ref="D145:N145" si="148">D118/D46</f>
        <v>0.14999999999999994</v>
      </c>
      <c r="E145" s="6">
        <f t="shared" si="148"/>
        <v>-2.0557692493403234E-2</v>
      </c>
      <c r="F145" s="6">
        <f t="shared" si="148"/>
        <v>5.4236671740767774E-2</v>
      </c>
      <c r="G145" s="6">
        <f t="shared" si="148"/>
        <v>9.5885470543625062E-2</v>
      </c>
      <c r="H145" s="6">
        <f t="shared" si="148"/>
        <v>0.11390723733411943</v>
      </c>
      <c r="I145" s="6">
        <f t="shared" si="148"/>
        <v>0.12244978062151667</v>
      </c>
      <c r="J145" s="6">
        <f t="shared" si="148"/>
        <v>0.12742839786911866</v>
      </c>
      <c r="K145" s="6">
        <f t="shared" si="148"/>
        <v>0.13068436953383453</v>
      </c>
      <c r="L145" s="6">
        <f t="shared" si="148"/>
        <v>0.13297711999799161</v>
      </c>
      <c r="M145" s="6">
        <f t="shared" si="148"/>
        <v>0.13467702011416219</v>
      </c>
      <c r="N145" s="6">
        <f t="shared" si="148"/>
        <v>0.13598624351218988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99A3-B77D-4BDE-9EB8-31B3E17248C3}">
  <dimension ref="A1:Q81"/>
  <sheetViews>
    <sheetView zoomScale="110" zoomScaleNormal="110" workbookViewId="0">
      <selection activeCell="F71" sqref="F71"/>
    </sheetView>
  </sheetViews>
  <sheetFormatPr defaultRowHeight="12"/>
  <cols>
    <col min="1" max="1" width="9.140625" style="1"/>
    <col min="2" max="2" width="6.28515625" style="1" customWidth="1"/>
    <col min="3" max="3" width="5.5703125" style="1" customWidth="1"/>
    <col min="4" max="4" width="15.7109375" style="1" customWidth="1"/>
    <col min="5" max="15" width="11.7109375" style="1" customWidth="1"/>
    <col min="16" max="16384" width="9.140625" style="1"/>
  </cols>
  <sheetData>
    <row r="1" spans="1:15">
      <c r="A1" s="1" t="s">
        <v>35</v>
      </c>
    </row>
    <row r="2" spans="1:15">
      <c r="E2" s="1" t="s">
        <v>36</v>
      </c>
    </row>
    <row r="3" spans="1:15"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B4" s="9" t="s">
        <v>37</v>
      </c>
      <c r="C4" s="9" t="s">
        <v>38</v>
      </c>
      <c r="D4" s="9" t="s">
        <v>23</v>
      </c>
      <c r="E4" s="16">
        <f>SUM(E5:E12)</f>
        <v>213867.54399999999</v>
      </c>
      <c r="F4" s="16">
        <f t="shared" ref="F4:O4" si="0">SUM(F5:F12)</f>
        <v>398510.31640000001</v>
      </c>
      <c r="G4" s="16">
        <f t="shared" si="0"/>
        <v>887604.90623199998</v>
      </c>
      <c r="H4" s="16">
        <f>SUM(H5:H12)</f>
        <v>1570742.66105416</v>
      </c>
      <c r="I4" s="16">
        <f t="shared" si="0"/>
        <v>2355042.7764941608</v>
      </c>
      <c r="J4" s="16">
        <f t="shared" si="0"/>
        <v>3085274.8877341067</v>
      </c>
      <c r="K4" s="16">
        <f t="shared" si="0"/>
        <v>3765793.8283303119</v>
      </c>
      <c r="L4" s="16">
        <f t="shared" si="0"/>
        <v>4400581.1846986711</v>
      </c>
      <c r="M4" s="16">
        <f t="shared" si="0"/>
        <v>4993279.6324694688</v>
      </c>
      <c r="N4" s="16">
        <f t="shared" si="0"/>
        <v>5547223.8842107449</v>
      </c>
      <c r="O4" s="16">
        <f t="shared" si="0"/>
        <v>6065468.6039348356</v>
      </c>
    </row>
    <row r="5" spans="1:15">
      <c r="D5" s="1" t="s">
        <v>21</v>
      </c>
      <c r="E5" s="7">
        <f>E32+E59</f>
        <v>31621.631999999998</v>
      </c>
      <c r="F5" s="7">
        <f t="shared" ref="F5:O5" si="1">F32+F59</f>
        <v>160180.98000000001</v>
      </c>
      <c r="G5" s="7">
        <f t="shared" si="1"/>
        <v>538435.04099999997</v>
      </c>
      <c r="H5" s="7">
        <f t="shared" si="1"/>
        <v>1064836.46493</v>
      </c>
      <c r="I5" s="7">
        <f t="shared" si="1"/>
        <v>1674358.4499849</v>
      </c>
      <c r="J5" s="7">
        <f t="shared" si="1"/>
        <v>2241213.8960859571</v>
      </c>
      <c r="K5" s="7">
        <f t="shared" si="1"/>
        <v>2768389.4609599402</v>
      </c>
      <c r="L5" s="7">
        <f t="shared" si="1"/>
        <v>3258662.7362927445</v>
      </c>
      <c r="M5" s="7">
        <f t="shared" si="1"/>
        <v>3714616.8823522525</v>
      </c>
      <c r="N5" s="7">
        <f t="shared" si="1"/>
        <v>4138654.2381875953</v>
      </c>
      <c r="O5" s="7">
        <f t="shared" si="1"/>
        <v>4533008.9791144636</v>
      </c>
    </row>
    <row r="6" spans="1:15">
      <c r="D6" s="1" t="s">
        <v>24</v>
      </c>
      <c r="E6" s="7">
        <f t="shared" ref="E6:O9" si="2">E33+E60</f>
        <v>49489.56</v>
      </c>
      <c r="F6" s="7">
        <f t="shared" si="2"/>
        <v>52260.975359999997</v>
      </c>
      <c r="G6" s="7">
        <f t="shared" si="2"/>
        <v>45989.6583168</v>
      </c>
      <c r="H6" s="7">
        <f t="shared" si="2"/>
        <v>40470.899318784002</v>
      </c>
      <c r="I6" s="7">
        <f t="shared" si="2"/>
        <v>35614.391400529916</v>
      </c>
      <c r="J6" s="7">
        <f t="shared" si="2"/>
        <v>31340.664432466332</v>
      </c>
      <c r="K6" s="7">
        <f t="shared" si="2"/>
        <v>27579.784700570373</v>
      </c>
      <c r="L6" s="7">
        <f t="shared" si="2"/>
        <v>24270.210536501927</v>
      </c>
      <c r="M6" s="7">
        <f t="shared" si="2"/>
        <v>21357.785272121695</v>
      </c>
      <c r="N6" s="7">
        <f t="shared" si="2"/>
        <v>18794.851039467092</v>
      </c>
      <c r="O6" s="7">
        <f t="shared" si="2"/>
        <v>16539.468914731042</v>
      </c>
    </row>
    <row r="7" spans="1:15">
      <c r="D7" s="1" t="s">
        <v>25</v>
      </c>
      <c r="E7" s="7">
        <f t="shared" si="2"/>
        <v>1506.204</v>
      </c>
      <c r="F7" s="7">
        <f t="shared" si="2"/>
        <v>32882.585039999998</v>
      </c>
      <c r="G7" s="7">
        <f t="shared" si="2"/>
        <v>101802.5209152</v>
      </c>
      <c r="H7" s="7">
        <f t="shared" si="2"/>
        <v>195924.22080537598</v>
      </c>
      <c r="I7" s="7">
        <f t="shared" si="2"/>
        <v>295792.93910873088</v>
      </c>
      <c r="J7" s="7">
        <f t="shared" si="2"/>
        <v>383677.41121568321</v>
      </c>
      <c r="K7" s="7">
        <f t="shared" si="2"/>
        <v>461015.74666980118</v>
      </c>
      <c r="L7" s="7">
        <f t="shared" si="2"/>
        <v>529073.48186942504</v>
      </c>
      <c r="M7" s="7">
        <f t="shared" si="2"/>
        <v>588964.28884509404</v>
      </c>
      <c r="N7" s="7">
        <f t="shared" si="2"/>
        <v>641668.19898368267</v>
      </c>
      <c r="O7" s="7">
        <f t="shared" si="2"/>
        <v>688047.63990564074</v>
      </c>
    </row>
    <row r="8" spans="1:15">
      <c r="D8" s="1" t="s">
        <v>26</v>
      </c>
      <c r="E8" s="7">
        <f t="shared" si="2"/>
        <v>1994.1480000000001</v>
      </c>
      <c r="F8" s="7">
        <f t="shared" si="2"/>
        <v>23929.775999999998</v>
      </c>
      <c r="G8" s="7">
        <f t="shared" si="2"/>
        <v>72121.686000000002</v>
      </c>
      <c r="H8" s="7">
        <f t="shared" si="2"/>
        <v>140255.076</v>
      </c>
      <c r="I8" s="7">
        <f t="shared" si="2"/>
        <v>220020.99600000001</v>
      </c>
      <c r="J8" s="7">
        <f t="shared" si="2"/>
        <v>299786.91600000003</v>
      </c>
      <c r="K8" s="7">
        <f t="shared" si="2"/>
        <v>379552.83600000007</v>
      </c>
      <c r="L8" s="7">
        <f t="shared" si="2"/>
        <v>459318.75600000005</v>
      </c>
      <c r="M8" s="7">
        <f t="shared" si="2"/>
        <v>539084.67599999998</v>
      </c>
      <c r="N8" s="7">
        <f t="shared" si="2"/>
        <v>618850.5959999999</v>
      </c>
      <c r="O8" s="7">
        <f t="shared" si="2"/>
        <v>698616.51599999995</v>
      </c>
    </row>
    <row r="9" spans="1:15">
      <c r="D9" s="1" t="s">
        <v>27</v>
      </c>
      <c r="E9" s="7">
        <f>E36+E63</f>
        <v>45120</v>
      </c>
      <c r="F9" s="7">
        <f t="shared" si="2"/>
        <v>45120</v>
      </c>
      <c r="G9" s="7">
        <f t="shared" si="2"/>
        <v>45120</v>
      </c>
      <c r="H9" s="7">
        <f t="shared" si="2"/>
        <v>45120</v>
      </c>
      <c r="I9" s="7">
        <f t="shared" si="2"/>
        <v>45120</v>
      </c>
      <c r="J9" s="7">
        <f t="shared" si="2"/>
        <v>45120</v>
      </c>
      <c r="K9" s="7">
        <f t="shared" si="2"/>
        <v>45120</v>
      </c>
      <c r="L9" s="7">
        <f t="shared" si="2"/>
        <v>45120</v>
      </c>
      <c r="M9" s="7">
        <f t="shared" si="2"/>
        <v>45120</v>
      </c>
      <c r="N9" s="7">
        <f t="shared" si="2"/>
        <v>45120</v>
      </c>
      <c r="O9" s="7">
        <f t="shared" si="2"/>
        <v>45120</v>
      </c>
    </row>
    <row r="10" spans="1:15">
      <c r="D10" s="1" t="s">
        <v>28</v>
      </c>
      <c r="E10" s="7">
        <f>E37</f>
        <v>937</v>
      </c>
      <c r="F10" s="7">
        <f t="shared" ref="F10:O10" si="3">F37</f>
        <v>937</v>
      </c>
      <c r="G10" s="7">
        <f t="shared" si="3"/>
        <v>937</v>
      </c>
      <c r="H10" s="7">
        <f t="shared" si="3"/>
        <v>937</v>
      </c>
      <c r="I10" s="7">
        <f t="shared" si="3"/>
        <v>937</v>
      </c>
      <c r="J10" s="7">
        <f t="shared" si="3"/>
        <v>937</v>
      </c>
      <c r="K10" s="7">
        <f t="shared" si="3"/>
        <v>937</v>
      </c>
      <c r="L10" s="7">
        <f t="shared" si="3"/>
        <v>937</v>
      </c>
      <c r="M10" s="7">
        <f t="shared" si="3"/>
        <v>937</v>
      </c>
      <c r="N10" s="7">
        <f t="shared" si="3"/>
        <v>937</v>
      </c>
      <c r="O10" s="7">
        <f t="shared" si="3"/>
        <v>937</v>
      </c>
    </row>
    <row r="11" spans="1:15">
      <c r="D11" s="1" t="s">
        <v>29</v>
      </c>
      <c r="E11" s="7">
        <f t="shared" ref="E11:O12" si="4">E38</f>
        <v>49598</v>
      </c>
      <c r="F11" s="7">
        <f t="shared" si="4"/>
        <v>49598</v>
      </c>
      <c r="G11" s="7">
        <f t="shared" si="4"/>
        <v>49598</v>
      </c>
      <c r="H11" s="7">
        <f t="shared" si="4"/>
        <v>49598</v>
      </c>
      <c r="I11" s="7">
        <f t="shared" si="4"/>
        <v>49598</v>
      </c>
      <c r="J11" s="7">
        <f t="shared" si="4"/>
        <v>49598</v>
      </c>
      <c r="K11" s="7">
        <f t="shared" si="4"/>
        <v>49598</v>
      </c>
      <c r="L11" s="7">
        <f t="shared" si="4"/>
        <v>49598</v>
      </c>
      <c r="M11" s="7">
        <f t="shared" si="4"/>
        <v>49598</v>
      </c>
      <c r="N11" s="7">
        <f t="shared" si="4"/>
        <v>49598</v>
      </c>
      <c r="O11" s="7">
        <f t="shared" si="4"/>
        <v>49598</v>
      </c>
    </row>
    <row r="12" spans="1:15">
      <c r="D12" s="1" t="s">
        <v>30</v>
      </c>
      <c r="E12" s="7">
        <f>E39</f>
        <v>33601</v>
      </c>
      <c r="F12" s="7">
        <f t="shared" si="4"/>
        <v>33601</v>
      </c>
      <c r="G12" s="7">
        <f t="shared" si="4"/>
        <v>33601</v>
      </c>
      <c r="H12" s="7">
        <f t="shared" si="4"/>
        <v>33601</v>
      </c>
      <c r="I12" s="7">
        <f t="shared" si="4"/>
        <v>33601</v>
      </c>
      <c r="J12" s="7">
        <f t="shared" si="4"/>
        <v>33601</v>
      </c>
      <c r="K12" s="7">
        <f t="shared" si="4"/>
        <v>33601</v>
      </c>
      <c r="L12" s="7">
        <f t="shared" si="4"/>
        <v>33601</v>
      </c>
      <c r="M12" s="7">
        <f t="shared" si="4"/>
        <v>33601</v>
      </c>
      <c r="N12" s="7">
        <f t="shared" si="4"/>
        <v>33601</v>
      </c>
      <c r="O12" s="7">
        <f t="shared" si="4"/>
        <v>33601</v>
      </c>
    </row>
    <row r="13" spans="1:15">
      <c r="B13" s="17"/>
      <c r="C13" s="17" t="s">
        <v>39</v>
      </c>
      <c r="D13" s="17"/>
      <c r="E13" s="60">
        <f>E40+E64</f>
        <v>17118.455999999998</v>
      </c>
      <c r="F13" s="60">
        <f>F40+F64</f>
        <v>278489.78039999993</v>
      </c>
      <c r="G13" s="60">
        <f t="shared" ref="G13:O13" si="5">G40+G64</f>
        <v>549162.91327199992</v>
      </c>
      <c r="H13" s="60">
        <f t="shared" si="5"/>
        <v>862671.85284935997</v>
      </c>
      <c r="I13" s="60">
        <f t="shared" si="5"/>
        <v>1187790.7248739367</v>
      </c>
      <c r="J13" s="60">
        <f t="shared" si="5"/>
        <v>1491614.5449843095</v>
      </c>
      <c r="K13" s="60">
        <f t="shared" si="5"/>
        <v>1775905.0636711703</v>
      </c>
      <c r="L13" s="60">
        <f t="shared" si="5"/>
        <v>2042268.177268059</v>
      </c>
      <c r="M13" s="60">
        <f t="shared" si="5"/>
        <v>2292168.7415371011</v>
      </c>
      <c r="N13" s="60">
        <f t="shared" si="5"/>
        <v>2526943.8798483741</v>
      </c>
      <c r="O13" s="60">
        <f t="shared" si="5"/>
        <v>2747814.9475459927</v>
      </c>
    </row>
    <row r="14" spans="1:15">
      <c r="D14" s="1" t="s">
        <v>21</v>
      </c>
      <c r="E14" s="7">
        <f t="shared" ref="E14:O14" si="6">E41+E65</f>
        <v>3720.192</v>
      </c>
      <c r="F14" s="7">
        <f>F41+F65</f>
        <v>132520.98000000001</v>
      </c>
      <c r="G14" s="7">
        <f t="shared" si="6"/>
        <v>323939.84100000001</v>
      </c>
      <c r="H14" s="7">
        <f t="shared" si="6"/>
        <v>544367.92892999994</v>
      </c>
      <c r="I14" s="7">
        <f t="shared" si="6"/>
        <v>771126.7115048999</v>
      </c>
      <c r="J14" s="7">
        <f t="shared" si="6"/>
        <v>982012.37929955684</v>
      </c>
      <c r="K14" s="7">
        <f t="shared" si="6"/>
        <v>1178136.0503485878</v>
      </c>
      <c r="L14" s="7">
        <f t="shared" si="6"/>
        <v>1360531.0644241867</v>
      </c>
      <c r="M14" s="7">
        <f t="shared" si="6"/>
        <v>1530158.4275144937</v>
      </c>
      <c r="N14" s="7">
        <f t="shared" si="6"/>
        <v>1687911.8751884792</v>
      </c>
      <c r="O14" s="7">
        <f t="shared" si="6"/>
        <v>1834622.5815252857</v>
      </c>
    </row>
    <row r="15" spans="1:15">
      <c r="D15" s="1" t="s">
        <v>24</v>
      </c>
      <c r="E15" s="7">
        <f t="shared" ref="E15:O15" si="7">E42+E66</f>
        <v>9897.9120000000003</v>
      </c>
      <c r="F15" s="7">
        <f t="shared" si="7"/>
        <v>52260.975359999997</v>
      </c>
      <c r="G15" s="7">
        <f t="shared" si="7"/>
        <v>45989.6583168</v>
      </c>
      <c r="H15" s="7">
        <f t="shared" si="7"/>
        <v>40470.899318784002</v>
      </c>
      <c r="I15" s="7">
        <f t="shared" si="7"/>
        <v>35614.391400529916</v>
      </c>
      <c r="J15" s="7">
        <f t="shared" si="7"/>
        <v>31340.664432466332</v>
      </c>
      <c r="K15" s="7">
        <f t="shared" si="7"/>
        <v>27579.784700570373</v>
      </c>
      <c r="L15" s="7">
        <f t="shared" si="7"/>
        <v>24270.210536501927</v>
      </c>
      <c r="M15" s="7">
        <f t="shared" si="7"/>
        <v>21357.785272121695</v>
      </c>
      <c r="N15" s="7">
        <f t="shared" si="7"/>
        <v>18794.851039467092</v>
      </c>
      <c r="O15" s="7">
        <f t="shared" si="7"/>
        <v>16539.468914731042</v>
      </c>
    </row>
    <row r="16" spans="1:15">
      <c r="D16" s="1" t="s">
        <v>25</v>
      </c>
      <c r="E16" s="7">
        <f t="shared" ref="E16:O16" si="8">E43+E67</f>
        <v>1506.204</v>
      </c>
      <c r="F16" s="7">
        <f t="shared" si="8"/>
        <v>26319.839039999999</v>
      </c>
      <c r="G16" s="7">
        <f t="shared" si="8"/>
        <v>71962.467955200002</v>
      </c>
      <c r="H16" s="7">
        <f t="shared" si="8"/>
        <v>122370.168600576</v>
      </c>
      <c r="I16" s="7">
        <f t="shared" si="8"/>
        <v>172409.48596850687</v>
      </c>
      <c r="J16" s="7">
        <f t="shared" si="8"/>
        <v>216444.08525228605</v>
      </c>
      <c r="K16" s="7">
        <f t="shared" si="8"/>
        <v>255194.5326220117</v>
      </c>
      <c r="L16" s="7">
        <f t="shared" si="8"/>
        <v>289294.9263073703</v>
      </c>
      <c r="M16" s="7">
        <f t="shared" si="8"/>
        <v>319303.27275048592</v>
      </c>
      <c r="N16" s="7">
        <f t="shared" si="8"/>
        <v>345710.61762042757</v>
      </c>
      <c r="O16" s="7">
        <f t="shared" si="8"/>
        <v>368949.08110597625</v>
      </c>
    </row>
    <row r="17" spans="2:15">
      <c r="D17" s="1" t="s">
        <v>26</v>
      </c>
      <c r="E17" s="7">
        <f>E44+E68</f>
        <v>1994.1480000000001</v>
      </c>
      <c r="F17" s="7">
        <f>F44+F68</f>
        <v>22267.985999999997</v>
      </c>
      <c r="G17" s="7">
        <f t="shared" ref="G17:O17" si="9">G44+G68</f>
        <v>62150.945999999996</v>
      </c>
      <c r="H17" s="7">
        <f t="shared" si="9"/>
        <v>110342.856</v>
      </c>
      <c r="I17" s="7">
        <f t="shared" si="9"/>
        <v>163520.136</v>
      </c>
      <c r="J17" s="7">
        <f t="shared" si="9"/>
        <v>216697.41600000003</v>
      </c>
      <c r="K17" s="7">
        <f t="shared" si="9"/>
        <v>269874.696</v>
      </c>
      <c r="L17" s="7">
        <f t="shared" si="9"/>
        <v>323051.97600000002</v>
      </c>
      <c r="M17" s="7">
        <f t="shared" si="9"/>
        <v>376229.25599999999</v>
      </c>
      <c r="N17" s="7">
        <f t="shared" si="9"/>
        <v>429406.53600000002</v>
      </c>
      <c r="O17" s="7">
        <f t="shared" si="9"/>
        <v>482583.81599999999</v>
      </c>
    </row>
    <row r="18" spans="2:15">
      <c r="D18" s="1" t="s">
        <v>27</v>
      </c>
      <c r="E18" s="7">
        <f t="shared" ref="E18:O18" si="10">E45+E69</f>
        <v>0</v>
      </c>
      <c r="F18" s="7">
        <f t="shared" si="10"/>
        <v>45120</v>
      </c>
      <c r="G18" s="7">
        <f t="shared" si="10"/>
        <v>45120</v>
      </c>
      <c r="H18" s="7">
        <f t="shared" si="10"/>
        <v>45120</v>
      </c>
      <c r="I18" s="7">
        <f t="shared" si="10"/>
        <v>45120</v>
      </c>
      <c r="J18" s="7">
        <f t="shared" si="10"/>
        <v>45120</v>
      </c>
      <c r="K18" s="7">
        <f t="shared" si="10"/>
        <v>45120</v>
      </c>
      <c r="L18" s="7">
        <f t="shared" si="10"/>
        <v>45120</v>
      </c>
      <c r="M18" s="7">
        <f t="shared" si="10"/>
        <v>45120</v>
      </c>
      <c r="N18" s="7">
        <f t="shared" si="10"/>
        <v>45120</v>
      </c>
      <c r="O18" s="7">
        <f t="shared" si="10"/>
        <v>45120</v>
      </c>
    </row>
    <row r="19" spans="2:15">
      <c r="B19" s="17"/>
      <c r="C19" s="17" t="s">
        <v>40</v>
      </c>
      <c r="D19" s="17"/>
      <c r="E19" s="60">
        <f t="shared" ref="E19:O19" si="11">E46+E70</f>
        <v>0</v>
      </c>
      <c r="F19" s="60">
        <f t="shared" si="11"/>
        <v>29013.510000000002</v>
      </c>
      <c r="G19" s="60">
        <f t="shared" si="11"/>
        <v>216908.64720000001</v>
      </c>
      <c r="H19" s="60">
        <f t="shared" si="11"/>
        <v>541876.59273600008</v>
      </c>
      <c r="I19" s="60">
        <f t="shared" si="11"/>
        <v>952292.87280768016</v>
      </c>
      <c r="J19" s="60">
        <f t="shared" si="11"/>
        <v>1334437.2913507586</v>
      </c>
      <c r="K19" s="60">
        <f t="shared" si="11"/>
        <v>1690457.3498790676</v>
      </c>
      <c r="L19" s="60">
        <f t="shared" si="11"/>
        <v>2022330.0082556517</v>
      </c>
      <c r="M19" s="60">
        <f t="shared" si="11"/>
        <v>2331876.0485937009</v>
      </c>
      <c r="N19" s="60">
        <f t="shared" si="11"/>
        <v>2620773.1425661724</v>
      </c>
      <c r="O19" s="60">
        <f t="shared" si="11"/>
        <v>2890567.7478196877</v>
      </c>
    </row>
    <row r="20" spans="2:15">
      <c r="D20" s="1" t="s">
        <v>21</v>
      </c>
      <c r="E20" s="7">
        <f t="shared" ref="E20:O20" si="12">E47+E71</f>
        <v>0</v>
      </c>
      <c r="F20" s="7">
        <f t="shared" si="12"/>
        <v>25200</v>
      </c>
      <c r="G20" s="7">
        <f t="shared" si="12"/>
        <v>194544</v>
      </c>
      <c r="H20" s="7">
        <f t="shared" si="12"/>
        <v>476269.92000000004</v>
      </c>
      <c r="I20" s="7">
        <f t="shared" si="12"/>
        <v>832019.02560000005</v>
      </c>
      <c r="J20" s="7">
        <f t="shared" si="12"/>
        <v>1162865.6938080001</v>
      </c>
      <c r="K20" s="7">
        <f t="shared" si="12"/>
        <v>1470553.09524144</v>
      </c>
      <c r="L20" s="7">
        <f t="shared" si="12"/>
        <v>1756702.3785745394</v>
      </c>
      <c r="M20" s="7">
        <f t="shared" si="12"/>
        <v>2022821.2120743219</v>
      </c>
      <c r="N20" s="7">
        <f t="shared" si="12"/>
        <v>2270311.7272291193</v>
      </c>
      <c r="O20" s="7">
        <f t="shared" si="12"/>
        <v>2500477.9063230809</v>
      </c>
    </row>
    <row r="21" spans="2:15">
      <c r="D21" s="1" t="s">
        <v>24</v>
      </c>
      <c r="E21" s="7">
        <f t="shared" ref="E21:O21" si="13">E48+E72</f>
        <v>0</v>
      </c>
      <c r="F21" s="7">
        <f t="shared" si="13"/>
        <v>0</v>
      </c>
      <c r="G21" s="7">
        <f t="shared" si="13"/>
        <v>0</v>
      </c>
      <c r="H21" s="7">
        <f t="shared" si="13"/>
        <v>0</v>
      </c>
      <c r="I21" s="7">
        <f t="shared" si="13"/>
        <v>0</v>
      </c>
      <c r="J21" s="7">
        <f t="shared" si="13"/>
        <v>0</v>
      </c>
      <c r="K21" s="7">
        <f t="shared" si="13"/>
        <v>0</v>
      </c>
      <c r="L21" s="7">
        <f t="shared" si="13"/>
        <v>0</v>
      </c>
      <c r="M21" s="7">
        <f t="shared" si="13"/>
        <v>0</v>
      </c>
      <c r="N21" s="7">
        <f t="shared" si="13"/>
        <v>0</v>
      </c>
      <c r="O21" s="7">
        <f t="shared" si="13"/>
        <v>0</v>
      </c>
    </row>
    <row r="22" spans="2:15">
      <c r="D22" s="1" t="s">
        <v>25</v>
      </c>
      <c r="E22" s="7">
        <f t="shared" ref="E22:O22" si="14">E49+E73</f>
        <v>0</v>
      </c>
      <c r="F22" s="7">
        <f t="shared" si="14"/>
        <v>2151.7199999999998</v>
      </c>
      <c r="G22" s="7">
        <f t="shared" si="14"/>
        <v>12393.9072</v>
      </c>
      <c r="H22" s="7">
        <f t="shared" si="14"/>
        <v>35694.452735999992</v>
      </c>
      <c r="I22" s="7">
        <f t="shared" si="14"/>
        <v>63772.987207679995</v>
      </c>
      <c r="J22" s="7">
        <f t="shared" si="14"/>
        <v>88482.097542758391</v>
      </c>
      <c r="K22" s="7">
        <f t="shared" si="14"/>
        <v>110226.11463762738</v>
      </c>
      <c r="L22" s="7">
        <f t="shared" si="14"/>
        <v>129360.8496811121</v>
      </c>
      <c r="M22" s="7">
        <f t="shared" si="14"/>
        <v>146199.41651937866</v>
      </c>
      <c r="N22" s="7">
        <f t="shared" si="14"/>
        <v>161017.35533705325</v>
      </c>
      <c r="O22" s="7">
        <f t="shared" si="14"/>
        <v>174057.14149660687</v>
      </c>
    </row>
    <row r="23" spans="2:15">
      <c r="D23" s="1" t="s">
        <v>26</v>
      </c>
      <c r="E23" s="7">
        <f t="shared" ref="E23:O23" si="15">E50+E74</f>
        <v>0</v>
      </c>
      <c r="F23" s="7">
        <f t="shared" si="15"/>
        <v>1661.79</v>
      </c>
      <c r="G23" s="7">
        <f t="shared" si="15"/>
        <v>9970.74</v>
      </c>
      <c r="H23" s="7">
        <f t="shared" si="15"/>
        <v>29912.22</v>
      </c>
      <c r="I23" s="7">
        <f t="shared" si="15"/>
        <v>56500.86</v>
      </c>
      <c r="J23" s="7">
        <f t="shared" si="15"/>
        <v>83089.5</v>
      </c>
      <c r="K23" s="7">
        <f t="shared" si="15"/>
        <v>109678.14000000001</v>
      </c>
      <c r="L23" s="7">
        <f t="shared" si="15"/>
        <v>136266.78</v>
      </c>
      <c r="M23" s="7">
        <f t="shared" si="15"/>
        <v>162855.42000000001</v>
      </c>
      <c r="N23" s="7">
        <f t="shared" si="15"/>
        <v>189444.06</v>
      </c>
      <c r="O23" s="7">
        <f t="shared" si="15"/>
        <v>216032.7</v>
      </c>
    </row>
    <row r="24" spans="2:15">
      <c r="D24" s="1" t="s">
        <v>27</v>
      </c>
      <c r="E24" s="7">
        <f t="shared" ref="E24:O24" si="16">E51+E75</f>
        <v>0</v>
      </c>
      <c r="F24" s="7">
        <f t="shared" si="16"/>
        <v>0</v>
      </c>
      <c r="G24" s="7">
        <f t="shared" si="16"/>
        <v>0</v>
      </c>
      <c r="H24" s="7">
        <f t="shared" si="16"/>
        <v>0</v>
      </c>
      <c r="I24" s="7">
        <f t="shared" si="16"/>
        <v>0</v>
      </c>
      <c r="J24" s="7">
        <f t="shared" si="16"/>
        <v>0</v>
      </c>
      <c r="K24" s="7">
        <f t="shared" si="16"/>
        <v>0</v>
      </c>
      <c r="L24" s="7">
        <f t="shared" si="16"/>
        <v>0</v>
      </c>
      <c r="M24" s="7">
        <f t="shared" si="16"/>
        <v>0</v>
      </c>
      <c r="N24" s="7">
        <f t="shared" si="16"/>
        <v>0</v>
      </c>
      <c r="O24" s="7">
        <f t="shared" si="16"/>
        <v>0</v>
      </c>
    </row>
    <row r="25" spans="2:15">
      <c r="B25" s="17"/>
      <c r="C25" s="17" t="s">
        <v>41</v>
      </c>
      <c r="D25" s="17"/>
      <c r="E25" s="60">
        <f t="shared" ref="E25:O25" si="17">E52+E76</f>
        <v>0</v>
      </c>
      <c r="F25" s="60">
        <f t="shared" si="17"/>
        <v>6871.0259999999998</v>
      </c>
      <c r="G25" s="60">
        <f t="shared" si="17"/>
        <v>37397.345759999997</v>
      </c>
      <c r="H25" s="60">
        <f t="shared" si="17"/>
        <v>82058.215468799986</v>
      </c>
      <c r="I25" s="60">
        <f t="shared" si="17"/>
        <v>130823.17881254401</v>
      </c>
      <c r="J25" s="60">
        <f t="shared" si="17"/>
        <v>175087.05139903873</v>
      </c>
      <c r="K25" s="60">
        <f t="shared" si="17"/>
        <v>215295.41478007409</v>
      </c>
      <c r="L25" s="60">
        <f t="shared" si="17"/>
        <v>251846.99917496077</v>
      </c>
      <c r="M25" s="60">
        <f t="shared" si="17"/>
        <v>285098.84233866638</v>
      </c>
      <c r="N25" s="60">
        <f t="shared" si="17"/>
        <v>315370.8617961983</v>
      </c>
      <c r="O25" s="60">
        <f t="shared" si="17"/>
        <v>342949.90856915433</v>
      </c>
    </row>
    <row r="26" spans="2:15">
      <c r="D26" s="1" t="s">
        <v>21</v>
      </c>
      <c r="E26" s="7">
        <f t="shared" ref="E26:O26" si="18">E53+E77</f>
        <v>0</v>
      </c>
      <c r="F26" s="7">
        <f t="shared" si="18"/>
        <v>2460</v>
      </c>
      <c r="G26" s="7">
        <f t="shared" si="18"/>
        <v>19951.2</v>
      </c>
      <c r="H26" s="7">
        <f t="shared" si="18"/>
        <v>44198.615999999995</v>
      </c>
      <c r="I26" s="7">
        <f t="shared" si="18"/>
        <v>71212.712880000006</v>
      </c>
      <c r="J26" s="7">
        <f t="shared" si="18"/>
        <v>96335.822978400014</v>
      </c>
      <c r="K26" s="7">
        <f t="shared" si="18"/>
        <v>119700.31536991202</v>
      </c>
      <c r="L26" s="7">
        <f t="shared" si="18"/>
        <v>141429.29329401816</v>
      </c>
      <c r="M26" s="7">
        <f t="shared" si="18"/>
        <v>161637.24276343689</v>
      </c>
      <c r="N26" s="7">
        <f t="shared" si="18"/>
        <v>180430.63576999633</v>
      </c>
      <c r="O26" s="7">
        <f t="shared" si="18"/>
        <v>197908.49126609659</v>
      </c>
    </row>
    <row r="27" spans="2:15">
      <c r="D27" s="1" t="s">
        <v>24</v>
      </c>
      <c r="E27" s="7">
        <f t="shared" ref="E27:O27" si="19">E54+E78</f>
        <v>0</v>
      </c>
      <c r="F27" s="7">
        <f t="shared" si="19"/>
        <v>0</v>
      </c>
      <c r="G27" s="7">
        <f t="shared" si="19"/>
        <v>0</v>
      </c>
      <c r="H27" s="7">
        <f t="shared" si="19"/>
        <v>0</v>
      </c>
      <c r="I27" s="7">
        <f t="shared" si="19"/>
        <v>0</v>
      </c>
      <c r="J27" s="7">
        <f t="shared" si="19"/>
        <v>0</v>
      </c>
      <c r="K27" s="7">
        <f t="shared" si="19"/>
        <v>0</v>
      </c>
      <c r="L27" s="7">
        <f t="shared" si="19"/>
        <v>0</v>
      </c>
      <c r="M27" s="7">
        <f t="shared" si="19"/>
        <v>0</v>
      </c>
      <c r="N27" s="7">
        <f t="shared" si="19"/>
        <v>0</v>
      </c>
      <c r="O27" s="7">
        <f t="shared" si="19"/>
        <v>0</v>
      </c>
    </row>
    <row r="28" spans="2:15">
      <c r="D28" s="1" t="s">
        <v>25</v>
      </c>
      <c r="E28" s="7">
        <f t="shared" ref="E28:O28" si="20">E55+E79</f>
        <v>0</v>
      </c>
      <c r="F28" s="7">
        <f t="shared" si="20"/>
        <v>4411.0259999999998</v>
      </c>
      <c r="G28" s="7">
        <f t="shared" si="20"/>
        <v>17446.145759999999</v>
      </c>
      <c r="H28" s="7">
        <f t="shared" si="20"/>
        <v>37859.599468799999</v>
      </c>
      <c r="I28" s="7">
        <f t="shared" si="20"/>
        <v>59610.465932544001</v>
      </c>
      <c r="J28" s="7">
        <f t="shared" si="20"/>
        <v>78751.228420638712</v>
      </c>
      <c r="K28" s="7">
        <f t="shared" si="20"/>
        <v>95595.099410162074</v>
      </c>
      <c r="L28" s="7">
        <f t="shared" si="20"/>
        <v>110417.70588094261</v>
      </c>
      <c r="M28" s="7">
        <f t="shared" si="20"/>
        <v>123461.59957522951</v>
      </c>
      <c r="N28" s="7">
        <f t="shared" si="20"/>
        <v>134940.22602620197</v>
      </c>
      <c r="O28" s="7">
        <f t="shared" si="20"/>
        <v>145041.41730305774</v>
      </c>
    </row>
    <row r="29" spans="2:15">
      <c r="D29" s="1" t="s">
        <v>26</v>
      </c>
      <c r="E29" s="7">
        <f t="shared" ref="E29:O29" si="21">E56+E80</f>
        <v>0</v>
      </c>
      <c r="F29" s="7">
        <f t="shared" si="21"/>
        <v>0</v>
      </c>
      <c r="G29" s="7">
        <f t="shared" si="21"/>
        <v>0</v>
      </c>
      <c r="H29" s="7">
        <f t="shared" si="21"/>
        <v>0</v>
      </c>
      <c r="I29" s="7">
        <f t="shared" si="21"/>
        <v>0</v>
      </c>
      <c r="J29" s="7">
        <f t="shared" si="21"/>
        <v>0</v>
      </c>
      <c r="K29" s="7">
        <f t="shared" si="21"/>
        <v>0</v>
      </c>
      <c r="L29" s="7">
        <f t="shared" si="21"/>
        <v>0</v>
      </c>
      <c r="M29" s="7">
        <f t="shared" si="21"/>
        <v>0</v>
      </c>
      <c r="N29" s="7">
        <f t="shared" si="21"/>
        <v>0</v>
      </c>
      <c r="O29" s="7">
        <f t="shared" si="21"/>
        <v>0</v>
      </c>
    </row>
    <row r="30" spans="2:15">
      <c r="D30" s="1" t="s">
        <v>27</v>
      </c>
      <c r="E30" s="7">
        <f t="shared" ref="E30:O30" si="22">E57+E81</f>
        <v>0</v>
      </c>
      <c r="F30" s="7">
        <f t="shared" si="22"/>
        <v>0</v>
      </c>
      <c r="G30" s="7">
        <f t="shared" si="22"/>
        <v>0</v>
      </c>
      <c r="H30" s="7">
        <f t="shared" si="22"/>
        <v>0</v>
      </c>
      <c r="I30" s="7">
        <f t="shared" si="22"/>
        <v>0</v>
      </c>
      <c r="J30" s="7">
        <f t="shared" si="22"/>
        <v>0</v>
      </c>
      <c r="K30" s="7">
        <f t="shared" si="22"/>
        <v>0</v>
      </c>
      <c r="L30" s="7">
        <f t="shared" si="22"/>
        <v>0</v>
      </c>
      <c r="M30" s="7">
        <f t="shared" si="22"/>
        <v>0</v>
      </c>
      <c r="N30" s="7">
        <f t="shared" si="22"/>
        <v>0</v>
      </c>
      <c r="O30" s="7">
        <f t="shared" si="22"/>
        <v>0</v>
      </c>
    </row>
    <row r="31" spans="2:15">
      <c r="B31" s="9"/>
      <c r="C31" s="9" t="s">
        <v>42</v>
      </c>
      <c r="D31" s="9" t="s">
        <v>23</v>
      </c>
      <c r="E31" s="16">
        <f>SUM(E32:E39)</f>
        <v>196749.08799999999</v>
      </c>
      <c r="F31" s="16">
        <f>SUM(F32:F39)</f>
        <v>218371.89039999997</v>
      </c>
      <c r="G31" s="16">
        <f t="shared" ref="G31:O31" si="23">SUM(G32:G39)</f>
        <v>580586.25623200007</v>
      </c>
      <c r="H31" s="16">
        <f t="shared" si="23"/>
        <v>1099224.5610541601</v>
      </c>
      <c r="I31" s="16">
        <f t="shared" si="23"/>
        <v>1883524.6764941609</v>
      </c>
      <c r="J31" s="16">
        <f t="shared" si="23"/>
        <v>2613756.7877341062</v>
      </c>
      <c r="K31" s="16">
        <f t="shared" si="23"/>
        <v>3294275.7283303114</v>
      </c>
      <c r="L31" s="16">
        <f t="shared" si="23"/>
        <v>3929063.0846986715</v>
      </c>
      <c r="M31" s="16">
        <f t="shared" si="23"/>
        <v>4521761.5324694682</v>
      </c>
      <c r="N31" s="16">
        <f t="shared" si="23"/>
        <v>5075705.7842107443</v>
      </c>
      <c r="O31" s="16">
        <f t="shared" si="23"/>
        <v>5593950.5039348351</v>
      </c>
    </row>
    <row r="32" spans="2:15">
      <c r="D32" s="1" t="s">
        <v>21</v>
      </c>
      <c r="E32" s="7">
        <f>契約数!E8*客単価!E5</f>
        <v>27901.439999999999</v>
      </c>
      <c r="F32" s="7">
        <f>F41+F47+F53</f>
        <v>30215.700000000004</v>
      </c>
      <c r="G32" s="7">
        <f t="shared" ref="G32:O32" si="24">G41+G47+G53</f>
        <v>305928.80100000004</v>
      </c>
      <c r="H32" s="7">
        <f t="shared" si="24"/>
        <v>698828.78493000008</v>
      </c>
      <c r="I32" s="7">
        <f t="shared" si="24"/>
        <v>1308350.7699849</v>
      </c>
      <c r="J32" s="7">
        <f t="shared" si="24"/>
        <v>1875206.2160859571</v>
      </c>
      <c r="K32" s="7">
        <f t="shared" si="24"/>
        <v>2402381.78095994</v>
      </c>
      <c r="L32" s="7">
        <f t="shared" si="24"/>
        <v>2892655.0562927444</v>
      </c>
      <c r="M32" s="7">
        <f t="shared" si="24"/>
        <v>3348609.2023522523</v>
      </c>
      <c r="N32" s="7">
        <f t="shared" si="24"/>
        <v>3772646.5581875951</v>
      </c>
      <c r="O32" s="7">
        <f t="shared" si="24"/>
        <v>4167001.2991144634</v>
      </c>
    </row>
    <row r="33" spans="2:17">
      <c r="D33" s="1" t="s">
        <v>24</v>
      </c>
      <c r="E33" s="7">
        <f>契約数!E9*客単価!E6</f>
        <v>39591.648000000001</v>
      </c>
      <c r="F33" s="7">
        <f t="shared" ref="F33:O33" si="25">F42+F48+F54</f>
        <v>52260.975359999997</v>
      </c>
      <c r="G33" s="7">
        <f t="shared" si="25"/>
        <v>45989.6583168</v>
      </c>
      <c r="H33" s="7">
        <f t="shared" si="25"/>
        <v>40470.899318784002</v>
      </c>
      <c r="I33" s="7">
        <f t="shared" si="25"/>
        <v>35614.391400529916</v>
      </c>
      <c r="J33" s="7">
        <f t="shared" si="25"/>
        <v>31340.664432466332</v>
      </c>
      <c r="K33" s="7">
        <f t="shared" si="25"/>
        <v>27579.784700570373</v>
      </c>
      <c r="L33" s="7">
        <f t="shared" si="25"/>
        <v>24270.210536501927</v>
      </c>
      <c r="M33" s="7">
        <f t="shared" si="25"/>
        <v>21357.785272121695</v>
      </c>
      <c r="N33" s="7">
        <f t="shared" si="25"/>
        <v>18794.851039467092</v>
      </c>
      <c r="O33" s="7">
        <f t="shared" si="25"/>
        <v>16539.468914731042</v>
      </c>
    </row>
    <row r="34" spans="2:17">
      <c r="D34" s="1" t="s">
        <v>25</v>
      </c>
      <c r="E34" s="7">
        <f>契約数!E10*客単価!E7</f>
        <v>0</v>
      </c>
      <c r="F34" s="7">
        <f t="shared" ref="F34:O34" si="26">F43+F49+F55</f>
        <v>2650.9190400000002</v>
      </c>
      <c r="G34" s="7">
        <f t="shared" si="26"/>
        <v>55540.540915199999</v>
      </c>
      <c r="H34" s="7">
        <f t="shared" si="26"/>
        <v>130296.76080537599</v>
      </c>
      <c r="I34" s="7">
        <f t="shared" si="26"/>
        <v>230165.47910873088</v>
      </c>
      <c r="J34" s="7">
        <f t="shared" si="26"/>
        <v>318049.95121568319</v>
      </c>
      <c r="K34" s="7">
        <f t="shared" si="26"/>
        <v>395388.28666980116</v>
      </c>
      <c r="L34" s="7">
        <f t="shared" si="26"/>
        <v>463446.02186942508</v>
      </c>
      <c r="M34" s="7">
        <f t="shared" si="26"/>
        <v>523336.82884509407</v>
      </c>
      <c r="N34" s="7">
        <f t="shared" si="26"/>
        <v>576040.73898368271</v>
      </c>
      <c r="O34" s="7">
        <f t="shared" si="26"/>
        <v>622420.17990564078</v>
      </c>
    </row>
    <row r="35" spans="2:17">
      <c r="D35" s="1" t="s">
        <v>26</v>
      </c>
      <c r="E35" s="7">
        <f>契約数!E11*客単価!E8</f>
        <v>0</v>
      </c>
      <c r="F35" s="7">
        <f>F44+F50+F56</f>
        <v>3988.2960000000003</v>
      </c>
      <c r="G35" s="7">
        <f t="shared" ref="G35:O35" si="27">G44+G50+G56</f>
        <v>43871.256000000001</v>
      </c>
      <c r="H35" s="7">
        <f t="shared" si="27"/>
        <v>100372.11600000001</v>
      </c>
      <c r="I35" s="7">
        <f t="shared" si="27"/>
        <v>180138.03600000002</v>
      </c>
      <c r="J35" s="7">
        <f t="shared" si="27"/>
        <v>259903.95600000001</v>
      </c>
      <c r="K35" s="7">
        <f t="shared" si="27"/>
        <v>339669.87600000005</v>
      </c>
      <c r="L35" s="7">
        <f t="shared" si="27"/>
        <v>419435.79600000003</v>
      </c>
      <c r="M35" s="7">
        <f t="shared" si="27"/>
        <v>499201.71600000001</v>
      </c>
      <c r="N35" s="7">
        <f t="shared" si="27"/>
        <v>578967.63599999994</v>
      </c>
      <c r="O35" s="7">
        <f t="shared" si="27"/>
        <v>658733.55599999998</v>
      </c>
    </row>
    <row r="36" spans="2:17">
      <c r="D36" s="1" t="s">
        <v>27</v>
      </c>
      <c r="E36" s="7">
        <f>契約数!E12*客単価!E9</f>
        <v>45120</v>
      </c>
      <c r="F36" s="7">
        <f>F45+F51+F57</f>
        <v>45120</v>
      </c>
      <c r="G36" s="7">
        <f t="shared" ref="G36:O36" si="28">G45+G51+G57</f>
        <v>45120</v>
      </c>
      <c r="H36" s="7">
        <f t="shared" si="28"/>
        <v>45120</v>
      </c>
      <c r="I36" s="7">
        <f t="shared" si="28"/>
        <v>45120</v>
      </c>
      <c r="J36" s="7">
        <f t="shared" si="28"/>
        <v>45120</v>
      </c>
      <c r="K36" s="7">
        <f t="shared" si="28"/>
        <v>45120</v>
      </c>
      <c r="L36" s="7">
        <f t="shared" si="28"/>
        <v>45120</v>
      </c>
      <c r="M36" s="7">
        <f t="shared" si="28"/>
        <v>45120</v>
      </c>
      <c r="N36" s="7">
        <f t="shared" si="28"/>
        <v>45120</v>
      </c>
      <c r="O36" s="7">
        <f t="shared" si="28"/>
        <v>45120</v>
      </c>
    </row>
    <row r="37" spans="2:17">
      <c r="D37" s="1" t="s">
        <v>28</v>
      </c>
      <c r="E37" s="5">
        <v>937</v>
      </c>
      <c r="F37" s="7">
        <f>E37</f>
        <v>937</v>
      </c>
      <c r="G37" s="7">
        <f t="shared" ref="G37:O37" si="29">F37</f>
        <v>937</v>
      </c>
      <c r="H37" s="7">
        <f t="shared" si="29"/>
        <v>937</v>
      </c>
      <c r="I37" s="7">
        <f t="shared" si="29"/>
        <v>937</v>
      </c>
      <c r="J37" s="7">
        <f t="shared" si="29"/>
        <v>937</v>
      </c>
      <c r="K37" s="7">
        <f t="shared" si="29"/>
        <v>937</v>
      </c>
      <c r="L37" s="7">
        <f t="shared" si="29"/>
        <v>937</v>
      </c>
      <c r="M37" s="7">
        <f t="shared" si="29"/>
        <v>937</v>
      </c>
      <c r="N37" s="7">
        <f t="shared" si="29"/>
        <v>937</v>
      </c>
      <c r="O37" s="7">
        <f t="shared" si="29"/>
        <v>937</v>
      </c>
      <c r="Q37" s="1" t="s">
        <v>43</v>
      </c>
    </row>
    <row r="38" spans="2:17">
      <c r="D38" s="1" t="s">
        <v>29</v>
      </c>
      <c r="E38" s="5">
        <v>49598</v>
      </c>
      <c r="F38" s="7">
        <f>E38</f>
        <v>49598</v>
      </c>
      <c r="G38" s="7">
        <f t="shared" ref="G38:O38" si="30">F38</f>
        <v>49598</v>
      </c>
      <c r="H38" s="7">
        <f t="shared" si="30"/>
        <v>49598</v>
      </c>
      <c r="I38" s="7">
        <f t="shared" si="30"/>
        <v>49598</v>
      </c>
      <c r="J38" s="7">
        <f t="shared" si="30"/>
        <v>49598</v>
      </c>
      <c r="K38" s="7">
        <f t="shared" si="30"/>
        <v>49598</v>
      </c>
      <c r="L38" s="7">
        <f t="shared" si="30"/>
        <v>49598</v>
      </c>
      <c r="M38" s="7">
        <f t="shared" si="30"/>
        <v>49598</v>
      </c>
      <c r="N38" s="7">
        <f t="shared" si="30"/>
        <v>49598</v>
      </c>
      <c r="O38" s="7">
        <f t="shared" si="30"/>
        <v>49598</v>
      </c>
      <c r="Q38" s="1" t="s">
        <v>44</v>
      </c>
    </row>
    <row r="39" spans="2:17">
      <c r="D39" s="1" t="s">
        <v>30</v>
      </c>
      <c r="E39" s="5">
        <v>33601</v>
      </c>
      <c r="F39" s="7">
        <f>E39</f>
        <v>33601</v>
      </c>
      <c r="G39" s="7">
        <f t="shared" ref="G39:O39" si="31">F39</f>
        <v>33601</v>
      </c>
      <c r="H39" s="7">
        <f t="shared" si="31"/>
        <v>33601</v>
      </c>
      <c r="I39" s="7">
        <f t="shared" si="31"/>
        <v>33601</v>
      </c>
      <c r="J39" s="7">
        <f t="shared" si="31"/>
        <v>33601</v>
      </c>
      <c r="K39" s="7">
        <f t="shared" si="31"/>
        <v>33601</v>
      </c>
      <c r="L39" s="7">
        <f t="shared" si="31"/>
        <v>33601</v>
      </c>
      <c r="M39" s="7">
        <f t="shared" si="31"/>
        <v>33601</v>
      </c>
      <c r="N39" s="7">
        <f t="shared" si="31"/>
        <v>33601</v>
      </c>
      <c r="O39" s="7">
        <f t="shared" si="31"/>
        <v>33601</v>
      </c>
      <c r="Q39" s="1" t="s">
        <v>45</v>
      </c>
    </row>
    <row r="40" spans="2:17">
      <c r="B40" s="17"/>
      <c r="C40" s="17" t="s">
        <v>39</v>
      </c>
      <c r="D40" s="17"/>
      <c r="E40" s="60">
        <f>SUM(E41:E45)</f>
        <v>0</v>
      </c>
      <c r="F40" s="60">
        <f t="shared" ref="F40" si="32">SUM(F41:F45)</f>
        <v>134235.89039999997</v>
      </c>
      <c r="G40" s="60">
        <f t="shared" ref="G40" si="33">SUM(G41:G45)</f>
        <v>378681.04327199998</v>
      </c>
      <c r="H40" s="60">
        <f t="shared" ref="H40" si="34">SUM(H41:H45)</f>
        <v>652848.01284936001</v>
      </c>
      <c r="I40" s="60">
        <f t="shared" ref="I40" si="35">SUM(I41:I45)</f>
        <v>977966.88487393677</v>
      </c>
      <c r="J40" s="60">
        <f t="shared" ref="J40" si="36">SUM(J41:J45)</f>
        <v>1281790.7049843094</v>
      </c>
      <c r="K40" s="60">
        <f t="shared" ref="K40" si="37">SUM(K41:K45)</f>
        <v>1566081.2236711702</v>
      </c>
      <c r="L40" s="60">
        <f t="shared" ref="L40" si="38">SUM(L41:L45)</f>
        <v>1832444.3372680591</v>
      </c>
      <c r="M40" s="60">
        <f t="shared" ref="M40" si="39">SUM(M41:M45)</f>
        <v>2082344.9015371013</v>
      </c>
      <c r="N40" s="60">
        <f t="shared" ref="N40" si="40">SUM(N41:N45)</f>
        <v>2317120.0398483742</v>
      </c>
      <c r="O40" s="60">
        <f t="shared" ref="O40" si="41">SUM(O41:O45)</f>
        <v>2537991.1075459928</v>
      </c>
    </row>
    <row r="41" spans="2:17">
      <c r="D41" s="1" t="s">
        <v>21</v>
      </c>
      <c r="E41" s="7"/>
      <c r="F41" s="7">
        <f>契約数!F13*客単価!F11</f>
        <v>30215.700000000004</v>
      </c>
      <c r="G41" s="7">
        <f>契約数!G13*客単価!G11</f>
        <v>203033.60100000002</v>
      </c>
      <c r="H41" s="7">
        <f>契約数!H13*客単価!H11</f>
        <v>395560.24893</v>
      </c>
      <c r="I41" s="7">
        <f>契約数!I13*客単価!I11</f>
        <v>622319.03150489996</v>
      </c>
      <c r="J41" s="7">
        <f>契約数!J13*客単価!J11</f>
        <v>833204.6992995569</v>
      </c>
      <c r="K41" s="7">
        <f>契約数!K13*客単価!K11</f>
        <v>1029328.3703485879</v>
      </c>
      <c r="L41" s="7">
        <f>契約数!L13*客単価!L11</f>
        <v>1211723.3844241868</v>
      </c>
      <c r="M41" s="7">
        <f>契約数!M13*客単価!M11</f>
        <v>1381350.7475144938</v>
      </c>
      <c r="N41" s="7">
        <f>契約数!N13*客単価!N11</f>
        <v>1539104.1951884793</v>
      </c>
      <c r="O41" s="7">
        <f>契約数!O13*客単価!O11</f>
        <v>1685814.9015252858</v>
      </c>
    </row>
    <row r="42" spans="2:17">
      <c r="D42" s="1" t="s">
        <v>24</v>
      </c>
      <c r="E42" s="7"/>
      <c r="F42" s="7">
        <f>契約数!F14*客単価!F12</f>
        <v>52260.975359999997</v>
      </c>
      <c r="G42" s="7">
        <f>契約数!G14*客単価!G12</f>
        <v>45989.6583168</v>
      </c>
      <c r="H42" s="7">
        <f>契約数!H14*客単価!H12</f>
        <v>40470.899318784002</v>
      </c>
      <c r="I42" s="7">
        <f>契約数!I14*客単価!I12</f>
        <v>35614.391400529916</v>
      </c>
      <c r="J42" s="7">
        <f>契約数!J14*客単価!J12</f>
        <v>31340.664432466332</v>
      </c>
      <c r="K42" s="7">
        <f>契約数!K14*客単価!K12</f>
        <v>27579.784700570373</v>
      </c>
      <c r="L42" s="7">
        <f>契約数!L14*客単価!L12</f>
        <v>24270.210536501927</v>
      </c>
      <c r="M42" s="7">
        <f>契約数!M14*客単価!M12</f>
        <v>21357.785272121695</v>
      </c>
      <c r="N42" s="7">
        <f>契約数!N14*客単価!N12</f>
        <v>18794.851039467092</v>
      </c>
      <c r="O42" s="7">
        <f>契約数!O14*客単価!O12</f>
        <v>16539.468914731042</v>
      </c>
    </row>
    <row r="43" spans="2:17">
      <c r="D43" s="1" t="s">
        <v>25</v>
      </c>
      <c r="E43" s="7"/>
      <c r="F43" s="7">
        <f>契約数!F15*客単価!F13</f>
        <v>2650.9190400000002</v>
      </c>
      <c r="G43" s="7">
        <f>契約数!G15*客単価!G13</f>
        <v>43990.107955200001</v>
      </c>
      <c r="H43" s="7">
        <f>契約数!H15*客単価!H13</f>
        <v>87942.648600575994</v>
      </c>
      <c r="I43" s="7">
        <f>契約数!I15*客単価!I13</f>
        <v>137981.96596850688</v>
      </c>
      <c r="J43" s="7">
        <f>契約数!J15*客単価!J13</f>
        <v>182016.56525228606</v>
      </c>
      <c r="K43" s="7">
        <f>契約数!K15*客単価!K13</f>
        <v>220767.01262201171</v>
      </c>
      <c r="L43" s="7">
        <f>契約数!L15*客単価!L13</f>
        <v>254867.40630737031</v>
      </c>
      <c r="M43" s="7">
        <f>契約数!M15*客単価!M13</f>
        <v>284875.7527504859</v>
      </c>
      <c r="N43" s="7">
        <f>契約数!N15*客単価!N13</f>
        <v>311283.09762042755</v>
      </c>
      <c r="O43" s="7">
        <f>契約数!O15*客単価!O13</f>
        <v>334521.56110597623</v>
      </c>
    </row>
    <row r="44" spans="2:17">
      <c r="D44" s="1" t="s">
        <v>26</v>
      </c>
      <c r="E44" s="7"/>
      <c r="F44" s="7">
        <f>契約数!F16*客単価!F14</f>
        <v>3988.2960000000003</v>
      </c>
      <c r="G44" s="7">
        <f>契約数!G16*客単価!G14</f>
        <v>40547.675999999999</v>
      </c>
      <c r="H44" s="7">
        <f>契約数!H16*客単価!H14</f>
        <v>83754.216</v>
      </c>
      <c r="I44" s="7">
        <f>契約数!I16*客単価!I14</f>
        <v>136931.49600000001</v>
      </c>
      <c r="J44" s="7">
        <f>契約数!J16*客単価!J14</f>
        <v>190108.77600000001</v>
      </c>
      <c r="K44" s="7">
        <f>契約数!K16*客単価!K14</f>
        <v>243286.05600000001</v>
      </c>
      <c r="L44" s="7">
        <f>契約数!L16*客単価!L14</f>
        <v>296463.33600000001</v>
      </c>
      <c r="M44" s="7">
        <f>契約数!M16*客単価!M14</f>
        <v>349640.61599999998</v>
      </c>
      <c r="N44" s="7">
        <f>契約数!N16*客単価!N14</f>
        <v>402817.89600000001</v>
      </c>
      <c r="O44" s="7">
        <f>契約数!O16*客単価!O14</f>
        <v>455995.17599999998</v>
      </c>
    </row>
    <row r="45" spans="2:17">
      <c r="D45" s="1" t="s">
        <v>27</v>
      </c>
      <c r="E45" s="7"/>
      <c r="F45" s="7">
        <f>契約数!F17*客単価!F15</f>
        <v>45120</v>
      </c>
      <c r="G45" s="7">
        <f>契約数!G17*客単価!G15</f>
        <v>45120</v>
      </c>
      <c r="H45" s="7">
        <f>契約数!H17*客単価!H15</f>
        <v>45120</v>
      </c>
      <c r="I45" s="7">
        <f>契約数!I17*客単価!I15</f>
        <v>45120</v>
      </c>
      <c r="J45" s="7">
        <f>契約数!J17*客単価!J15</f>
        <v>45120</v>
      </c>
      <c r="K45" s="7">
        <f>契約数!K17*客単価!K15</f>
        <v>45120</v>
      </c>
      <c r="L45" s="7">
        <f>契約数!L17*客単価!L15</f>
        <v>45120</v>
      </c>
      <c r="M45" s="7">
        <f>契約数!M17*客単価!M15</f>
        <v>45120</v>
      </c>
      <c r="N45" s="7">
        <f>契約数!N17*客単価!N15</f>
        <v>45120</v>
      </c>
      <c r="O45" s="7">
        <f>契約数!O17*客単価!O15</f>
        <v>45120</v>
      </c>
    </row>
    <row r="46" spans="2:17">
      <c r="B46" s="17"/>
      <c r="C46" s="17" t="s">
        <v>40</v>
      </c>
      <c r="D46" s="17"/>
      <c r="E46" s="60">
        <f>SUM(E47:E51)</f>
        <v>0</v>
      </c>
      <c r="F46" s="60">
        <f t="shared" ref="F46" si="42">SUM(F47:F51)</f>
        <v>0</v>
      </c>
      <c r="G46" s="60">
        <f t="shared" ref="G46" si="43">SUM(G47:G51)</f>
        <v>100854.6072</v>
      </c>
      <c r="H46" s="60">
        <f t="shared" ref="H46" si="44">SUM(H47:H51)</f>
        <v>309768.51273600006</v>
      </c>
      <c r="I46" s="60">
        <f t="shared" ref="I46" si="45">SUM(I47:I51)</f>
        <v>720184.79280768009</v>
      </c>
      <c r="J46" s="60">
        <f t="shared" ref="J46" si="46">SUM(J47:J51)</f>
        <v>1102329.2113507586</v>
      </c>
      <c r="K46" s="60">
        <f t="shared" ref="K46" si="47">SUM(K47:K51)</f>
        <v>1458349.2698790675</v>
      </c>
      <c r="L46" s="60">
        <f t="shared" ref="L46" si="48">SUM(L47:L51)</f>
        <v>1790221.9282556516</v>
      </c>
      <c r="M46" s="60">
        <f t="shared" ref="M46" si="49">SUM(M47:M51)</f>
        <v>2099767.9685937008</v>
      </c>
      <c r="N46" s="60">
        <f t="shared" ref="N46" si="50">SUM(N47:N51)</f>
        <v>2388665.0625661723</v>
      </c>
      <c r="O46" s="60">
        <f t="shared" ref="O46" si="51">SUM(O47:O51)</f>
        <v>2658459.6678196876</v>
      </c>
    </row>
    <row r="47" spans="2:17">
      <c r="D47" s="1" t="s">
        <v>21</v>
      </c>
      <c r="E47" s="7"/>
      <c r="F47" s="7">
        <f>契約数!F18*客単価!F16</f>
        <v>0</v>
      </c>
      <c r="G47" s="7">
        <f>契約数!G18*客単価!G16</f>
        <v>93744</v>
      </c>
      <c r="H47" s="7">
        <f>契約数!H18*客単価!H16</f>
        <v>274669.92000000004</v>
      </c>
      <c r="I47" s="7">
        <f>契約数!I18*客単価!I16</f>
        <v>630419.02560000005</v>
      </c>
      <c r="J47" s="7">
        <f>契約数!J18*客単価!J16</f>
        <v>961265.69380800019</v>
      </c>
      <c r="K47" s="7">
        <f>契約数!K18*客単価!K16</f>
        <v>1268953.09524144</v>
      </c>
      <c r="L47" s="7">
        <f>契約数!L18*客単価!L16</f>
        <v>1555102.3785745394</v>
      </c>
      <c r="M47" s="7">
        <f>契約数!M18*客単価!M16</f>
        <v>1821221.2120743219</v>
      </c>
      <c r="N47" s="7">
        <f>契約数!N18*客単価!N16</f>
        <v>2068711.7272291193</v>
      </c>
      <c r="O47" s="7">
        <f>契約数!O18*客単価!O16</f>
        <v>2298877.9063230809</v>
      </c>
    </row>
    <row r="48" spans="2:17">
      <c r="D48" s="1" t="s">
        <v>24</v>
      </c>
      <c r="E48" s="7"/>
      <c r="F48" s="7">
        <f>契約数!F19*客単価!F17</f>
        <v>0</v>
      </c>
      <c r="G48" s="7">
        <f>契約数!G19*客単価!G17</f>
        <v>0</v>
      </c>
      <c r="H48" s="7">
        <f>契約数!H19*客単価!H17</f>
        <v>0</v>
      </c>
      <c r="I48" s="7">
        <f>契約数!I19*客単価!I17</f>
        <v>0</v>
      </c>
      <c r="J48" s="7">
        <f>契約数!J19*客単価!J17</f>
        <v>0</v>
      </c>
      <c r="K48" s="7">
        <f>契約数!K19*客単価!K17</f>
        <v>0</v>
      </c>
      <c r="L48" s="7">
        <f>契約数!L19*客単価!L17</f>
        <v>0</v>
      </c>
      <c r="M48" s="7">
        <f>契約数!M19*客単価!M17</f>
        <v>0</v>
      </c>
      <c r="N48" s="7">
        <f>契約数!N19*客単価!N17</f>
        <v>0</v>
      </c>
      <c r="O48" s="7">
        <f>契約数!O19*客単価!O17</f>
        <v>0</v>
      </c>
    </row>
    <row r="49" spans="2:15">
      <c r="D49" s="1" t="s">
        <v>25</v>
      </c>
      <c r="E49" s="7"/>
      <c r="F49" s="7">
        <f>契約数!F20*客単価!F18</f>
        <v>0</v>
      </c>
      <c r="G49" s="7">
        <f>契約数!G20*客単価!G18</f>
        <v>3787.0272000000004</v>
      </c>
      <c r="H49" s="7">
        <f>契約数!H20*客単価!H18</f>
        <v>18480.692735999997</v>
      </c>
      <c r="I49" s="7">
        <f>契約数!I20*客単価!I18</f>
        <v>46559.227207679993</v>
      </c>
      <c r="J49" s="7">
        <f>契約数!J20*客単価!J18</f>
        <v>71268.337542758396</v>
      </c>
      <c r="K49" s="7">
        <f>契約数!K20*客単価!K18</f>
        <v>93012.354637627388</v>
      </c>
      <c r="L49" s="7">
        <f>契約数!L20*客単価!L18</f>
        <v>112147.08968111211</v>
      </c>
      <c r="M49" s="7">
        <f>契約数!M20*客単価!M18</f>
        <v>128985.65651937867</v>
      </c>
      <c r="N49" s="7">
        <f>契約数!N20*客単価!N18</f>
        <v>143803.59533705324</v>
      </c>
      <c r="O49" s="7">
        <f>契約数!O20*客単価!O18</f>
        <v>156843.38149660686</v>
      </c>
    </row>
    <row r="50" spans="2:15">
      <c r="D50" s="1" t="s">
        <v>26</v>
      </c>
      <c r="E50" s="7"/>
      <c r="F50" s="7">
        <f>契約数!F21*客単価!F19</f>
        <v>0</v>
      </c>
      <c r="G50" s="7">
        <f>契約数!G21*客単価!G19</f>
        <v>3323.58</v>
      </c>
      <c r="H50" s="7">
        <f>契約数!H21*客単価!H19</f>
        <v>16617.900000000001</v>
      </c>
      <c r="I50" s="7">
        <f>契約数!I21*客単価!I19</f>
        <v>43206.54</v>
      </c>
      <c r="J50" s="7">
        <f>契約数!J21*客単価!J19</f>
        <v>69795.180000000008</v>
      </c>
      <c r="K50" s="7">
        <f>契約数!K21*客単価!K19</f>
        <v>96383.82</v>
      </c>
      <c r="L50" s="7">
        <f>契約数!L21*客単価!L19</f>
        <v>122972.46</v>
      </c>
      <c r="M50" s="7">
        <f>契約数!M21*客単価!M19</f>
        <v>149561.1</v>
      </c>
      <c r="N50" s="7">
        <f>契約数!N21*客単価!N19</f>
        <v>176149.74</v>
      </c>
      <c r="O50" s="7">
        <f>契約数!O21*客単価!O19</f>
        <v>202738.38</v>
      </c>
    </row>
    <row r="51" spans="2:15">
      <c r="D51" s="1" t="s">
        <v>27</v>
      </c>
      <c r="E51" s="7"/>
      <c r="F51" s="7">
        <f>契約数!F22*客単価!F20</f>
        <v>0</v>
      </c>
      <c r="G51" s="7">
        <f>契約数!G22*客単価!G20</f>
        <v>0</v>
      </c>
      <c r="H51" s="7">
        <f>契約数!H22*客単価!H20</f>
        <v>0</v>
      </c>
      <c r="I51" s="7">
        <f>契約数!I22*客単価!I20</f>
        <v>0</v>
      </c>
      <c r="J51" s="7">
        <f>契約数!J22*客単価!J20</f>
        <v>0</v>
      </c>
      <c r="K51" s="7">
        <f>契約数!K22*客単価!K20</f>
        <v>0</v>
      </c>
      <c r="L51" s="7">
        <f>契約数!L22*客単価!L20</f>
        <v>0</v>
      </c>
      <c r="M51" s="7">
        <f>契約数!M22*客単価!M20</f>
        <v>0</v>
      </c>
      <c r="N51" s="7">
        <f>契約数!N22*客単価!N20</f>
        <v>0</v>
      </c>
      <c r="O51" s="7">
        <f>契約数!O22*客単価!O20</f>
        <v>0</v>
      </c>
    </row>
    <row r="52" spans="2:15">
      <c r="B52" s="17"/>
      <c r="C52" s="17" t="s">
        <v>41</v>
      </c>
      <c r="D52" s="17"/>
      <c r="E52" s="60">
        <f>SUM(E53:E57)</f>
        <v>0</v>
      </c>
      <c r="F52" s="60">
        <f t="shared" ref="F52" si="52">SUM(F53:F57)</f>
        <v>0</v>
      </c>
      <c r="G52" s="60">
        <f t="shared" ref="G52" si="53">SUM(G53:G57)</f>
        <v>16914.605759999999</v>
      </c>
      <c r="H52" s="60">
        <f t="shared" ref="H52" si="54">SUM(H53:H57)</f>
        <v>52472.035468799993</v>
      </c>
      <c r="I52" s="60">
        <f t="shared" ref="I52" si="55">SUM(I53:I57)</f>
        <v>101236.998812544</v>
      </c>
      <c r="J52" s="60">
        <f t="shared" ref="J52" si="56">SUM(J53:J57)</f>
        <v>145500.87139903873</v>
      </c>
      <c r="K52" s="60">
        <f t="shared" ref="K52" si="57">SUM(K53:K57)</f>
        <v>185709.2347800741</v>
      </c>
      <c r="L52" s="60">
        <f t="shared" ref="L52" si="58">SUM(L53:L57)</f>
        <v>222260.81917496078</v>
      </c>
      <c r="M52" s="60">
        <f t="shared" ref="M52" si="59">SUM(M53:M57)</f>
        <v>255512.66233866639</v>
      </c>
      <c r="N52" s="60">
        <f t="shared" ref="N52" si="60">SUM(N53:N57)</f>
        <v>285784.6817961983</v>
      </c>
      <c r="O52" s="60">
        <f t="shared" ref="O52" si="61">SUM(O53:O57)</f>
        <v>313363.72856915434</v>
      </c>
    </row>
    <row r="53" spans="2:15">
      <c r="D53" s="1" t="s">
        <v>21</v>
      </c>
      <c r="E53" s="7"/>
      <c r="F53" s="7">
        <f>契約数!F23*客単価!F21</f>
        <v>0</v>
      </c>
      <c r="G53" s="7">
        <f>契約数!G23*客単価!G21</f>
        <v>9151.2000000000007</v>
      </c>
      <c r="H53" s="7">
        <f>契約数!H23*客単価!H21</f>
        <v>28598.615999999998</v>
      </c>
      <c r="I53" s="7">
        <f>契約数!I23*客単価!I21</f>
        <v>55612.712879999999</v>
      </c>
      <c r="J53" s="7">
        <f>契約数!J23*客単価!J21</f>
        <v>80735.822978400014</v>
      </c>
      <c r="K53" s="7">
        <f>契約数!K23*客単価!K21</f>
        <v>104100.31536991202</v>
      </c>
      <c r="L53" s="7">
        <f>契約数!L23*客単価!L21</f>
        <v>125829.29329401816</v>
      </c>
      <c r="M53" s="7">
        <f>契約数!M23*客単価!M21</f>
        <v>146037.24276343689</v>
      </c>
      <c r="N53" s="7">
        <f>契約数!N23*客単価!N21</f>
        <v>164830.63576999633</v>
      </c>
      <c r="O53" s="7">
        <f>契約数!O23*客単価!O21</f>
        <v>182308.49126609659</v>
      </c>
    </row>
    <row r="54" spans="2:15">
      <c r="D54" s="1" t="s">
        <v>24</v>
      </c>
      <c r="E54" s="7"/>
      <c r="F54" s="7">
        <f>契約数!F24*客単価!F22</f>
        <v>0</v>
      </c>
      <c r="G54" s="7">
        <f>契約数!G24*客単価!G22</f>
        <v>0</v>
      </c>
      <c r="H54" s="7">
        <f>契約数!H24*客単価!H22</f>
        <v>0</v>
      </c>
      <c r="I54" s="7">
        <f>契約数!I24*客単価!I22</f>
        <v>0</v>
      </c>
      <c r="J54" s="7">
        <f>契約数!J24*客単価!J22</f>
        <v>0</v>
      </c>
      <c r="K54" s="7">
        <f>契約数!K24*客単価!K22</f>
        <v>0</v>
      </c>
      <c r="L54" s="7">
        <f>契約数!L24*客単価!L22</f>
        <v>0</v>
      </c>
      <c r="M54" s="7">
        <f>契約数!M24*客単価!M22</f>
        <v>0</v>
      </c>
      <c r="N54" s="7">
        <f>契約数!N24*客単価!N22</f>
        <v>0</v>
      </c>
      <c r="O54" s="7">
        <f>契約数!O24*客単価!O22</f>
        <v>0</v>
      </c>
    </row>
    <row r="55" spans="2:15">
      <c r="D55" s="1" t="s">
        <v>25</v>
      </c>
      <c r="E55" s="7"/>
      <c r="F55" s="7">
        <f>契約数!F25*客単価!F23</f>
        <v>0</v>
      </c>
      <c r="G55" s="7">
        <f>契約数!G25*客単価!G23</f>
        <v>7763.4057599999996</v>
      </c>
      <c r="H55" s="7">
        <f>契約数!H25*客単価!H23</f>
        <v>23873.419468799999</v>
      </c>
      <c r="I55" s="7">
        <f>契約数!I25*客単価!I23</f>
        <v>45624.285932544</v>
      </c>
      <c r="J55" s="7">
        <f>契約数!J25*客単価!J23</f>
        <v>64765.048420638712</v>
      </c>
      <c r="K55" s="7">
        <f>契約数!K25*客単価!K23</f>
        <v>81608.919410162067</v>
      </c>
      <c r="L55" s="7">
        <f>契約数!L25*客単価!L23</f>
        <v>96431.525880942616</v>
      </c>
      <c r="M55" s="7">
        <f>契約数!M25*客単価!M23</f>
        <v>109475.41957522951</v>
      </c>
      <c r="N55" s="7">
        <f>契約数!N25*客単価!N23</f>
        <v>120954.04602620196</v>
      </c>
      <c r="O55" s="7">
        <f>契約数!O25*客単価!O23</f>
        <v>131055.23730305773</v>
      </c>
    </row>
    <row r="56" spans="2:15">
      <c r="D56" s="1" t="s">
        <v>26</v>
      </c>
      <c r="E56" s="7"/>
      <c r="F56" s="7">
        <f>契約数!F26*客単価!F24</f>
        <v>0</v>
      </c>
      <c r="G56" s="7">
        <f>契約数!G26*客単価!G24</f>
        <v>0</v>
      </c>
      <c r="H56" s="7">
        <f>契約数!H26*客単価!H24</f>
        <v>0</v>
      </c>
      <c r="I56" s="7">
        <f>契約数!I26*客単価!I24</f>
        <v>0</v>
      </c>
      <c r="J56" s="7">
        <f>契約数!J26*客単価!J24</f>
        <v>0</v>
      </c>
      <c r="K56" s="7">
        <f>契約数!K26*客単価!K24</f>
        <v>0</v>
      </c>
      <c r="L56" s="7">
        <f>契約数!L26*客単価!L24</f>
        <v>0</v>
      </c>
      <c r="M56" s="7">
        <f>契約数!M26*客単価!M24</f>
        <v>0</v>
      </c>
      <c r="N56" s="7">
        <f>契約数!N26*客単価!N24</f>
        <v>0</v>
      </c>
      <c r="O56" s="7">
        <f>契約数!O26*客単価!O24</f>
        <v>0</v>
      </c>
    </row>
    <row r="57" spans="2:15">
      <c r="D57" s="1" t="s">
        <v>27</v>
      </c>
      <c r="E57" s="7"/>
      <c r="F57" s="7">
        <f>契約数!F27*客単価!F25</f>
        <v>0</v>
      </c>
      <c r="G57" s="7">
        <f>契約数!G27*客単価!G25</f>
        <v>0</v>
      </c>
      <c r="H57" s="7">
        <f>契約数!H27*客単価!H25</f>
        <v>0</v>
      </c>
      <c r="I57" s="7">
        <f>契約数!I27*客単価!I25</f>
        <v>0</v>
      </c>
      <c r="J57" s="7">
        <f>契約数!J27*客単価!J25</f>
        <v>0</v>
      </c>
      <c r="K57" s="7">
        <f>契約数!K27*客単価!K25</f>
        <v>0</v>
      </c>
      <c r="L57" s="7">
        <f>契約数!L27*客単価!L25</f>
        <v>0</v>
      </c>
      <c r="M57" s="7">
        <f>契約数!M27*客単価!M25</f>
        <v>0</v>
      </c>
      <c r="N57" s="7">
        <f>契約数!N27*客単価!N25</f>
        <v>0</v>
      </c>
      <c r="O57" s="7">
        <f>契約数!O27*客単価!O25</f>
        <v>0</v>
      </c>
    </row>
    <row r="58" spans="2:15">
      <c r="B58" s="9"/>
      <c r="C58" s="9" t="s">
        <v>46</v>
      </c>
      <c r="D58" s="9" t="s">
        <v>23</v>
      </c>
      <c r="E58" s="16">
        <f>SUM(E59:E63)</f>
        <v>17118.455999999998</v>
      </c>
      <c r="F58" s="16">
        <f>SUM(F59:F63)</f>
        <v>180138.42600000001</v>
      </c>
      <c r="G58" s="16">
        <f t="shared" ref="G58:O58" si="62">SUM(G59:G63)</f>
        <v>307018.64999999997</v>
      </c>
      <c r="H58" s="16">
        <f t="shared" si="62"/>
        <v>471518.10000000003</v>
      </c>
      <c r="I58" s="16">
        <f t="shared" si="62"/>
        <v>471518.10000000003</v>
      </c>
      <c r="J58" s="16">
        <f t="shared" si="62"/>
        <v>471518.10000000003</v>
      </c>
      <c r="K58" s="16">
        <f t="shared" si="62"/>
        <v>471518.10000000003</v>
      </c>
      <c r="L58" s="16">
        <f t="shared" si="62"/>
        <v>471518.10000000003</v>
      </c>
      <c r="M58" s="16">
        <f t="shared" si="62"/>
        <v>471518.10000000003</v>
      </c>
      <c r="N58" s="16">
        <f t="shared" si="62"/>
        <v>471518.10000000003</v>
      </c>
      <c r="O58" s="16">
        <f t="shared" si="62"/>
        <v>471518.10000000003</v>
      </c>
    </row>
    <row r="59" spans="2:15">
      <c r="D59" s="1" t="s">
        <v>21</v>
      </c>
      <c r="E59" s="7">
        <f>E65+E71+E77</f>
        <v>3720.192</v>
      </c>
      <c r="F59" s="7">
        <f>F65+F71+F77</f>
        <v>129965.28</v>
      </c>
      <c r="G59" s="7">
        <f t="shared" ref="G59:O59" si="63">G65+G71+G77</f>
        <v>232506.23999999999</v>
      </c>
      <c r="H59" s="7">
        <f t="shared" si="63"/>
        <v>366007.68</v>
      </c>
      <c r="I59" s="7">
        <f t="shared" si="63"/>
        <v>366007.68</v>
      </c>
      <c r="J59" s="7">
        <f t="shared" si="63"/>
        <v>366007.68</v>
      </c>
      <c r="K59" s="7">
        <f t="shared" si="63"/>
        <v>366007.68</v>
      </c>
      <c r="L59" s="7">
        <f t="shared" si="63"/>
        <v>366007.68</v>
      </c>
      <c r="M59" s="7">
        <f t="shared" si="63"/>
        <v>366007.68</v>
      </c>
      <c r="N59" s="7">
        <f t="shared" si="63"/>
        <v>366007.68</v>
      </c>
      <c r="O59" s="7">
        <f t="shared" si="63"/>
        <v>366007.68</v>
      </c>
    </row>
    <row r="60" spans="2:15">
      <c r="D60" s="1" t="s">
        <v>24</v>
      </c>
      <c r="E60" s="7">
        <f t="shared" ref="E60:E63" si="64">E66+E72+E78</f>
        <v>9897.9120000000003</v>
      </c>
      <c r="F60" s="7">
        <f t="shared" ref="F60:O60" si="65">F66+F72+F78</f>
        <v>0</v>
      </c>
      <c r="G60" s="7">
        <f t="shared" si="65"/>
        <v>0</v>
      </c>
      <c r="H60" s="7">
        <f t="shared" si="65"/>
        <v>0</v>
      </c>
      <c r="I60" s="7">
        <f t="shared" si="65"/>
        <v>0</v>
      </c>
      <c r="J60" s="7">
        <f t="shared" si="65"/>
        <v>0</v>
      </c>
      <c r="K60" s="7">
        <f t="shared" si="65"/>
        <v>0</v>
      </c>
      <c r="L60" s="7">
        <f t="shared" si="65"/>
        <v>0</v>
      </c>
      <c r="M60" s="7">
        <f t="shared" si="65"/>
        <v>0</v>
      </c>
      <c r="N60" s="7">
        <f t="shared" si="65"/>
        <v>0</v>
      </c>
      <c r="O60" s="7">
        <f t="shared" si="65"/>
        <v>0</v>
      </c>
    </row>
    <row r="61" spans="2:15">
      <c r="D61" s="1" t="s">
        <v>25</v>
      </c>
      <c r="E61" s="7">
        <f t="shared" si="64"/>
        <v>1506.204</v>
      </c>
      <c r="F61" s="7">
        <f t="shared" ref="F61:O61" si="66">F67+F73+F79</f>
        <v>30231.665999999997</v>
      </c>
      <c r="G61" s="7">
        <f t="shared" si="66"/>
        <v>46261.979999999996</v>
      </c>
      <c r="H61" s="7">
        <f t="shared" si="66"/>
        <v>65627.459999999992</v>
      </c>
      <c r="I61" s="7">
        <f t="shared" si="66"/>
        <v>65627.459999999992</v>
      </c>
      <c r="J61" s="7">
        <f t="shared" si="66"/>
        <v>65627.459999999992</v>
      </c>
      <c r="K61" s="7">
        <f t="shared" si="66"/>
        <v>65627.459999999992</v>
      </c>
      <c r="L61" s="7">
        <f t="shared" si="66"/>
        <v>65627.459999999992</v>
      </c>
      <c r="M61" s="7">
        <f t="shared" si="66"/>
        <v>65627.459999999992</v>
      </c>
      <c r="N61" s="7">
        <f t="shared" si="66"/>
        <v>65627.459999999992</v>
      </c>
      <c r="O61" s="7">
        <f t="shared" si="66"/>
        <v>65627.459999999992</v>
      </c>
    </row>
    <row r="62" spans="2:15">
      <c r="D62" s="1" t="s">
        <v>26</v>
      </c>
      <c r="E62" s="7">
        <f t="shared" si="64"/>
        <v>1994.1480000000001</v>
      </c>
      <c r="F62" s="7">
        <f t="shared" ref="F62:O62" si="67">F68+F74+F80</f>
        <v>19941.48</v>
      </c>
      <c r="G62" s="7">
        <f t="shared" si="67"/>
        <v>28250.43</v>
      </c>
      <c r="H62" s="7">
        <f t="shared" si="67"/>
        <v>39882.959999999999</v>
      </c>
      <c r="I62" s="7">
        <f t="shared" si="67"/>
        <v>39882.959999999999</v>
      </c>
      <c r="J62" s="7">
        <f t="shared" si="67"/>
        <v>39882.959999999999</v>
      </c>
      <c r="K62" s="7">
        <f t="shared" si="67"/>
        <v>39882.959999999999</v>
      </c>
      <c r="L62" s="7">
        <f t="shared" si="67"/>
        <v>39882.959999999999</v>
      </c>
      <c r="M62" s="7">
        <f t="shared" si="67"/>
        <v>39882.959999999999</v>
      </c>
      <c r="N62" s="7">
        <f t="shared" si="67"/>
        <v>39882.959999999999</v>
      </c>
      <c r="O62" s="7">
        <f t="shared" si="67"/>
        <v>39882.959999999999</v>
      </c>
    </row>
    <row r="63" spans="2:15">
      <c r="D63" s="1" t="s">
        <v>27</v>
      </c>
      <c r="E63" s="7">
        <f t="shared" si="64"/>
        <v>0</v>
      </c>
      <c r="F63" s="7">
        <f t="shared" ref="F63:O63" si="68">F69+F75+F81</f>
        <v>0</v>
      </c>
      <c r="G63" s="7">
        <f t="shared" si="68"/>
        <v>0</v>
      </c>
      <c r="H63" s="7">
        <f t="shared" si="68"/>
        <v>0</v>
      </c>
      <c r="I63" s="7">
        <f t="shared" si="68"/>
        <v>0</v>
      </c>
      <c r="J63" s="7">
        <f t="shared" si="68"/>
        <v>0</v>
      </c>
      <c r="K63" s="7">
        <f t="shared" si="68"/>
        <v>0</v>
      </c>
      <c r="L63" s="7">
        <f t="shared" si="68"/>
        <v>0</v>
      </c>
      <c r="M63" s="7">
        <f t="shared" si="68"/>
        <v>0</v>
      </c>
      <c r="N63" s="7">
        <f t="shared" si="68"/>
        <v>0</v>
      </c>
      <c r="O63" s="7">
        <f t="shared" si="68"/>
        <v>0</v>
      </c>
    </row>
    <row r="64" spans="2:15">
      <c r="B64" s="17"/>
      <c r="C64" s="17" t="s">
        <v>39</v>
      </c>
      <c r="D64" s="17"/>
      <c r="E64" s="60">
        <f>SUM(E65:E69)</f>
        <v>17118.455999999998</v>
      </c>
      <c r="F64" s="60">
        <f>SUM(F65:F69)</f>
        <v>144253.88999999998</v>
      </c>
      <c r="G64" s="60">
        <f t="shared" ref="G64:O64" si="69">SUM(G65:G69)</f>
        <v>170481.87</v>
      </c>
      <c r="H64" s="60">
        <f t="shared" si="69"/>
        <v>209823.83999999997</v>
      </c>
      <c r="I64" s="60">
        <f t="shared" si="69"/>
        <v>209823.83999999997</v>
      </c>
      <c r="J64" s="60">
        <f t="shared" si="69"/>
        <v>209823.83999999997</v>
      </c>
      <c r="K64" s="60">
        <f t="shared" si="69"/>
        <v>209823.83999999997</v>
      </c>
      <c r="L64" s="60">
        <f t="shared" si="69"/>
        <v>209823.83999999997</v>
      </c>
      <c r="M64" s="60">
        <f t="shared" si="69"/>
        <v>209823.83999999997</v>
      </c>
      <c r="N64" s="60">
        <f t="shared" si="69"/>
        <v>209823.83999999997</v>
      </c>
      <c r="O64" s="60">
        <f t="shared" si="69"/>
        <v>209823.83999999997</v>
      </c>
    </row>
    <row r="65" spans="2:15">
      <c r="D65" s="1" t="s">
        <v>21</v>
      </c>
      <c r="E65" s="7">
        <f>契約数!E34*客単価!E5*1/2</f>
        <v>3720.192</v>
      </c>
      <c r="F65" s="7">
        <f>契約数!F34*客単価!F5*1/2</f>
        <v>102305.28</v>
      </c>
      <c r="G65" s="7">
        <f>契約数!G34*客単価!G5*1/2</f>
        <v>120906.24000000001</v>
      </c>
      <c r="H65" s="7">
        <f>契約数!H34*客単価!H5*1/2</f>
        <v>148807.67999999999</v>
      </c>
      <c r="I65" s="7">
        <f>契約数!I34*客単価!I5*1/2</f>
        <v>148807.67999999999</v>
      </c>
      <c r="J65" s="7">
        <f>契約数!J34*客単価!J5*1/2</f>
        <v>148807.67999999999</v>
      </c>
      <c r="K65" s="7">
        <f>契約数!K34*客単価!K5*1/2</f>
        <v>148807.67999999999</v>
      </c>
      <c r="L65" s="7">
        <f>契約数!L34*客単価!L5*1/2</f>
        <v>148807.67999999999</v>
      </c>
      <c r="M65" s="7">
        <f>契約数!M34*客単価!M5*1/2</f>
        <v>148807.67999999999</v>
      </c>
      <c r="N65" s="7">
        <f>契約数!N34*客単価!N5*1/2</f>
        <v>148807.67999999999</v>
      </c>
      <c r="O65" s="7">
        <f>契約数!O34*客単価!O5*1/2</f>
        <v>148807.67999999999</v>
      </c>
    </row>
    <row r="66" spans="2:15">
      <c r="D66" s="1" t="s">
        <v>24</v>
      </c>
      <c r="E66" s="7">
        <f>契約数!E35*客単価!E6*1/2</f>
        <v>9897.9120000000003</v>
      </c>
      <c r="F66" s="7">
        <f>契約数!F35*客単価!F6*1/2</f>
        <v>0</v>
      </c>
      <c r="G66" s="7">
        <f>契約数!G35*客単価!G6*1/2</f>
        <v>0</v>
      </c>
      <c r="H66" s="7">
        <f>契約数!H35*客単価!H6*1/2</f>
        <v>0</v>
      </c>
      <c r="I66" s="7">
        <f>契約数!I35*客単価!I6*1/2</f>
        <v>0</v>
      </c>
      <c r="J66" s="7">
        <f>契約数!J35*客単価!J6*1/2</f>
        <v>0</v>
      </c>
      <c r="K66" s="7">
        <f>契約数!K35*客単価!K6*1/2</f>
        <v>0</v>
      </c>
      <c r="L66" s="7">
        <f>契約数!L35*客単価!L6*1/2</f>
        <v>0</v>
      </c>
      <c r="M66" s="7">
        <f>契約数!M35*客単価!M6*1/2</f>
        <v>0</v>
      </c>
      <c r="N66" s="7">
        <f>契約数!N35*客単価!N6*1/2</f>
        <v>0</v>
      </c>
      <c r="O66" s="7">
        <f>契約数!O35*客単価!O6*1/2</f>
        <v>0</v>
      </c>
    </row>
    <row r="67" spans="2:15">
      <c r="D67" s="1" t="s">
        <v>25</v>
      </c>
      <c r="E67" s="7">
        <f>契約数!E36*客単価!E7*1/2</f>
        <v>1506.204</v>
      </c>
      <c r="F67" s="7">
        <f>契約数!F36*客単価!F7*1/2</f>
        <v>23668.92</v>
      </c>
      <c r="G67" s="7">
        <f>契約数!G36*客単価!G7*1/2</f>
        <v>27972.36</v>
      </c>
      <c r="H67" s="7">
        <f>契約数!H36*客単価!H7*1/2</f>
        <v>34427.519999999997</v>
      </c>
      <c r="I67" s="7">
        <f>契約数!I36*客単価!I7*1/2</f>
        <v>34427.519999999997</v>
      </c>
      <c r="J67" s="7">
        <f>契約数!J36*客単価!J7*1/2</f>
        <v>34427.519999999997</v>
      </c>
      <c r="K67" s="7">
        <f>契約数!K36*客単価!K7*1/2</f>
        <v>34427.519999999997</v>
      </c>
      <c r="L67" s="7">
        <f>契約数!L36*客単価!L7*1/2</f>
        <v>34427.519999999997</v>
      </c>
      <c r="M67" s="7">
        <f>契約数!M36*客単価!M7*1/2</f>
        <v>34427.519999999997</v>
      </c>
      <c r="N67" s="7">
        <f>契約数!N36*客単価!N7*1/2</f>
        <v>34427.519999999997</v>
      </c>
      <c r="O67" s="7">
        <f>契約数!O36*客単価!O7*1/2</f>
        <v>34427.519999999997</v>
      </c>
    </row>
    <row r="68" spans="2:15">
      <c r="D68" s="1" t="s">
        <v>26</v>
      </c>
      <c r="E68" s="7">
        <f>契約数!E37*客単価!E8*1/2</f>
        <v>1994.1480000000001</v>
      </c>
      <c r="F68" s="7">
        <f>契約数!F37*客単価!F8*1/2</f>
        <v>18279.689999999999</v>
      </c>
      <c r="G68" s="7">
        <f>契約数!G37*客単価!G8*1/2</f>
        <v>21603.27</v>
      </c>
      <c r="H68" s="7">
        <f>契約数!H37*客単価!H8*1/2</f>
        <v>26588.639999999999</v>
      </c>
      <c r="I68" s="7">
        <f>契約数!I37*客単価!I8*1/2</f>
        <v>26588.639999999999</v>
      </c>
      <c r="J68" s="7">
        <f>契約数!J37*客単価!J8*1/2</f>
        <v>26588.639999999999</v>
      </c>
      <c r="K68" s="7">
        <f>契約数!K37*客単価!K8*1/2</f>
        <v>26588.639999999999</v>
      </c>
      <c r="L68" s="7">
        <f>契約数!L37*客単価!L8*1/2</f>
        <v>26588.639999999999</v>
      </c>
      <c r="M68" s="7">
        <f>契約数!M37*客単価!M8*1/2</f>
        <v>26588.639999999999</v>
      </c>
      <c r="N68" s="7">
        <f>契約数!N37*客単価!N8*1/2</f>
        <v>26588.639999999999</v>
      </c>
      <c r="O68" s="7">
        <f>契約数!O37*客単価!O8*1/2</f>
        <v>26588.639999999999</v>
      </c>
    </row>
    <row r="69" spans="2:15">
      <c r="D69" s="1" t="s">
        <v>27</v>
      </c>
      <c r="E69" s="7">
        <f>契約数!E38*客単価!E9*1/2</f>
        <v>0</v>
      </c>
      <c r="F69" s="7">
        <f>契約数!F38*客単価!F9*1/2</f>
        <v>0</v>
      </c>
      <c r="G69" s="7">
        <f>契約数!G38*客単価!G9*1/2</f>
        <v>0</v>
      </c>
      <c r="H69" s="7">
        <f>契約数!H38*客単価!H9*1/2</f>
        <v>0</v>
      </c>
      <c r="I69" s="7">
        <f>契約数!I38*客単価!I9*1/2</f>
        <v>0</v>
      </c>
      <c r="J69" s="7">
        <f>契約数!J38*客単価!J9*1/2</f>
        <v>0</v>
      </c>
      <c r="K69" s="7">
        <f>契約数!K38*客単価!K9*1/2</f>
        <v>0</v>
      </c>
      <c r="L69" s="7">
        <f>契約数!L38*客単価!L9*1/2</f>
        <v>0</v>
      </c>
      <c r="M69" s="7">
        <f>契約数!M38*客単価!M9*1/2</f>
        <v>0</v>
      </c>
      <c r="N69" s="7">
        <f>契約数!N38*客単価!N9*1/2</f>
        <v>0</v>
      </c>
      <c r="O69" s="7">
        <f>契約数!O38*客単価!O9*1/2</f>
        <v>0</v>
      </c>
    </row>
    <row r="70" spans="2:15">
      <c r="B70" s="17"/>
      <c r="C70" s="17" t="s">
        <v>40</v>
      </c>
      <c r="D70" s="17"/>
      <c r="E70" s="60">
        <f>SUM(E71:E75)</f>
        <v>0</v>
      </c>
      <c r="F70" s="60">
        <f>SUM(F71:F75)</f>
        <v>29013.510000000002</v>
      </c>
      <c r="G70" s="60">
        <f t="shared" ref="G70:O70" si="70">SUM(G71:G75)</f>
        <v>116054.04000000001</v>
      </c>
      <c r="H70" s="60">
        <f t="shared" si="70"/>
        <v>232108.08000000002</v>
      </c>
      <c r="I70" s="60">
        <f t="shared" si="70"/>
        <v>232108.08000000002</v>
      </c>
      <c r="J70" s="60">
        <f t="shared" si="70"/>
        <v>232108.08000000002</v>
      </c>
      <c r="K70" s="60">
        <f t="shared" si="70"/>
        <v>232108.08000000002</v>
      </c>
      <c r="L70" s="60">
        <f t="shared" si="70"/>
        <v>232108.08000000002</v>
      </c>
      <c r="M70" s="60">
        <f t="shared" si="70"/>
        <v>232108.08000000002</v>
      </c>
      <c r="N70" s="60">
        <f t="shared" si="70"/>
        <v>232108.08000000002</v>
      </c>
      <c r="O70" s="60">
        <f t="shared" si="70"/>
        <v>232108.08000000002</v>
      </c>
    </row>
    <row r="71" spans="2:15">
      <c r="D71" s="1" t="s">
        <v>21</v>
      </c>
      <c r="E71" s="7">
        <f>契約数!E39*客単価!E16*1/2</f>
        <v>0</v>
      </c>
      <c r="F71" s="7">
        <f>契約数!F39*客単価!F16*1/2</f>
        <v>25200</v>
      </c>
      <c r="G71" s="7">
        <f>契約数!G39*客単価!G16*1/2</f>
        <v>100800</v>
      </c>
      <c r="H71" s="7">
        <f>契約数!H39*客単価!H16*1/2</f>
        <v>201600</v>
      </c>
      <c r="I71" s="7">
        <f>契約数!I39*客単価!I16*1/2</f>
        <v>201600</v>
      </c>
      <c r="J71" s="7">
        <f>契約数!J39*客単価!J16*1/2</f>
        <v>201600</v>
      </c>
      <c r="K71" s="7">
        <f>契約数!K39*客単価!K16*1/2</f>
        <v>201600</v>
      </c>
      <c r="L71" s="7">
        <f>契約数!L39*客単価!L16*1/2</f>
        <v>201600</v>
      </c>
      <c r="M71" s="7">
        <f>契約数!M39*客単価!M16*1/2</f>
        <v>201600</v>
      </c>
      <c r="N71" s="7">
        <f>契約数!N39*客単価!N16*1/2</f>
        <v>201600</v>
      </c>
      <c r="O71" s="7">
        <f>契約数!O39*客単価!O16*1/2</f>
        <v>201600</v>
      </c>
    </row>
    <row r="72" spans="2:15">
      <c r="D72" s="1" t="s">
        <v>24</v>
      </c>
      <c r="E72" s="7">
        <f>契約数!E40*客単価!E17*1/2</f>
        <v>0</v>
      </c>
      <c r="F72" s="7">
        <f>契約数!F40*客単価!F17*1/2</f>
        <v>0</v>
      </c>
      <c r="G72" s="7">
        <f>契約数!G40*客単価!G17*1/2</f>
        <v>0</v>
      </c>
      <c r="H72" s="7">
        <f>契約数!H40*客単価!H17*1/2</f>
        <v>0</v>
      </c>
      <c r="I72" s="7">
        <f>契約数!I40*客単価!I17*1/2</f>
        <v>0</v>
      </c>
      <c r="J72" s="7">
        <f>契約数!J40*客単価!J17*1/2</f>
        <v>0</v>
      </c>
      <c r="K72" s="7">
        <f>契約数!K40*客単価!K17*1/2</f>
        <v>0</v>
      </c>
      <c r="L72" s="7">
        <f>契約数!L40*客単価!L17*1/2</f>
        <v>0</v>
      </c>
      <c r="M72" s="7">
        <f>契約数!M40*客単価!M17*1/2</f>
        <v>0</v>
      </c>
      <c r="N72" s="7">
        <f>契約数!N40*客単価!N17*1/2</f>
        <v>0</v>
      </c>
      <c r="O72" s="7">
        <f>契約数!O40*客単価!O17*1/2</f>
        <v>0</v>
      </c>
    </row>
    <row r="73" spans="2:15">
      <c r="D73" s="1" t="s">
        <v>25</v>
      </c>
      <c r="E73" s="7">
        <f>契約数!E41*客単価!E18*1/2</f>
        <v>0</v>
      </c>
      <c r="F73" s="7">
        <f>契約数!F41*客単価!F18*1/2</f>
        <v>2151.7199999999998</v>
      </c>
      <c r="G73" s="7">
        <f>契約数!G41*客単価!G18*1/2</f>
        <v>8606.8799999999992</v>
      </c>
      <c r="H73" s="7">
        <f>契約数!H41*客単価!H18*1/2</f>
        <v>17213.759999999998</v>
      </c>
      <c r="I73" s="7">
        <f>契約数!I41*客単価!I18*1/2</f>
        <v>17213.759999999998</v>
      </c>
      <c r="J73" s="7">
        <f>契約数!J41*客単価!J18*1/2</f>
        <v>17213.759999999998</v>
      </c>
      <c r="K73" s="7">
        <f>契約数!K41*客単価!K18*1/2</f>
        <v>17213.759999999998</v>
      </c>
      <c r="L73" s="7">
        <f>契約数!L41*客単価!L18*1/2</f>
        <v>17213.759999999998</v>
      </c>
      <c r="M73" s="7">
        <f>契約数!M41*客単価!M18*1/2</f>
        <v>17213.759999999998</v>
      </c>
      <c r="N73" s="7">
        <f>契約数!N41*客単価!N18*1/2</f>
        <v>17213.759999999998</v>
      </c>
      <c r="O73" s="7">
        <f>契約数!O41*客単価!O18*1/2</f>
        <v>17213.759999999998</v>
      </c>
    </row>
    <row r="74" spans="2:15">
      <c r="D74" s="1" t="s">
        <v>26</v>
      </c>
      <c r="E74" s="7">
        <f>契約数!E42*客単価!E19*1/2</f>
        <v>0</v>
      </c>
      <c r="F74" s="7">
        <f>契約数!F42*客単価!F19*1/2</f>
        <v>1661.79</v>
      </c>
      <c r="G74" s="7">
        <f>契約数!G42*客単価!G19*1/2</f>
        <v>6647.16</v>
      </c>
      <c r="H74" s="7">
        <f>契約数!H42*客単価!H19*1/2</f>
        <v>13294.32</v>
      </c>
      <c r="I74" s="7">
        <f>契約数!I42*客単価!I19*1/2</f>
        <v>13294.32</v>
      </c>
      <c r="J74" s="7">
        <f>契約数!J42*客単価!J19*1/2</f>
        <v>13294.32</v>
      </c>
      <c r="K74" s="7">
        <f>契約数!K42*客単価!K19*1/2</f>
        <v>13294.32</v>
      </c>
      <c r="L74" s="7">
        <f>契約数!L42*客単価!L19*1/2</f>
        <v>13294.32</v>
      </c>
      <c r="M74" s="7">
        <f>契約数!M42*客単価!M19*1/2</f>
        <v>13294.32</v>
      </c>
      <c r="N74" s="7">
        <f>契約数!N42*客単価!N19*1/2</f>
        <v>13294.32</v>
      </c>
      <c r="O74" s="7">
        <f>契約数!O42*客単価!O19*1/2</f>
        <v>13294.32</v>
      </c>
    </row>
    <row r="75" spans="2:15">
      <c r="D75" s="1" t="s">
        <v>27</v>
      </c>
      <c r="E75" s="7">
        <f>契約数!E43*客単価!E20*1/2</f>
        <v>0</v>
      </c>
      <c r="F75" s="7">
        <f>契約数!F43*客単価!F20*1/2</f>
        <v>0</v>
      </c>
      <c r="G75" s="7">
        <f>契約数!G43*客単価!G20*1/2</f>
        <v>0</v>
      </c>
      <c r="H75" s="7">
        <f>契約数!H43*客単価!H20*1/2</f>
        <v>0</v>
      </c>
      <c r="I75" s="7">
        <f>契約数!I43*客単価!I20*1/2</f>
        <v>0</v>
      </c>
      <c r="J75" s="7">
        <f>契約数!J43*客単価!J20*1/2</f>
        <v>0</v>
      </c>
      <c r="K75" s="7">
        <f>契約数!K43*客単価!K20*1/2</f>
        <v>0</v>
      </c>
      <c r="L75" s="7">
        <f>契約数!L43*客単価!L20*1/2</f>
        <v>0</v>
      </c>
      <c r="M75" s="7">
        <f>契約数!M43*客単価!M20*1/2</f>
        <v>0</v>
      </c>
      <c r="N75" s="7">
        <f>契約数!N43*客単価!N20*1/2</f>
        <v>0</v>
      </c>
      <c r="O75" s="7">
        <f>契約数!O43*客単価!O20*1/2</f>
        <v>0</v>
      </c>
    </row>
    <row r="76" spans="2:15">
      <c r="B76" s="17"/>
      <c r="C76" s="17" t="s">
        <v>41</v>
      </c>
      <c r="D76" s="17"/>
      <c r="E76" s="60">
        <f>SUM(E77:E81)</f>
        <v>0</v>
      </c>
      <c r="F76" s="60">
        <f t="shared" ref="F76:O76" si="71">SUM(F77:F81)</f>
        <v>6871.0259999999998</v>
      </c>
      <c r="G76" s="60">
        <f t="shared" si="71"/>
        <v>20482.739999999998</v>
      </c>
      <c r="H76" s="60">
        <f t="shared" si="71"/>
        <v>29586.18</v>
      </c>
      <c r="I76" s="60">
        <f t="shared" si="71"/>
        <v>29586.18</v>
      </c>
      <c r="J76" s="60">
        <f t="shared" si="71"/>
        <v>29586.18</v>
      </c>
      <c r="K76" s="60">
        <f t="shared" si="71"/>
        <v>29586.18</v>
      </c>
      <c r="L76" s="60">
        <f t="shared" si="71"/>
        <v>29586.18</v>
      </c>
      <c r="M76" s="60">
        <f t="shared" si="71"/>
        <v>29586.18</v>
      </c>
      <c r="N76" s="60">
        <f t="shared" si="71"/>
        <v>29586.18</v>
      </c>
      <c r="O76" s="60">
        <f t="shared" si="71"/>
        <v>29586.18</v>
      </c>
    </row>
    <row r="77" spans="2:15">
      <c r="D77" s="1" t="s">
        <v>21</v>
      </c>
      <c r="E77" s="7">
        <f>契約数!E44*客単価!E21*1/2</f>
        <v>0</v>
      </c>
      <c r="F77" s="7">
        <f>契約数!F44*客単価!F21*1/2</f>
        <v>2460</v>
      </c>
      <c r="G77" s="7">
        <f>契約数!G44*客単価!G21*1/2</f>
        <v>10800</v>
      </c>
      <c r="H77" s="7">
        <f>契約数!H44*客単価!H21*1/2</f>
        <v>15600</v>
      </c>
      <c r="I77" s="7">
        <f>契約数!I44*客単価!I21*1/2</f>
        <v>15600</v>
      </c>
      <c r="J77" s="7">
        <f>契約数!J44*客単価!J21*1/2</f>
        <v>15600</v>
      </c>
      <c r="K77" s="7">
        <f>契約数!K44*客単価!K21*1/2</f>
        <v>15600</v>
      </c>
      <c r="L77" s="7">
        <f>契約数!L44*客単価!L21*1/2</f>
        <v>15600</v>
      </c>
      <c r="M77" s="7">
        <f>契約数!M44*客単価!M21*1/2</f>
        <v>15600</v>
      </c>
      <c r="N77" s="7">
        <f>契約数!N44*客単価!N21*1/2</f>
        <v>15600</v>
      </c>
      <c r="O77" s="7">
        <f>契約数!O44*客単価!O21*1/2</f>
        <v>15600</v>
      </c>
    </row>
    <row r="78" spans="2:15">
      <c r="D78" s="1" t="s">
        <v>24</v>
      </c>
      <c r="E78" s="7">
        <f>契約数!E45*客単価!E22*1/2</f>
        <v>0</v>
      </c>
      <c r="F78" s="7">
        <f>契約数!F45*客単価!F22*1/2</f>
        <v>0</v>
      </c>
      <c r="G78" s="7">
        <f>契約数!G45*客単価!G22*1/2</f>
        <v>0</v>
      </c>
      <c r="H78" s="7">
        <f>契約数!H45*客単価!H22*1/2</f>
        <v>0</v>
      </c>
      <c r="I78" s="7">
        <f>契約数!I45*客単価!I22*1/2</f>
        <v>0</v>
      </c>
      <c r="J78" s="7">
        <f>契約数!J45*客単価!J22*1/2</f>
        <v>0</v>
      </c>
      <c r="K78" s="7">
        <f>契約数!K45*客単価!K22*1/2</f>
        <v>0</v>
      </c>
      <c r="L78" s="7">
        <f>契約数!L45*客単価!L22*1/2</f>
        <v>0</v>
      </c>
      <c r="M78" s="7">
        <f>契約数!M45*客単価!M22*1/2</f>
        <v>0</v>
      </c>
      <c r="N78" s="7">
        <f>契約数!N45*客単価!N22*1/2</f>
        <v>0</v>
      </c>
      <c r="O78" s="7">
        <f>契約数!O45*客単価!O22*1/2</f>
        <v>0</v>
      </c>
    </row>
    <row r="79" spans="2:15">
      <c r="D79" s="1" t="s">
        <v>25</v>
      </c>
      <c r="E79" s="7">
        <f>契約数!E46*客単価!E23*1/2</f>
        <v>0</v>
      </c>
      <c r="F79" s="7">
        <f>契約数!F46*客単価!F23*1/2</f>
        <v>4411.0259999999998</v>
      </c>
      <c r="G79" s="7">
        <f>契約数!G46*客単価!G23*1/2</f>
        <v>9682.74</v>
      </c>
      <c r="H79" s="7">
        <f>契約数!H46*客単価!H23*1/2</f>
        <v>13986.18</v>
      </c>
      <c r="I79" s="7">
        <f>契約数!I46*客単価!I23*1/2</f>
        <v>13986.18</v>
      </c>
      <c r="J79" s="7">
        <f>契約数!J46*客単価!J23*1/2</f>
        <v>13986.18</v>
      </c>
      <c r="K79" s="7">
        <f>契約数!K46*客単価!K23*1/2</f>
        <v>13986.18</v>
      </c>
      <c r="L79" s="7">
        <f>契約数!L46*客単価!L23*1/2</f>
        <v>13986.18</v>
      </c>
      <c r="M79" s="7">
        <f>契約数!M46*客単価!M23*1/2</f>
        <v>13986.18</v>
      </c>
      <c r="N79" s="7">
        <f>契約数!N46*客単価!N23*1/2</f>
        <v>13986.18</v>
      </c>
      <c r="O79" s="7">
        <f>契約数!O46*客単価!O23*1/2</f>
        <v>13986.18</v>
      </c>
    </row>
    <row r="80" spans="2:15">
      <c r="D80" s="1" t="s">
        <v>26</v>
      </c>
      <c r="E80" s="7">
        <f>契約数!E47*客単価!E24*1/2</f>
        <v>0</v>
      </c>
      <c r="F80" s="7">
        <f>契約数!F47*客単価!F24*1/2</f>
        <v>0</v>
      </c>
      <c r="G80" s="7">
        <f>契約数!G47*客単価!G24*1/2</f>
        <v>0</v>
      </c>
      <c r="H80" s="7">
        <f>契約数!H47*客単価!H24*1/2</f>
        <v>0</v>
      </c>
      <c r="I80" s="7">
        <f>契約数!I47*客単価!I24*1/2</f>
        <v>0</v>
      </c>
      <c r="J80" s="7">
        <f>契約数!J47*客単価!J24*1/2</f>
        <v>0</v>
      </c>
      <c r="K80" s="7">
        <f>契約数!K47*客単価!K24*1/2</f>
        <v>0</v>
      </c>
      <c r="L80" s="7">
        <f>契約数!L47*客単価!L24*1/2</f>
        <v>0</v>
      </c>
      <c r="M80" s="7">
        <f>契約数!M47*客単価!M24*1/2</f>
        <v>0</v>
      </c>
      <c r="N80" s="7">
        <f>契約数!N47*客単価!N24*1/2</f>
        <v>0</v>
      </c>
      <c r="O80" s="7">
        <f>契約数!O47*客単価!O24*1/2</f>
        <v>0</v>
      </c>
    </row>
    <row r="81" spans="4:15">
      <c r="D81" s="1" t="s">
        <v>27</v>
      </c>
      <c r="E81" s="7">
        <f>契約数!E48*客単価!E25*1/2</f>
        <v>0</v>
      </c>
      <c r="F81" s="7">
        <f>契約数!F48*客単価!F25*1/2</f>
        <v>0</v>
      </c>
      <c r="G81" s="7">
        <f>契約数!G48*客単価!G25*1/2</f>
        <v>0</v>
      </c>
      <c r="H81" s="7">
        <f>契約数!H48*客単価!H25*1/2</f>
        <v>0</v>
      </c>
      <c r="I81" s="7">
        <f>契約数!I48*客単価!I25*1/2</f>
        <v>0</v>
      </c>
      <c r="J81" s="7">
        <f>契約数!J48*客単価!J25*1/2</f>
        <v>0</v>
      </c>
      <c r="K81" s="7">
        <f>契約数!K48*客単価!K25*1/2</f>
        <v>0</v>
      </c>
      <c r="L81" s="7">
        <f>契約数!L48*客単価!L25*1/2</f>
        <v>0</v>
      </c>
      <c r="M81" s="7">
        <f>契約数!M48*客単価!M25*1/2</f>
        <v>0</v>
      </c>
      <c r="N81" s="7">
        <f>契約数!N48*客単価!N25*1/2</f>
        <v>0</v>
      </c>
      <c r="O81" s="7">
        <f>契約数!O48*客単価!O25*1/2</f>
        <v>0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F1CE-D896-4803-8F37-1192E16C5A2C}">
  <sheetPr>
    <tabColor theme="1"/>
  </sheetPr>
  <dimension ref="A1"/>
  <sheetViews>
    <sheetView workbookViewId="0">
      <selection activeCell="G41" sqref="G41"/>
    </sheetView>
  </sheetViews>
  <sheetFormatPr defaultRowHeight="12"/>
  <sheetData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ABD4-89C1-4E75-9A32-A061200ED321}">
  <dimension ref="B3:Q54"/>
  <sheetViews>
    <sheetView zoomScale="90" zoomScaleNormal="90" workbookViewId="0">
      <selection activeCell="S52" sqref="S52"/>
    </sheetView>
  </sheetViews>
  <sheetFormatPr defaultRowHeight="12"/>
  <cols>
    <col min="1" max="1" width="9.140625" style="1"/>
    <col min="2" max="2" width="5.7109375" style="1" customWidth="1"/>
    <col min="3" max="3" width="5.85546875" style="1" customWidth="1"/>
    <col min="4" max="4" width="13.5703125" style="1" bestFit="1" customWidth="1"/>
    <col min="5" max="15" width="9.140625" style="1" customWidth="1"/>
    <col min="16" max="16384" width="9.140625" style="1"/>
  </cols>
  <sheetData>
    <row r="3" spans="2:15"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2:15">
      <c r="B4" s="1" t="s">
        <v>47</v>
      </c>
      <c r="E4" s="4">
        <f>E5+E6</f>
        <v>290</v>
      </c>
      <c r="F4" s="4">
        <f t="shared" ref="F4:O4" si="0">F5+F6</f>
        <v>653.27</v>
      </c>
      <c r="G4" s="4">
        <f t="shared" si="0"/>
        <v>1191.1311000000001</v>
      </c>
      <c r="H4" s="4">
        <f t="shared" si="0"/>
        <v>1921.0235229999998</v>
      </c>
      <c r="I4" s="4">
        <f t="shared" si="0"/>
        <v>2592.8072843899999</v>
      </c>
      <c r="J4" s="4">
        <f t="shared" si="0"/>
        <v>3212.3999335226999</v>
      </c>
      <c r="K4" s="4">
        <f t="shared" si="0"/>
        <v>3785.0827981313109</v>
      </c>
      <c r="L4" s="4">
        <f t="shared" si="0"/>
        <v>4315.5721590226949</v>
      </c>
      <c r="M4" s="4">
        <f t="shared" si="0"/>
        <v>4808.0822458404136</v>
      </c>
      <c r="N4" s="4">
        <f t="shared" si="0"/>
        <v>5266.3810100269748</v>
      </c>
      <c r="O4" s="4">
        <f t="shared" si="0"/>
        <v>5693.8395181530304</v>
      </c>
    </row>
    <row r="5" spans="2:15">
      <c r="B5" s="8" t="s">
        <v>47</v>
      </c>
      <c r="C5" s="1" t="s">
        <v>48</v>
      </c>
      <c r="E5" s="4">
        <f>SUM(E8:E11)+SUM(E29:E32)</f>
        <v>170</v>
      </c>
      <c r="F5" s="4">
        <f t="shared" ref="F5:O5" si="1">SUM(F8:F11)+SUM(F29:F32)</f>
        <v>533.27</v>
      </c>
      <c r="G5" s="4">
        <f t="shared" si="1"/>
        <v>1071.1311000000001</v>
      </c>
      <c r="H5" s="4">
        <f t="shared" si="1"/>
        <v>1801.0235229999998</v>
      </c>
      <c r="I5" s="4">
        <f t="shared" si="1"/>
        <v>2472.8072843899999</v>
      </c>
      <c r="J5" s="4">
        <f t="shared" si="1"/>
        <v>3092.3999335226999</v>
      </c>
      <c r="K5" s="4">
        <f t="shared" si="1"/>
        <v>3665.0827981313109</v>
      </c>
      <c r="L5" s="4">
        <f t="shared" si="1"/>
        <v>4195.5721590226949</v>
      </c>
      <c r="M5" s="4">
        <f t="shared" si="1"/>
        <v>4688.0822458404136</v>
      </c>
      <c r="N5" s="4">
        <f t="shared" si="1"/>
        <v>5146.3810100269748</v>
      </c>
      <c r="O5" s="4">
        <f t="shared" si="1"/>
        <v>5573.8395181530304</v>
      </c>
    </row>
    <row r="6" spans="2:15">
      <c r="B6" s="8" t="s">
        <v>47</v>
      </c>
      <c r="C6" s="1" t="s">
        <v>49</v>
      </c>
      <c r="E6" s="4">
        <f>E12+E33</f>
        <v>120</v>
      </c>
      <c r="F6" s="4">
        <f t="shared" ref="F6:O6" si="2">F12+F33</f>
        <v>120</v>
      </c>
      <c r="G6" s="4">
        <f t="shared" si="2"/>
        <v>120</v>
      </c>
      <c r="H6" s="4">
        <f t="shared" si="2"/>
        <v>120</v>
      </c>
      <c r="I6" s="4">
        <f t="shared" si="2"/>
        <v>120</v>
      </c>
      <c r="J6" s="4">
        <f t="shared" si="2"/>
        <v>120</v>
      </c>
      <c r="K6" s="4">
        <f t="shared" si="2"/>
        <v>120</v>
      </c>
      <c r="L6" s="4">
        <f t="shared" si="2"/>
        <v>120</v>
      </c>
      <c r="M6" s="4">
        <f t="shared" si="2"/>
        <v>120</v>
      </c>
      <c r="N6" s="4">
        <f t="shared" si="2"/>
        <v>120</v>
      </c>
      <c r="O6" s="4">
        <f t="shared" si="2"/>
        <v>120</v>
      </c>
    </row>
    <row r="7" spans="2:15">
      <c r="B7" s="8" t="s">
        <v>47</v>
      </c>
      <c r="C7" s="9" t="s">
        <v>42</v>
      </c>
      <c r="D7" s="9"/>
      <c r="E7" s="16">
        <f>SUM(E8:E12)</f>
        <v>227</v>
      </c>
      <c r="F7" s="16">
        <f>SUM(F8:F11)</f>
        <v>151.27000000000001</v>
      </c>
      <c r="G7" s="16">
        <f t="shared" ref="G7:O7" si="3">SUM(G8:G11)</f>
        <v>486.1311</v>
      </c>
      <c r="H7" s="16">
        <f t="shared" si="3"/>
        <v>981.02352299999995</v>
      </c>
      <c r="I7" s="16">
        <f t="shared" si="3"/>
        <v>1652.8072843899999</v>
      </c>
      <c r="J7" s="16">
        <f t="shared" si="3"/>
        <v>2272.3999335226999</v>
      </c>
      <c r="K7" s="16">
        <f t="shared" si="3"/>
        <v>2845.0827981313109</v>
      </c>
      <c r="L7" s="16">
        <f t="shared" si="3"/>
        <v>3375.5721590226949</v>
      </c>
      <c r="M7" s="16">
        <f t="shared" si="3"/>
        <v>3868.0822458404136</v>
      </c>
      <c r="N7" s="16">
        <f t="shared" si="3"/>
        <v>4326.3810100269748</v>
      </c>
      <c r="O7" s="16">
        <f t="shared" si="3"/>
        <v>4753.8395181530304</v>
      </c>
    </row>
    <row r="8" spans="2:15">
      <c r="B8" s="8" t="s">
        <v>47</v>
      </c>
      <c r="D8" s="1" t="s">
        <v>21</v>
      </c>
      <c r="E8" s="7">
        <f>E13+E18+E23</f>
        <v>15</v>
      </c>
      <c r="F8" s="7">
        <f t="shared" ref="F8:O8" si="4">F13+F18+F23</f>
        <v>17.670000000000002</v>
      </c>
      <c r="G8" s="7">
        <f t="shared" si="4"/>
        <v>166.16310000000001</v>
      </c>
      <c r="H8" s="7">
        <f t="shared" si="4"/>
        <v>377.73168299999998</v>
      </c>
      <c r="I8" s="7">
        <f t="shared" si="4"/>
        <v>658.19046518999994</v>
      </c>
      <c r="J8" s="7">
        <f t="shared" si="4"/>
        <v>919.0171326267</v>
      </c>
      <c r="K8" s="7">
        <f t="shared" si="4"/>
        <v>1161.5859333428309</v>
      </c>
      <c r="L8" s="7">
        <f t="shared" si="4"/>
        <v>1387.1749180088327</v>
      </c>
      <c r="M8" s="7">
        <f t="shared" si="4"/>
        <v>1596.9726737482147</v>
      </c>
      <c r="N8" s="7">
        <f t="shared" si="4"/>
        <v>1792.0845865858396</v>
      </c>
      <c r="O8" s="7">
        <f t="shared" si="4"/>
        <v>1973.538665524831</v>
      </c>
    </row>
    <row r="9" spans="2:15">
      <c r="B9" s="8" t="s">
        <v>47</v>
      </c>
      <c r="D9" s="1" t="s">
        <v>24</v>
      </c>
      <c r="E9" s="7">
        <f t="shared" ref="E9:O12" si="5">E14+E19+E24</f>
        <v>92</v>
      </c>
      <c r="F9" s="7">
        <f t="shared" si="5"/>
        <v>121.44</v>
      </c>
      <c r="G9" s="7">
        <f t="shared" si="5"/>
        <v>106.8672</v>
      </c>
      <c r="H9" s="7">
        <f t="shared" si="5"/>
        <v>94.043136000000004</v>
      </c>
      <c r="I9" s="7">
        <f t="shared" si="5"/>
        <v>82.757959679999999</v>
      </c>
      <c r="J9" s="7">
        <f t="shared" si="5"/>
        <v>72.827004518400003</v>
      </c>
      <c r="K9" s="7">
        <f t="shared" si="5"/>
        <v>64.087763976192008</v>
      </c>
      <c r="L9" s="7">
        <f t="shared" si="5"/>
        <v>56.397232299048966</v>
      </c>
      <c r="M9" s="7">
        <f t="shared" si="5"/>
        <v>49.629564423163089</v>
      </c>
      <c r="N9" s="7">
        <f t="shared" si="5"/>
        <v>43.674016692383518</v>
      </c>
      <c r="O9" s="7">
        <f t="shared" si="5"/>
        <v>38.433134689297496</v>
      </c>
    </row>
    <row r="10" spans="2:15">
      <c r="B10" s="8" t="s">
        <v>47</v>
      </c>
      <c r="D10" s="1" t="s">
        <v>25</v>
      </c>
      <c r="E10" s="7">
        <f t="shared" si="5"/>
        <v>0</v>
      </c>
      <c r="F10" s="7">
        <f t="shared" si="5"/>
        <v>6.16</v>
      </c>
      <c r="G10" s="7">
        <f t="shared" si="5"/>
        <v>147.10079999999999</v>
      </c>
      <c r="H10" s="7">
        <f t="shared" si="5"/>
        <v>358.24870399999998</v>
      </c>
      <c r="I10" s="7">
        <f t="shared" si="5"/>
        <v>640.85885952000001</v>
      </c>
      <c r="J10" s="7">
        <f t="shared" si="5"/>
        <v>889.55579637760002</v>
      </c>
      <c r="K10" s="7">
        <f t="shared" si="5"/>
        <v>1108.409100812288</v>
      </c>
      <c r="L10" s="7">
        <f t="shared" si="5"/>
        <v>1301.0000087148132</v>
      </c>
      <c r="M10" s="7">
        <f t="shared" si="5"/>
        <v>1470.4800076690358</v>
      </c>
      <c r="N10" s="7">
        <f t="shared" si="5"/>
        <v>1619.6224067487515</v>
      </c>
      <c r="O10" s="7">
        <f t="shared" si="5"/>
        <v>1750.8677179389015</v>
      </c>
    </row>
    <row r="11" spans="2:15">
      <c r="B11" s="8" t="s">
        <v>47</v>
      </c>
      <c r="D11" s="1" t="s">
        <v>26</v>
      </c>
      <c r="E11" s="7">
        <f t="shared" si="5"/>
        <v>0</v>
      </c>
      <c r="F11" s="7">
        <f t="shared" si="5"/>
        <v>6</v>
      </c>
      <c r="G11" s="7">
        <f t="shared" si="5"/>
        <v>66</v>
      </c>
      <c r="H11" s="7">
        <f t="shared" si="5"/>
        <v>151</v>
      </c>
      <c r="I11" s="7">
        <f t="shared" si="5"/>
        <v>271</v>
      </c>
      <c r="J11" s="7">
        <f t="shared" si="5"/>
        <v>391</v>
      </c>
      <c r="K11" s="7">
        <f t="shared" si="5"/>
        <v>511</v>
      </c>
      <c r="L11" s="7">
        <f t="shared" si="5"/>
        <v>631</v>
      </c>
      <c r="M11" s="7">
        <f t="shared" si="5"/>
        <v>751</v>
      </c>
      <c r="N11" s="7">
        <f t="shared" si="5"/>
        <v>871</v>
      </c>
      <c r="O11" s="7">
        <f t="shared" si="5"/>
        <v>991</v>
      </c>
    </row>
    <row r="12" spans="2:15">
      <c r="B12" s="8" t="s">
        <v>47</v>
      </c>
      <c r="D12" s="1" t="s">
        <v>27</v>
      </c>
      <c r="E12" s="7">
        <f>E17+E22+E27</f>
        <v>120</v>
      </c>
      <c r="F12" s="7">
        <f t="shared" si="5"/>
        <v>120</v>
      </c>
      <c r="G12" s="7">
        <f t="shared" si="5"/>
        <v>120</v>
      </c>
      <c r="H12" s="7">
        <f t="shared" si="5"/>
        <v>120</v>
      </c>
      <c r="I12" s="7">
        <f t="shared" si="5"/>
        <v>120</v>
      </c>
      <c r="J12" s="7">
        <f t="shared" si="5"/>
        <v>120</v>
      </c>
      <c r="K12" s="7">
        <f t="shared" si="5"/>
        <v>120</v>
      </c>
      <c r="L12" s="7">
        <f t="shared" si="5"/>
        <v>120</v>
      </c>
      <c r="M12" s="7">
        <f t="shared" si="5"/>
        <v>120</v>
      </c>
      <c r="N12" s="7">
        <f t="shared" si="5"/>
        <v>120</v>
      </c>
      <c r="O12" s="7">
        <f t="shared" si="5"/>
        <v>120</v>
      </c>
    </row>
    <row r="13" spans="2:15">
      <c r="B13" s="8" t="s">
        <v>47</v>
      </c>
      <c r="C13" s="1" t="s">
        <v>39</v>
      </c>
      <c r="D13" s="1" t="s">
        <v>21</v>
      </c>
      <c r="E13" s="5">
        <v>15</v>
      </c>
      <c r="F13" s="7">
        <f>(E13+E34)*E50</f>
        <v>17.670000000000002</v>
      </c>
      <c r="G13" s="7">
        <f t="shared" ref="G13:O13" si="6">(F13+F34)*F50</f>
        <v>118.73310000000001</v>
      </c>
      <c r="H13" s="7">
        <f t="shared" si="6"/>
        <v>231.32178300000001</v>
      </c>
      <c r="I13" s="7">
        <f t="shared" si="6"/>
        <v>363.92925818999998</v>
      </c>
      <c r="J13" s="7">
        <f t="shared" si="6"/>
        <v>487.25421011669994</v>
      </c>
      <c r="K13" s="7">
        <f t="shared" si="6"/>
        <v>601.94641540853092</v>
      </c>
      <c r="L13" s="7">
        <f t="shared" si="6"/>
        <v>708.6101663299338</v>
      </c>
      <c r="M13" s="7">
        <f t="shared" si="6"/>
        <v>807.80745468683847</v>
      </c>
      <c r="N13" s="7">
        <f t="shared" si="6"/>
        <v>900.06093285875977</v>
      </c>
      <c r="O13" s="7">
        <f t="shared" si="6"/>
        <v>985.85666755864668</v>
      </c>
    </row>
    <row r="14" spans="2:15">
      <c r="B14" s="8" t="s">
        <v>47</v>
      </c>
      <c r="D14" s="1" t="s">
        <v>24</v>
      </c>
      <c r="E14" s="5">
        <v>92</v>
      </c>
      <c r="F14" s="7">
        <f>(E14+E35)*E51</f>
        <v>121.44</v>
      </c>
      <c r="G14" s="7">
        <f t="shared" ref="G14:O14" si="7">(F14+F35)*F51</f>
        <v>106.8672</v>
      </c>
      <c r="H14" s="7">
        <f t="shared" si="7"/>
        <v>94.043136000000004</v>
      </c>
      <c r="I14" s="7">
        <f t="shared" si="7"/>
        <v>82.757959679999999</v>
      </c>
      <c r="J14" s="7">
        <f t="shared" si="7"/>
        <v>72.827004518400003</v>
      </c>
      <c r="K14" s="7">
        <f t="shared" si="7"/>
        <v>64.087763976192008</v>
      </c>
      <c r="L14" s="7">
        <f t="shared" si="7"/>
        <v>56.397232299048966</v>
      </c>
      <c r="M14" s="7">
        <f t="shared" si="7"/>
        <v>49.629564423163089</v>
      </c>
      <c r="N14" s="7">
        <f t="shared" si="7"/>
        <v>43.674016692383518</v>
      </c>
      <c r="O14" s="7">
        <f t="shared" si="7"/>
        <v>38.433134689297496</v>
      </c>
    </row>
    <row r="15" spans="2:15">
      <c r="B15" s="8" t="s">
        <v>47</v>
      </c>
      <c r="D15" s="1" t="s">
        <v>25</v>
      </c>
      <c r="E15" s="5">
        <v>0</v>
      </c>
      <c r="F15" s="7">
        <f>(E15+E36)*E52</f>
        <v>6.16</v>
      </c>
      <c r="G15" s="7">
        <f t="shared" ref="G15:O15" si="8">(F15+F36)*F52</f>
        <v>102.2208</v>
      </c>
      <c r="H15" s="7">
        <f t="shared" si="8"/>
        <v>204.35430399999998</v>
      </c>
      <c r="I15" s="7">
        <f t="shared" si="8"/>
        <v>320.63178751999999</v>
      </c>
      <c r="J15" s="7">
        <f t="shared" si="8"/>
        <v>422.9559730176</v>
      </c>
      <c r="K15" s="7">
        <f t="shared" si="8"/>
        <v>513.00125625548799</v>
      </c>
      <c r="L15" s="7">
        <f t="shared" si="8"/>
        <v>592.24110550482942</v>
      </c>
      <c r="M15" s="7">
        <f t="shared" si="8"/>
        <v>661.97217284424994</v>
      </c>
      <c r="N15" s="7">
        <f t="shared" si="8"/>
        <v>723.3355121029399</v>
      </c>
      <c r="O15" s="7">
        <f t="shared" si="8"/>
        <v>777.33525065058711</v>
      </c>
    </row>
    <row r="16" spans="2:15">
      <c r="B16" s="8" t="s">
        <v>47</v>
      </c>
      <c r="D16" s="1" t="s">
        <v>26</v>
      </c>
      <c r="E16" s="5">
        <v>0</v>
      </c>
      <c r="F16" s="7">
        <f>(E16+E37)*E53</f>
        <v>6</v>
      </c>
      <c r="G16" s="7">
        <f t="shared" ref="G16:O16" si="9">(F16+F37)*F53</f>
        <v>61</v>
      </c>
      <c r="H16" s="7">
        <f t="shared" si="9"/>
        <v>126</v>
      </c>
      <c r="I16" s="7">
        <f t="shared" si="9"/>
        <v>206</v>
      </c>
      <c r="J16" s="7">
        <f t="shared" si="9"/>
        <v>286</v>
      </c>
      <c r="K16" s="7">
        <f t="shared" si="9"/>
        <v>366</v>
      </c>
      <c r="L16" s="7">
        <f t="shared" si="9"/>
        <v>446</v>
      </c>
      <c r="M16" s="7">
        <f t="shared" si="9"/>
        <v>526</v>
      </c>
      <c r="N16" s="7">
        <f t="shared" si="9"/>
        <v>606</v>
      </c>
      <c r="O16" s="7">
        <f t="shared" si="9"/>
        <v>686</v>
      </c>
    </row>
    <row r="17" spans="2:15">
      <c r="B17" s="8" t="s">
        <v>47</v>
      </c>
      <c r="D17" s="1" t="s">
        <v>27</v>
      </c>
      <c r="E17" s="5">
        <v>120</v>
      </c>
      <c r="F17" s="7">
        <f>(E17+E38)*E54</f>
        <v>120</v>
      </c>
      <c r="G17" s="7">
        <f t="shared" ref="G17:O17" si="10">(F17+F38)*F54</f>
        <v>120</v>
      </c>
      <c r="H17" s="7">
        <f t="shared" si="10"/>
        <v>120</v>
      </c>
      <c r="I17" s="7">
        <f t="shared" si="10"/>
        <v>120</v>
      </c>
      <c r="J17" s="7">
        <f t="shared" si="10"/>
        <v>120</v>
      </c>
      <c r="K17" s="7">
        <f t="shared" si="10"/>
        <v>120</v>
      </c>
      <c r="L17" s="7">
        <f t="shared" si="10"/>
        <v>120</v>
      </c>
      <c r="M17" s="7">
        <f t="shared" si="10"/>
        <v>120</v>
      </c>
      <c r="N17" s="7">
        <f t="shared" si="10"/>
        <v>120</v>
      </c>
      <c r="O17" s="7">
        <f t="shared" si="10"/>
        <v>120</v>
      </c>
    </row>
    <row r="18" spans="2:15">
      <c r="B18" s="8" t="s">
        <v>47</v>
      </c>
      <c r="C18" s="1" t="s">
        <v>40</v>
      </c>
      <c r="D18" s="1" t="s">
        <v>21</v>
      </c>
      <c r="E18" s="5"/>
      <c r="F18" s="7">
        <f>(E18+E39)*E50</f>
        <v>0</v>
      </c>
      <c r="G18" s="7">
        <f t="shared" ref="G18:O18" si="11">(F18+F39)*F50</f>
        <v>9.3000000000000007</v>
      </c>
      <c r="H18" s="7">
        <f t="shared" si="11"/>
        <v>27.249000000000002</v>
      </c>
      <c r="I18" s="7">
        <f t="shared" si="11"/>
        <v>62.54157</v>
      </c>
      <c r="J18" s="7">
        <f t="shared" si="11"/>
        <v>95.363660100000018</v>
      </c>
      <c r="K18" s="7">
        <f t="shared" si="11"/>
        <v>125.88820389300001</v>
      </c>
      <c r="L18" s="7">
        <f t="shared" si="11"/>
        <v>154.27602962049002</v>
      </c>
      <c r="M18" s="7">
        <f t="shared" si="11"/>
        <v>180.67670754705574</v>
      </c>
      <c r="N18" s="7">
        <f t="shared" si="11"/>
        <v>205.22933801876184</v>
      </c>
      <c r="O18" s="7">
        <f t="shared" si="11"/>
        <v>228.06328435744851</v>
      </c>
    </row>
    <row r="19" spans="2:15">
      <c r="B19" s="8" t="s">
        <v>47</v>
      </c>
      <c r="D19" s="1" t="s">
        <v>24</v>
      </c>
      <c r="E19" s="5"/>
      <c r="F19" s="7">
        <f>(E19+E40)*E51</f>
        <v>0</v>
      </c>
      <c r="G19" s="7">
        <f t="shared" ref="G19:O19" si="12">(F19+F40)*F51</f>
        <v>0</v>
      </c>
      <c r="H19" s="7">
        <f t="shared" si="12"/>
        <v>0</v>
      </c>
      <c r="I19" s="7">
        <f t="shared" si="12"/>
        <v>0</v>
      </c>
      <c r="J19" s="7">
        <f t="shared" si="12"/>
        <v>0</v>
      </c>
      <c r="K19" s="7">
        <f t="shared" si="12"/>
        <v>0</v>
      </c>
      <c r="L19" s="7">
        <f t="shared" si="12"/>
        <v>0</v>
      </c>
      <c r="M19" s="7">
        <f t="shared" si="12"/>
        <v>0</v>
      </c>
      <c r="N19" s="7">
        <f t="shared" si="12"/>
        <v>0</v>
      </c>
      <c r="O19" s="7">
        <f t="shared" si="12"/>
        <v>0</v>
      </c>
    </row>
    <row r="20" spans="2:15">
      <c r="B20" s="8" t="s">
        <v>47</v>
      </c>
      <c r="D20" s="1" t="s">
        <v>25</v>
      </c>
      <c r="E20" s="5"/>
      <c r="F20" s="7">
        <f>(E20+E41)*E52</f>
        <v>0</v>
      </c>
      <c r="G20" s="7">
        <f t="shared" ref="G20:O20" si="13">(F20+F41)*F52</f>
        <v>8.8000000000000007</v>
      </c>
      <c r="H20" s="7">
        <f t="shared" si="13"/>
        <v>42.943999999999996</v>
      </c>
      <c r="I20" s="7">
        <f t="shared" si="13"/>
        <v>108.19071999999998</v>
      </c>
      <c r="J20" s="7">
        <f t="shared" si="13"/>
        <v>165.60783359999999</v>
      </c>
      <c r="K20" s="7">
        <f t="shared" si="13"/>
        <v>216.134893568</v>
      </c>
      <c r="L20" s="7">
        <f t="shared" si="13"/>
        <v>260.59870633984002</v>
      </c>
      <c r="M20" s="7">
        <f t="shared" si="13"/>
        <v>299.72686157905923</v>
      </c>
      <c r="N20" s="7">
        <f t="shared" si="13"/>
        <v>334.15963818957215</v>
      </c>
      <c r="O20" s="7">
        <f t="shared" si="13"/>
        <v>364.46048160682352</v>
      </c>
    </row>
    <row r="21" spans="2:15">
      <c r="B21" s="8" t="s">
        <v>47</v>
      </c>
      <c r="D21" s="1" t="s">
        <v>26</v>
      </c>
      <c r="E21" s="5"/>
      <c r="F21" s="7">
        <f>(E21+E42)*E53</f>
        <v>0</v>
      </c>
      <c r="G21" s="7">
        <f t="shared" ref="G21:O21" si="14">(F21+F42)*F53</f>
        <v>5</v>
      </c>
      <c r="H21" s="7">
        <f t="shared" si="14"/>
        <v>25</v>
      </c>
      <c r="I21" s="7">
        <f t="shared" si="14"/>
        <v>65</v>
      </c>
      <c r="J21" s="7">
        <f t="shared" si="14"/>
        <v>105</v>
      </c>
      <c r="K21" s="7">
        <f t="shared" si="14"/>
        <v>145</v>
      </c>
      <c r="L21" s="7">
        <f t="shared" si="14"/>
        <v>185</v>
      </c>
      <c r="M21" s="7">
        <f t="shared" si="14"/>
        <v>225</v>
      </c>
      <c r="N21" s="7">
        <f t="shared" si="14"/>
        <v>265</v>
      </c>
      <c r="O21" s="7">
        <f t="shared" si="14"/>
        <v>305</v>
      </c>
    </row>
    <row r="22" spans="2:15">
      <c r="B22" s="8" t="s">
        <v>47</v>
      </c>
      <c r="D22" s="1" t="s">
        <v>27</v>
      </c>
      <c r="E22" s="5"/>
      <c r="F22" s="7">
        <f>(E22+E43)*E54</f>
        <v>0</v>
      </c>
      <c r="G22" s="7">
        <f t="shared" ref="G22:O22" si="15">(F22+F43)*F54</f>
        <v>0</v>
      </c>
      <c r="H22" s="7">
        <f t="shared" si="15"/>
        <v>0</v>
      </c>
      <c r="I22" s="7">
        <f t="shared" si="15"/>
        <v>0</v>
      </c>
      <c r="J22" s="7">
        <f t="shared" si="15"/>
        <v>0</v>
      </c>
      <c r="K22" s="7">
        <f t="shared" si="15"/>
        <v>0</v>
      </c>
      <c r="L22" s="7">
        <f t="shared" si="15"/>
        <v>0</v>
      </c>
      <c r="M22" s="7">
        <f t="shared" si="15"/>
        <v>0</v>
      </c>
      <c r="N22" s="7">
        <f t="shared" si="15"/>
        <v>0</v>
      </c>
      <c r="O22" s="7">
        <f t="shared" si="15"/>
        <v>0</v>
      </c>
    </row>
    <row r="23" spans="2:15">
      <c r="B23" s="8" t="s">
        <v>47</v>
      </c>
      <c r="C23" s="1" t="s">
        <v>41</v>
      </c>
      <c r="D23" s="1" t="s">
        <v>21</v>
      </c>
      <c r="E23" s="5"/>
      <c r="F23" s="7">
        <f t="shared" ref="F23:O23" si="16">(E23+E44)*E50</f>
        <v>0</v>
      </c>
      <c r="G23" s="7">
        <f t="shared" si="16"/>
        <v>38.130000000000003</v>
      </c>
      <c r="H23" s="7">
        <f t="shared" si="16"/>
        <v>119.1609</v>
      </c>
      <c r="I23" s="7">
        <f t="shared" si="16"/>
        <v>231.71963700000001</v>
      </c>
      <c r="J23" s="7">
        <f t="shared" si="16"/>
        <v>336.39926241000006</v>
      </c>
      <c r="K23" s="7">
        <f t="shared" si="16"/>
        <v>433.75131404130008</v>
      </c>
      <c r="L23" s="7">
        <f t="shared" si="16"/>
        <v>524.28872205840901</v>
      </c>
      <c r="M23" s="7">
        <f t="shared" si="16"/>
        <v>608.48851151432041</v>
      </c>
      <c r="N23" s="7">
        <f t="shared" si="16"/>
        <v>686.79431570831798</v>
      </c>
      <c r="O23" s="7">
        <f t="shared" si="16"/>
        <v>759.61871360873579</v>
      </c>
    </row>
    <row r="24" spans="2:15">
      <c r="B24" s="8" t="s">
        <v>47</v>
      </c>
      <c r="D24" s="1" t="s">
        <v>24</v>
      </c>
      <c r="E24" s="5"/>
      <c r="F24" s="7">
        <f t="shared" ref="F24:O24" si="17">(E24+E45)*E51</f>
        <v>0</v>
      </c>
      <c r="G24" s="7">
        <f t="shared" si="17"/>
        <v>0</v>
      </c>
      <c r="H24" s="7">
        <f t="shared" si="17"/>
        <v>0</v>
      </c>
      <c r="I24" s="7">
        <f t="shared" si="17"/>
        <v>0</v>
      </c>
      <c r="J24" s="7">
        <f t="shared" si="17"/>
        <v>0</v>
      </c>
      <c r="K24" s="7">
        <f t="shared" si="17"/>
        <v>0</v>
      </c>
      <c r="L24" s="7">
        <f t="shared" si="17"/>
        <v>0</v>
      </c>
      <c r="M24" s="7">
        <f t="shared" si="17"/>
        <v>0</v>
      </c>
      <c r="N24" s="7">
        <f t="shared" si="17"/>
        <v>0</v>
      </c>
      <c r="O24" s="7">
        <f t="shared" si="17"/>
        <v>0</v>
      </c>
    </row>
    <row r="25" spans="2:15">
      <c r="B25" s="8" t="s">
        <v>47</v>
      </c>
      <c r="D25" s="1" t="s">
        <v>25</v>
      </c>
      <c r="E25" s="5"/>
      <c r="F25" s="7">
        <f t="shared" ref="F25:O25" si="18">(E25+E46)*E52</f>
        <v>0</v>
      </c>
      <c r="G25" s="7">
        <f t="shared" si="18"/>
        <v>36.08</v>
      </c>
      <c r="H25" s="7">
        <f t="shared" si="18"/>
        <v>110.9504</v>
      </c>
      <c r="I25" s="7">
        <f t="shared" si="18"/>
        <v>212.03635199999999</v>
      </c>
      <c r="J25" s="7">
        <f t="shared" si="18"/>
        <v>300.99198975999997</v>
      </c>
      <c r="K25" s="7">
        <f t="shared" si="18"/>
        <v>379.27295098879995</v>
      </c>
      <c r="L25" s="7">
        <f t="shared" si="18"/>
        <v>448.16019687014398</v>
      </c>
      <c r="M25" s="7">
        <f t="shared" si="18"/>
        <v>508.78097324572673</v>
      </c>
      <c r="N25" s="7">
        <f t="shared" si="18"/>
        <v>562.12725645623948</v>
      </c>
      <c r="O25" s="7">
        <f t="shared" si="18"/>
        <v>609.07198568149079</v>
      </c>
    </row>
    <row r="26" spans="2:15">
      <c r="B26" s="8" t="s">
        <v>47</v>
      </c>
      <c r="D26" s="1" t="s">
        <v>26</v>
      </c>
      <c r="E26" s="5"/>
      <c r="F26" s="7">
        <f t="shared" ref="F26:O26" si="19">(E26+E47)*E53</f>
        <v>0</v>
      </c>
      <c r="G26" s="7">
        <f t="shared" si="19"/>
        <v>0</v>
      </c>
      <c r="H26" s="7">
        <f t="shared" si="19"/>
        <v>0</v>
      </c>
      <c r="I26" s="7">
        <f t="shared" si="19"/>
        <v>0</v>
      </c>
      <c r="J26" s="7">
        <f t="shared" si="19"/>
        <v>0</v>
      </c>
      <c r="K26" s="7">
        <f t="shared" si="19"/>
        <v>0</v>
      </c>
      <c r="L26" s="7">
        <f t="shared" si="19"/>
        <v>0</v>
      </c>
      <c r="M26" s="7">
        <f t="shared" si="19"/>
        <v>0</v>
      </c>
      <c r="N26" s="7">
        <f t="shared" si="19"/>
        <v>0</v>
      </c>
      <c r="O26" s="7">
        <f t="shared" si="19"/>
        <v>0</v>
      </c>
    </row>
    <row r="27" spans="2:15">
      <c r="B27" s="8" t="s">
        <v>47</v>
      </c>
      <c r="D27" s="1" t="s">
        <v>27</v>
      </c>
      <c r="E27" s="5"/>
      <c r="F27" s="7">
        <f t="shared" ref="F27:O27" si="20">(E27+E48)*E54</f>
        <v>0</v>
      </c>
      <c r="G27" s="7">
        <f t="shared" si="20"/>
        <v>0</v>
      </c>
      <c r="H27" s="7">
        <f t="shared" si="20"/>
        <v>0</v>
      </c>
      <c r="I27" s="7">
        <f t="shared" si="20"/>
        <v>0</v>
      </c>
      <c r="J27" s="7">
        <f t="shared" si="20"/>
        <v>0</v>
      </c>
      <c r="K27" s="7">
        <f t="shared" si="20"/>
        <v>0</v>
      </c>
      <c r="L27" s="7">
        <f t="shared" si="20"/>
        <v>0</v>
      </c>
      <c r="M27" s="7">
        <f t="shared" si="20"/>
        <v>0</v>
      </c>
      <c r="N27" s="7">
        <f t="shared" si="20"/>
        <v>0</v>
      </c>
      <c r="O27" s="7">
        <f t="shared" si="20"/>
        <v>0</v>
      </c>
    </row>
    <row r="28" spans="2:15">
      <c r="B28" s="8" t="s">
        <v>47</v>
      </c>
      <c r="C28" s="9" t="s">
        <v>46</v>
      </c>
      <c r="D28" s="9"/>
      <c r="E28" s="16">
        <f>SUM(E29:E33)</f>
        <v>63</v>
      </c>
      <c r="F28" s="16">
        <f t="shared" ref="F28:O28" si="21">SUM(F29:F33)</f>
        <v>382</v>
      </c>
      <c r="G28" s="16">
        <f t="shared" si="21"/>
        <v>585</v>
      </c>
      <c r="H28" s="16">
        <f t="shared" si="21"/>
        <v>820</v>
      </c>
      <c r="I28" s="16">
        <f t="shared" si="21"/>
        <v>820</v>
      </c>
      <c r="J28" s="16">
        <f t="shared" si="21"/>
        <v>820</v>
      </c>
      <c r="K28" s="16">
        <f t="shared" si="21"/>
        <v>820</v>
      </c>
      <c r="L28" s="16">
        <f t="shared" si="21"/>
        <v>820</v>
      </c>
      <c r="M28" s="16">
        <f t="shared" si="21"/>
        <v>820</v>
      </c>
      <c r="N28" s="16">
        <f t="shared" si="21"/>
        <v>820</v>
      </c>
      <c r="O28" s="16">
        <f t="shared" si="21"/>
        <v>820</v>
      </c>
    </row>
    <row r="29" spans="2:15">
      <c r="B29" s="8" t="s">
        <v>47</v>
      </c>
      <c r="D29" s="1" t="s">
        <v>21</v>
      </c>
      <c r="E29" s="7">
        <f>E34+E39+E44</f>
        <v>4</v>
      </c>
      <c r="F29" s="7">
        <f t="shared" ref="F29:O29" si="22">F34+F39+F44</f>
        <v>161</v>
      </c>
      <c r="G29" s="7">
        <f t="shared" si="22"/>
        <v>240</v>
      </c>
      <c r="H29" s="7">
        <f t="shared" si="22"/>
        <v>330</v>
      </c>
      <c r="I29" s="7">
        <f t="shared" si="22"/>
        <v>330</v>
      </c>
      <c r="J29" s="7">
        <f t="shared" si="22"/>
        <v>330</v>
      </c>
      <c r="K29" s="7">
        <f t="shared" si="22"/>
        <v>330</v>
      </c>
      <c r="L29" s="7">
        <f t="shared" si="22"/>
        <v>330</v>
      </c>
      <c r="M29" s="7">
        <f t="shared" si="22"/>
        <v>330</v>
      </c>
      <c r="N29" s="7">
        <f t="shared" si="22"/>
        <v>330</v>
      </c>
      <c r="O29" s="7">
        <f t="shared" si="22"/>
        <v>330</v>
      </c>
    </row>
    <row r="30" spans="2:15">
      <c r="B30" s="8" t="s">
        <v>47</v>
      </c>
      <c r="D30" s="1" t="s">
        <v>24</v>
      </c>
      <c r="E30" s="7">
        <f t="shared" ref="E30:O30" si="23">E35+E40+E45</f>
        <v>46</v>
      </c>
      <c r="F30" s="7">
        <f t="shared" si="23"/>
        <v>0</v>
      </c>
      <c r="G30" s="7">
        <f t="shared" si="23"/>
        <v>0</v>
      </c>
      <c r="H30" s="7">
        <f t="shared" si="23"/>
        <v>0</v>
      </c>
      <c r="I30" s="7">
        <f t="shared" si="23"/>
        <v>0</v>
      </c>
      <c r="J30" s="7">
        <f t="shared" si="23"/>
        <v>0</v>
      </c>
      <c r="K30" s="7">
        <f t="shared" si="23"/>
        <v>0</v>
      </c>
      <c r="L30" s="7">
        <f t="shared" si="23"/>
        <v>0</v>
      </c>
      <c r="M30" s="7">
        <f t="shared" si="23"/>
        <v>0</v>
      </c>
      <c r="N30" s="7">
        <f t="shared" si="23"/>
        <v>0</v>
      </c>
      <c r="O30" s="7">
        <f t="shared" si="23"/>
        <v>0</v>
      </c>
    </row>
    <row r="31" spans="2:15">
      <c r="B31" s="8" t="s">
        <v>47</v>
      </c>
      <c r="D31" s="1" t="s">
        <v>25</v>
      </c>
      <c r="E31" s="7">
        <f t="shared" ref="E31:O31" si="24">E36+E41+E46</f>
        <v>7</v>
      </c>
      <c r="F31" s="7">
        <f t="shared" si="24"/>
        <v>161</v>
      </c>
      <c r="G31" s="7">
        <f t="shared" si="24"/>
        <v>260</v>
      </c>
      <c r="H31" s="7">
        <f t="shared" si="24"/>
        <v>370</v>
      </c>
      <c r="I31" s="7">
        <f t="shared" si="24"/>
        <v>370</v>
      </c>
      <c r="J31" s="7">
        <f t="shared" si="24"/>
        <v>370</v>
      </c>
      <c r="K31" s="7">
        <f t="shared" si="24"/>
        <v>370</v>
      </c>
      <c r="L31" s="7">
        <f t="shared" si="24"/>
        <v>370</v>
      </c>
      <c r="M31" s="7">
        <f t="shared" si="24"/>
        <v>370</v>
      </c>
      <c r="N31" s="7">
        <f t="shared" si="24"/>
        <v>370</v>
      </c>
      <c r="O31" s="7">
        <f t="shared" si="24"/>
        <v>370</v>
      </c>
    </row>
    <row r="32" spans="2:15">
      <c r="B32" s="8" t="s">
        <v>47</v>
      </c>
      <c r="D32" s="1" t="s">
        <v>26</v>
      </c>
      <c r="E32" s="7">
        <f t="shared" ref="E32:O32" si="25">E37+E42+E47</f>
        <v>6</v>
      </c>
      <c r="F32" s="7">
        <f t="shared" si="25"/>
        <v>60</v>
      </c>
      <c r="G32" s="7">
        <f t="shared" si="25"/>
        <v>85</v>
      </c>
      <c r="H32" s="7">
        <f t="shared" si="25"/>
        <v>120</v>
      </c>
      <c r="I32" s="7">
        <f t="shared" si="25"/>
        <v>120</v>
      </c>
      <c r="J32" s="7">
        <f t="shared" si="25"/>
        <v>120</v>
      </c>
      <c r="K32" s="7">
        <f t="shared" si="25"/>
        <v>120</v>
      </c>
      <c r="L32" s="7">
        <f t="shared" si="25"/>
        <v>120</v>
      </c>
      <c r="M32" s="7">
        <f t="shared" si="25"/>
        <v>120</v>
      </c>
      <c r="N32" s="7">
        <f t="shared" si="25"/>
        <v>120</v>
      </c>
      <c r="O32" s="7">
        <f t="shared" si="25"/>
        <v>120</v>
      </c>
    </row>
    <row r="33" spans="2:17">
      <c r="B33" s="8" t="s">
        <v>47</v>
      </c>
      <c r="D33" s="1" t="s">
        <v>27</v>
      </c>
      <c r="E33" s="7">
        <f t="shared" ref="E33:O33" si="26">E38+E43+E48</f>
        <v>0</v>
      </c>
      <c r="F33" s="7">
        <f t="shared" si="26"/>
        <v>0</v>
      </c>
      <c r="G33" s="7">
        <f t="shared" si="26"/>
        <v>0</v>
      </c>
      <c r="H33" s="7">
        <f t="shared" si="26"/>
        <v>0</v>
      </c>
      <c r="I33" s="7">
        <f t="shared" si="26"/>
        <v>0</v>
      </c>
      <c r="J33" s="7">
        <f t="shared" si="26"/>
        <v>0</v>
      </c>
      <c r="K33" s="7">
        <f t="shared" si="26"/>
        <v>0</v>
      </c>
      <c r="L33" s="7">
        <f t="shared" si="26"/>
        <v>0</v>
      </c>
      <c r="M33" s="7">
        <f t="shared" si="26"/>
        <v>0</v>
      </c>
      <c r="N33" s="7">
        <f t="shared" si="26"/>
        <v>0</v>
      </c>
      <c r="O33" s="7">
        <f t="shared" si="26"/>
        <v>0</v>
      </c>
    </row>
    <row r="34" spans="2:17">
      <c r="B34" s="8" t="s">
        <v>47</v>
      </c>
      <c r="C34" s="1" t="s">
        <v>39</v>
      </c>
      <c r="D34" s="1" t="s">
        <v>21</v>
      </c>
      <c r="E34" s="5">
        <v>4</v>
      </c>
      <c r="F34" s="5">
        <v>110</v>
      </c>
      <c r="G34" s="5">
        <v>130</v>
      </c>
      <c r="H34" s="5">
        <v>160</v>
      </c>
      <c r="I34" s="5">
        <v>160</v>
      </c>
      <c r="J34" s="5">
        <v>160</v>
      </c>
      <c r="K34" s="5">
        <v>160</v>
      </c>
      <c r="L34" s="5">
        <v>160</v>
      </c>
      <c r="M34" s="5">
        <v>160</v>
      </c>
      <c r="N34" s="5">
        <v>160</v>
      </c>
      <c r="O34" s="5">
        <v>160</v>
      </c>
    </row>
    <row r="35" spans="2:17">
      <c r="B35" s="8" t="s">
        <v>47</v>
      </c>
      <c r="D35" s="1" t="s">
        <v>24</v>
      </c>
      <c r="E35" s="5">
        <v>46</v>
      </c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7">
      <c r="B36" s="8" t="s">
        <v>47</v>
      </c>
      <c r="D36" s="1" t="s">
        <v>25</v>
      </c>
      <c r="E36" s="5">
        <v>7</v>
      </c>
      <c r="F36" s="7">
        <f>F34</f>
        <v>110</v>
      </c>
      <c r="G36" s="7">
        <f t="shared" ref="G36:O36" si="27">G34</f>
        <v>130</v>
      </c>
      <c r="H36" s="7">
        <f t="shared" si="27"/>
        <v>160</v>
      </c>
      <c r="I36" s="7">
        <f t="shared" si="27"/>
        <v>160</v>
      </c>
      <c r="J36" s="7">
        <f t="shared" si="27"/>
        <v>160</v>
      </c>
      <c r="K36" s="7">
        <f t="shared" si="27"/>
        <v>160</v>
      </c>
      <c r="L36" s="7">
        <f t="shared" si="27"/>
        <v>160</v>
      </c>
      <c r="M36" s="7">
        <f t="shared" si="27"/>
        <v>160</v>
      </c>
      <c r="N36" s="7">
        <f t="shared" si="27"/>
        <v>160</v>
      </c>
      <c r="O36" s="7">
        <f t="shared" si="27"/>
        <v>160</v>
      </c>
      <c r="Q36" s="1" t="s">
        <v>50</v>
      </c>
    </row>
    <row r="37" spans="2:17">
      <c r="B37" s="8" t="s">
        <v>47</v>
      </c>
      <c r="D37" s="1" t="s">
        <v>26</v>
      </c>
      <c r="E37" s="5">
        <v>6</v>
      </c>
      <c r="F37" s="7">
        <f>F34*1/2</f>
        <v>55</v>
      </c>
      <c r="G37" s="7">
        <f t="shared" ref="G37:O37" si="28">G34*1/2</f>
        <v>65</v>
      </c>
      <c r="H37" s="7">
        <f t="shared" si="28"/>
        <v>80</v>
      </c>
      <c r="I37" s="7">
        <f t="shared" si="28"/>
        <v>80</v>
      </c>
      <c r="J37" s="7">
        <f t="shared" si="28"/>
        <v>80</v>
      </c>
      <c r="K37" s="7">
        <f t="shared" si="28"/>
        <v>80</v>
      </c>
      <c r="L37" s="7">
        <f t="shared" si="28"/>
        <v>80</v>
      </c>
      <c r="M37" s="7">
        <f t="shared" si="28"/>
        <v>80</v>
      </c>
      <c r="N37" s="7">
        <f t="shared" si="28"/>
        <v>80</v>
      </c>
      <c r="O37" s="7">
        <f t="shared" si="28"/>
        <v>80</v>
      </c>
    </row>
    <row r="38" spans="2:17">
      <c r="B38" s="8" t="s">
        <v>47</v>
      </c>
      <c r="D38" s="1" t="s">
        <v>27</v>
      </c>
      <c r="E38" s="5">
        <v>0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2:17">
      <c r="B39" s="8" t="s">
        <v>47</v>
      </c>
      <c r="C39" s="1" t="s">
        <v>40</v>
      </c>
      <c r="D39" s="1" t="s">
        <v>21</v>
      </c>
      <c r="E39" s="5"/>
      <c r="F39" s="5">
        <v>10</v>
      </c>
      <c r="G39" s="5">
        <v>20</v>
      </c>
      <c r="H39" s="5">
        <v>40</v>
      </c>
      <c r="I39" s="5">
        <v>40</v>
      </c>
      <c r="J39" s="5">
        <v>40</v>
      </c>
      <c r="K39" s="5">
        <v>40</v>
      </c>
      <c r="L39" s="5">
        <v>40</v>
      </c>
      <c r="M39" s="5">
        <v>40</v>
      </c>
      <c r="N39" s="5">
        <v>40</v>
      </c>
      <c r="O39" s="5">
        <v>40</v>
      </c>
    </row>
    <row r="40" spans="2:17">
      <c r="B40" s="8" t="s">
        <v>47</v>
      </c>
      <c r="D40" s="1" t="s">
        <v>24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7">
      <c r="B41" s="8" t="s">
        <v>47</v>
      </c>
      <c r="D41" s="1" t="s">
        <v>25</v>
      </c>
      <c r="E41" s="5"/>
      <c r="F41" s="7">
        <v>10</v>
      </c>
      <c r="G41" s="7">
        <f t="shared" ref="G41:O41" si="29">G39*2</f>
        <v>40</v>
      </c>
      <c r="H41" s="7">
        <f t="shared" si="29"/>
        <v>80</v>
      </c>
      <c r="I41" s="7">
        <f t="shared" si="29"/>
        <v>80</v>
      </c>
      <c r="J41" s="7">
        <f t="shared" si="29"/>
        <v>80</v>
      </c>
      <c r="K41" s="7">
        <f t="shared" si="29"/>
        <v>80</v>
      </c>
      <c r="L41" s="7">
        <f t="shared" si="29"/>
        <v>80</v>
      </c>
      <c r="M41" s="7">
        <f t="shared" si="29"/>
        <v>80</v>
      </c>
      <c r="N41" s="7">
        <f t="shared" si="29"/>
        <v>80</v>
      </c>
      <c r="O41" s="7">
        <f t="shared" si="29"/>
        <v>80</v>
      </c>
      <c r="Q41" s="1" t="s">
        <v>50</v>
      </c>
    </row>
    <row r="42" spans="2:17">
      <c r="B42" s="8" t="s">
        <v>47</v>
      </c>
      <c r="D42" s="1" t="s">
        <v>26</v>
      </c>
      <c r="E42" s="5"/>
      <c r="F42" s="7">
        <f>F41/2</f>
        <v>5</v>
      </c>
      <c r="G42" s="7">
        <f t="shared" ref="G42:O42" si="30">G41/2</f>
        <v>20</v>
      </c>
      <c r="H42" s="7">
        <f t="shared" si="30"/>
        <v>40</v>
      </c>
      <c r="I42" s="7">
        <f t="shared" si="30"/>
        <v>40</v>
      </c>
      <c r="J42" s="7">
        <f t="shared" si="30"/>
        <v>40</v>
      </c>
      <c r="K42" s="7">
        <f t="shared" si="30"/>
        <v>40</v>
      </c>
      <c r="L42" s="7">
        <f t="shared" si="30"/>
        <v>40</v>
      </c>
      <c r="M42" s="7">
        <f t="shared" si="30"/>
        <v>40</v>
      </c>
      <c r="N42" s="7">
        <f t="shared" si="30"/>
        <v>40</v>
      </c>
      <c r="O42" s="7">
        <f t="shared" si="30"/>
        <v>40</v>
      </c>
    </row>
    <row r="43" spans="2:17">
      <c r="B43" s="8" t="s">
        <v>47</v>
      </c>
      <c r="D43" s="1" t="s">
        <v>27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2:17">
      <c r="B44" s="8" t="s">
        <v>47</v>
      </c>
      <c r="C44" s="1" t="s">
        <v>41</v>
      </c>
      <c r="D44" s="1" t="s">
        <v>21</v>
      </c>
      <c r="E44" s="5">
        <v>0</v>
      </c>
      <c r="F44" s="5">
        <v>41</v>
      </c>
      <c r="G44" s="5">
        <v>90</v>
      </c>
      <c r="H44" s="5">
        <v>130</v>
      </c>
      <c r="I44" s="5">
        <v>130</v>
      </c>
      <c r="J44" s="5">
        <v>130</v>
      </c>
      <c r="K44" s="5">
        <v>130</v>
      </c>
      <c r="L44" s="5">
        <v>130</v>
      </c>
      <c r="M44" s="5">
        <v>130</v>
      </c>
      <c r="N44" s="5">
        <v>130</v>
      </c>
      <c r="O44" s="5">
        <v>130</v>
      </c>
    </row>
    <row r="45" spans="2:17">
      <c r="B45" s="8" t="s">
        <v>47</v>
      </c>
      <c r="D45" s="1" t="s">
        <v>24</v>
      </c>
      <c r="E45" s="5">
        <v>0</v>
      </c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2:17">
      <c r="B46" s="8" t="s">
        <v>47</v>
      </c>
      <c r="D46" s="1" t="s">
        <v>25</v>
      </c>
      <c r="E46" s="5">
        <v>0</v>
      </c>
      <c r="F46" s="7">
        <f>F44</f>
        <v>41</v>
      </c>
      <c r="G46" s="7">
        <f t="shared" ref="G46:O46" si="31">G44</f>
        <v>90</v>
      </c>
      <c r="H46" s="7">
        <f t="shared" si="31"/>
        <v>130</v>
      </c>
      <c r="I46" s="7">
        <f t="shared" si="31"/>
        <v>130</v>
      </c>
      <c r="J46" s="7">
        <f t="shared" si="31"/>
        <v>130</v>
      </c>
      <c r="K46" s="7">
        <f t="shared" si="31"/>
        <v>130</v>
      </c>
      <c r="L46" s="7">
        <f t="shared" si="31"/>
        <v>130</v>
      </c>
      <c r="M46" s="7">
        <f t="shared" si="31"/>
        <v>130</v>
      </c>
      <c r="N46" s="7">
        <f t="shared" si="31"/>
        <v>130</v>
      </c>
      <c r="O46" s="7">
        <f t="shared" si="31"/>
        <v>130</v>
      </c>
      <c r="Q46" s="1" t="s">
        <v>50</v>
      </c>
    </row>
    <row r="47" spans="2:17">
      <c r="B47" s="8" t="s">
        <v>47</v>
      </c>
      <c r="D47" s="1" t="s">
        <v>26</v>
      </c>
      <c r="E47" s="5">
        <v>0</v>
      </c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2:17">
      <c r="B48" s="8" t="s">
        <v>47</v>
      </c>
      <c r="D48" s="1" t="s">
        <v>27</v>
      </c>
      <c r="E48" s="5"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2:15">
      <c r="B49" s="8" t="s">
        <v>47</v>
      </c>
      <c r="C49" s="1" t="s">
        <v>51</v>
      </c>
      <c r="E49" s="6"/>
      <c r="F49" s="6">
        <f>F7/E7</f>
        <v>0.66638766519823789</v>
      </c>
      <c r="G49" s="6">
        <f t="shared" ref="G49:O49" si="32">G7/F7</f>
        <v>3.2136649699213327</v>
      </c>
      <c r="H49" s="6">
        <f t="shared" si="32"/>
        <v>2.0180225519412356</v>
      </c>
      <c r="I49" s="6">
        <f t="shared" si="32"/>
        <v>1.6847784437784576</v>
      </c>
      <c r="J49" s="6">
        <f t="shared" si="32"/>
        <v>1.3748728935215049</v>
      </c>
      <c r="K49" s="6">
        <f t="shared" si="32"/>
        <v>1.2520167582124646</v>
      </c>
      <c r="L49" s="6">
        <f t="shared" si="32"/>
        <v>1.1864583207349244</v>
      </c>
      <c r="M49" s="6">
        <f t="shared" si="32"/>
        <v>1.1459041796814415</v>
      </c>
      <c r="N49" s="6">
        <f t="shared" si="32"/>
        <v>1.1184821663705311</v>
      </c>
      <c r="O49" s="6">
        <f t="shared" si="32"/>
        <v>1.0988027885513001</v>
      </c>
    </row>
    <row r="50" spans="2:15">
      <c r="B50" s="8" t="s">
        <v>47</v>
      </c>
      <c r="D50" s="1" t="s">
        <v>21</v>
      </c>
      <c r="E50" s="3">
        <v>0.93</v>
      </c>
      <c r="F50" s="3">
        <v>0.93</v>
      </c>
      <c r="G50" s="3">
        <v>0.93</v>
      </c>
      <c r="H50" s="3">
        <v>0.93</v>
      </c>
      <c r="I50" s="3">
        <v>0.93</v>
      </c>
      <c r="J50" s="3">
        <v>0.93</v>
      </c>
      <c r="K50" s="3">
        <v>0.93</v>
      </c>
      <c r="L50" s="3">
        <v>0.93</v>
      </c>
      <c r="M50" s="3">
        <v>0.93</v>
      </c>
      <c r="N50" s="3">
        <v>0.93</v>
      </c>
      <c r="O50" s="3">
        <v>0.93</v>
      </c>
    </row>
    <row r="51" spans="2:15">
      <c r="B51" s="8" t="s">
        <v>47</v>
      </c>
      <c r="D51" s="1" t="s">
        <v>24</v>
      </c>
      <c r="E51" s="3">
        <v>0.88</v>
      </c>
      <c r="F51" s="3">
        <v>0.88</v>
      </c>
      <c r="G51" s="3">
        <v>0.88</v>
      </c>
      <c r="H51" s="3">
        <v>0.88</v>
      </c>
      <c r="I51" s="3">
        <v>0.88</v>
      </c>
      <c r="J51" s="3">
        <v>0.88</v>
      </c>
      <c r="K51" s="3">
        <v>0.88</v>
      </c>
      <c r="L51" s="3">
        <v>0.88</v>
      </c>
      <c r="M51" s="3">
        <v>0.88</v>
      </c>
      <c r="N51" s="3">
        <v>0.88</v>
      </c>
      <c r="O51" s="3">
        <v>0.88</v>
      </c>
    </row>
    <row r="52" spans="2:15">
      <c r="B52" s="8" t="s">
        <v>47</v>
      </c>
      <c r="D52" s="1" t="s">
        <v>25</v>
      </c>
      <c r="E52" s="3">
        <v>0.88</v>
      </c>
      <c r="F52" s="3">
        <v>0.88</v>
      </c>
      <c r="G52" s="3">
        <v>0.88</v>
      </c>
      <c r="H52" s="3">
        <v>0.88</v>
      </c>
      <c r="I52" s="3">
        <v>0.88</v>
      </c>
      <c r="J52" s="3">
        <v>0.88</v>
      </c>
      <c r="K52" s="3">
        <v>0.88</v>
      </c>
      <c r="L52" s="3">
        <v>0.88</v>
      </c>
      <c r="M52" s="3">
        <v>0.88</v>
      </c>
      <c r="N52" s="3">
        <v>0.88</v>
      </c>
      <c r="O52" s="3">
        <v>0.88</v>
      </c>
    </row>
    <row r="53" spans="2:15">
      <c r="B53" s="8" t="s">
        <v>47</v>
      </c>
      <c r="D53" s="1" t="s">
        <v>26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</row>
    <row r="54" spans="2:15">
      <c r="B54" s="8" t="s">
        <v>47</v>
      </c>
      <c r="D54" s="1" t="s">
        <v>27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0CC6-F59E-49A9-9068-0C71A2DCC572}">
  <dimension ref="A1:S25"/>
  <sheetViews>
    <sheetView zoomScale="124" zoomScaleNormal="90" workbookViewId="0">
      <selection activeCell="F12" sqref="F12"/>
    </sheetView>
  </sheetViews>
  <sheetFormatPr defaultRowHeight="12"/>
  <cols>
    <col min="1" max="1" width="9.140625" style="1"/>
    <col min="2" max="2" width="5.7109375" style="1" customWidth="1"/>
    <col min="3" max="3" width="4.140625" style="1" customWidth="1"/>
    <col min="4" max="4" width="13.5703125" style="1" bestFit="1" customWidth="1"/>
    <col min="5" max="5" width="9.28515625" style="4" customWidth="1"/>
    <col min="6" max="15" width="9.7109375" style="4" customWidth="1"/>
    <col min="16" max="17" width="9.140625" style="1"/>
    <col min="18" max="18" width="9.140625" style="4"/>
    <col min="19" max="16384" width="9.140625" style="1"/>
  </cols>
  <sheetData>
    <row r="1" spans="1:19">
      <c r="A1" s="1" t="s">
        <v>35</v>
      </c>
    </row>
    <row r="3" spans="1:19"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spans="1:19">
      <c r="B4" s="1" t="s">
        <v>52</v>
      </c>
    </row>
    <row r="5" spans="1:19">
      <c r="B5" s="8" t="s">
        <v>52</v>
      </c>
      <c r="C5" s="1" t="s">
        <v>42</v>
      </c>
      <c r="D5" s="1" t="s">
        <v>21</v>
      </c>
      <c r="E5" s="5">
        <f>155008*12/1000</f>
        <v>1860.096</v>
      </c>
      <c r="F5" s="5">
        <f>E5</f>
        <v>1860.096</v>
      </c>
      <c r="G5" s="5">
        <f t="shared" ref="G5:O5" si="0">F5</f>
        <v>1860.096</v>
      </c>
      <c r="H5" s="5">
        <f t="shared" si="0"/>
        <v>1860.096</v>
      </c>
      <c r="I5" s="5">
        <f t="shared" si="0"/>
        <v>1860.096</v>
      </c>
      <c r="J5" s="5">
        <f t="shared" si="0"/>
        <v>1860.096</v>
      </c>
      <c r="K5" s="5">
        <f t="shared" si="0"/>
        <v>1860.096</v>
      </c>
      <c r="L5" s="5">
        <f t="shared" si="0"/>
        <v>1860.096</v>
      </c>
      <c r="M5" s="5">
        <f t="shared" si="0"/>
        <v>1860.096</v>
      </c>
      <c r="N5" s="5">
        <f t="shared" si="0"/>
        <v>1860.096</v>
      </c>
      <c r="O5" s="5">
        <f t="shared" si="0"/>
        <v>1860.096</v>
      </c>
    </row>
    <row r="6" spans="1:19">
      <c r="B6" s="8" t="s">
        <v>52</v>
      </c>
      <c r="D6" s="1" t="s">
        <v>24</v>
      </c>
      <c r="E6" s="5">
        <f>35862*12/1000</f>
        <v>430.34399999999999</v>
      </c>
      <c r="F6" s="5">
        <f>E6</f>
        <v>430.34399999999999</v>
      </c>
      <c r="G6" s="5">
        <f t="shared" ref="F6:O9" si="1">F6</f>
        <v>430.34399999999999</v>
      </c>
      <c r="H6" s="5">
        <f t="shared" si="1"/>
        <v>430.34399999999999</v>
      </c>
      <c r="I6" s="5">
        <f t="shared" si="1"/>
        <v>430.34399999999999</v>
      </c>
      <c r="J6" s="5">
        <f t="shared" si="1"/>
        <v>430.34399999999999</v>
      </c>
      <c r="K6" s="5">
        <f t="shared" si="1"/>
        <v>430.34399999999999</v>
      </c>
      <c r="L6" s="5">
        <f t="shared" si="1"/>
        <v>430.34399999999999</v>
      </c>
      <c r="M6" s="5">
        <f t="shared" si="1"/>
        <v>430.34399999999999</v>
      </c>
      <c r="N6" s="5">
        <f t="shared" si="1"/>
        <v>430.34399999999999</v>
      </c>
      <c r="O6" s="5">
        <f t="shared" si="1"/>
        <v>430.34399999999999</v>
      </c>
    </row>
    <row r="7" spans="1:19">
      <c r="B7" s="8" t="s">
        <v>52</v>
      </c>
      <c r="D7" s="1" t="s">
        <v>25</v>
      </c>
      <c r="E7" s="5">
        <f>35862*12/1000</f>
        <v>430.34399999999999</v>
      </c>
      <c r="F7" s="5">
        <f t="shared" si="1"/>
        <v>430.34399999999999</v>
      </c>
      <c r="G7" s="5">
        <f t="shared" si="1"/>
        <v>430.34399999999999</v>
      </c>
      <c r="H7" s="5">
        <f t="shared" si="1"/>
        <v>430.34399999999999</v>
      </c>
      <c r="I7" s="5">
        <f t="shared" si="1"/>
        <v>430.34399999999999</v>
      </c>
      <c r="J7" s="5">
        <f t="shared" si="1"/>
        <v>430.34399999999999</v>
      </c>
      <c r="K7" s="5">
        <f t="shared" si="1"/>
        <v>430.34399999999999</v>
      </c>
      <c r="L7" s="5">
        <f t="shared" si="1"/>
        <v>430.34399999999999</v>
      </c>
      <c r="M7" s="5">
        <f t="shared" si="1"/>
        <v>430.34399999999999</v>
      </c>
      <c r="N7" s="5">
        <f t="shared" si="1"/>
        <v>430.34399999999999</v>
      </c>
      <c r="O7" s="5">
        <f t="shared" si="1"/>
        <v>430.34399999999999</v>
      </c>
    </row>
    <row r="8" spans="1:19">
      <c r="B8" s="8" t="s">
        <v>52</v>
      </c>
      <c r="D8" s="1" t="s">
        <v>26</v>
      </c>
      <c r="E8" s="5">
        <f>55393*12/1000</f>
        <v>664.71600000000001</v>
      </c>
      <c r="F8" s="5">
        <f>E8</f>
        <v>664.71600000000001</v>
      </c>
      <c r="G8" s="5">
        <f t="shared" si="1"/>
        <v>664.71600000000001</v>
      </c>
      <c r="H8" s="5">
        <f t="shared" si="1"/>
        <v>664.71600000000001</v>
      </c>
      <c r="I8" s="5">
        <f t="shared" si="1"/>
        <v>664.71600000000001</v>
      </c>
      <c r="J8" s="5">
        <f t="shared" si="1"/>
        <v>664.71600000000001</v>
      </c>
      <c r="K8" s="5">
        <f t="shared" si="1"/>
        <v>664.71600000000001</v>
      </c>
      <c r="L8" s="5">
        <f t="shared" si="1"/>
        <v>664.71600000000001</v>
      </c>
      <c r="M8" s="5">
        <f t="shared" si="1"/>
        <v>664.71600000000001</v>
      </c>
      <c r="N8" s="5">
        <f t="shared" si="1"/>
        <v>664.71600000000001</v>
      </c>
      <c r="O8" s="5">
        <f t="shared" si="1"/>
        <v>664.71600000000001</v>
      </c>
    </row>
    <row r="9" spans="1:19">
      <c r="B9" s="8" t="s">
        <v>52</v>
      </c>
      <c r="D9" s="1" t="s">
        <v>27</v>
      </c>
      <c r="E9" s="5">
        <v>376</v>
      </c>
      <c r="F9" s="5">
        <f t="shared" si="1"/>
        <v>376</v>
      </c>
      <c r="G9" s="5">
        <f t="shared" si="1"/>
        <v>376</v>
      </c>
      <c r="H9" s="5">
        <f t="shared" si="1"/>
        <v>376</v>
      </c>
      <c r="I9" s="5">
        <f t="shared" si="1"/>
        <v>376</v>
      </c>
      <c r="J9" s="5">
        <f t="shared" si="1"/>
        <v>376</v>
      </c>
      <c r="K9" s="5">
        <f t="shared" si="1"/>
        <v>376</v>
      </c>
      <c r="L9" s="5">
        <f t="shared" si="1"/>
        <v>376</v>
      </c>
      <c r="M9" s="5">
        <f t="shared" si="1"/>
        <v>376</v>
      </c>
      <c r="N9" s="5">
        <f t="shared" si="1"/>
        <v>376</v>
      </c>
      <c r="O9" s="5">
        <f t="shared" si="1"/>
        <v>376</v>
      </c>
    </row>
    <row r="10" spans="1:19">
      <c r="B10" s="8" t="s">
        <v>52</v>
      </c>
      <c r="C10" s="1" t="s">
        <v>46</v>
      </c>
    </row>
    <row r="11" spans="1:19">
      <c r="B11" s="8" t="s">
        <v>52</v>
      </c>
      <c r="C11" s="1" t="s">
        <v>39</v>
      </c>
      <c r="D11" s="1" t="s">
        <v>21</v>
      </c>
      <c r="F11" s="5">
        <v>1710</v>
      </c>
      <c r="G11" s="5">
        <v>1710</v>
      </c>
      <c r="H11" s="5">
        <v>1710</v>
      </c>
      <c r="I11" s="5">
        <v>1710</v>
      </c>
      <c r="J11" s="5">
        <v>1710</v>
      </c>
      <c r="K11" s="5">
        <v>1710</v>
      </c>
      <c r="L11" s="5">
        <v>1710</v>
      </c>
      <c r="M11" s="5">
        <v>1710</v>
      </c>
      <c r="N11" s="5">
        <v>1710</v>
      </c>
      <c r="O11" s="5">
        <v>1710</v>
      </c>
      <c r="Q11" s="1" t="s">
        <v>53</v>
      </c>
      <c r="R11" s="4">
        <v>356</v>
      </c>
      <c r="S11" s="1" t="s">
        <v>54</v>
      </c>
    </row>
    <row r="12" spans="1:19">
      <c r="B12" s="8" t="s">
        <v>52</v>
      </c>
      <c r="D12" s="1" t="s">
        <v>24</v>
      </c>
      <c r="F12" s="7">
        <f>F6</f>
        <v>430.34399999999999</v>
      </c>
      <c r="G12" s="7">
        <f t="shared" ref="G12:O12" si="2">G6</f>
        <v>430.34399999999999</v>
      </c>
      <c r="H12" s="7">
        <f t="shared" si="2"/>
        <v>430.34399999999999</v>
      </c>
      <c r="I12" s="7">
        <f t="shared" si="2"/>
        <v>430.34399999999999</v>
      </c>
      <c r="J12" s="7">
        <f t="shared" si="2"/>
        <v>430.34399999999999</v>
      </c>
      <c r="K12" s="7">
        <f t="shared" si="2"/>
        <v>430.34399999999999</v>
      </c>
      <c r="L12" s="7">
        <f t="shared" si="2"/>
        <v>430.34399999999999</v>
      </c>
      <c r="M12" s="7">
        <f t="shared" si="2"/>
        <v>430.34399999999999</v>
      </c>
      <c r="N12" s="7">
        <f t="shared" si="2"/>
        <v>430.34399999999999</v>
      </c>
      <c r="O12" s="7">
        <f t="shared" si="2"/>
        <v>430.34399999999999</v>
      </c>
      <c r="Q12" s="1" t="s">
        <v>55</v>
      </c>
      <c r="R12" s="4">
        <v>400</v>
      </c>
      <c r="S12" s="1" t="s">
        <v>56</v>
      </c>
    </row>
    <row r="13" spans="1:19">
      <c r="B13" s="8" t="s">
        <v>52</v>
      </c>
      <c r="D13" s="1" t="s">
        <v>25</v>
      </c>
      <c r="F13" s="7">
        <f t="shared" ref="F13:O13" si="3">F7</f>
        <v>430.34399999999999</v>
      </c>
      <c r="G13" s="7">
        <f t="shared" si="3"/>
        <v>430.34399999999999</v>
      </c>
      <c r="H13" s="7">
        <f t="shared" si="3"/>
        <v>430.34399999999999</v>
      </c>
      <c r="I13" s="7">
        <f t="shared" si="3"/>
        <v>430.34399999999999</v>
      </c>
      <c r="J13" s="7">
        <f t="shared" si="3"/>
        <v>430.34399999999999</v>
      </c>
      <c r="K13" s="7">
        <f t="shared" si="3"/>
        <v>430.34399999999999</v>
      </c>
      <c r="L13" s="7">
        <f t="shared" si="3"/>
        <v>430.34399999999999</v>
      </c>
      <c r="M13" s="7">
        <f t="shared" si="3"/>
        <v>430.34399999999999</v>
      </c>
      <c r="N13" s="7">
        <f t="shared" si="3"/>
        <v>430.34399999999999</v>
      </c>
      <c r="O13" s="7">
        <f t="shared" si="3"/>
        <v>430.34399999999999</v>
      </c>
    </row>
    <row r="14" spans="1:19">
      <c r="B14" s="8" t="s">
        <v>52</v>
      </c>
      <c r="D14" s="1" t="s">
        <v>26</v>
      </c>
      <c r="F14" s="7">
        <f>F8</f>
        <v>664.71600000000001</v>
      </c>
      <c r="G14" s="7">
        <f t="shared" ref="G14:O14" si="4">G8</f>
        <v>664.71600000000001</v>
      </c>
      <c r="H14" s="7">
        <f t="shared" si="4"/>
        <v>664.71600000000001</v>
      </c>
      <c r="I14" s="7">
        <f t="shared" si="4"/>
        <v>664.71600000000001</v>
      </c>
      <c r="J14" s="7">
        <f t="shared" si="4"/>
        <v>664.71600000000001</v>
      </c>
      <c r="K14" s="7">
        <f t="shared" si="4"/>
        <v>664.71600000000001</v>
      </c>
      <c r="L14" s="7">
        <f t="shared" si="4"/>
        <v>664.71600000000001</v>
      </c>
      <c r="M14" s="7">
        <f t="shared" si="4"/>
        <v>664.71600000000001</v>
      </c>
      <c r="N14" s="7">
        <f t="shared" si="4"/>
        <v>664.71600000000001</v>
      </c>
      <c r="O14" s="7">
        <f t="shared" si="4"/>
        <v>664.71600000000001</v>
      </c>
    </row>
    <row r="15" spans="1:19">
      <c r="B15" s="8" t="s">
        <v>52</v>
      </c>
      <c r="D15" s="1" t="s">
        <v>27</v>
      </c>
      <c r="F15" s="7">
        <f t="shared" ref="F15:O15" si="5">F9</f>
        <v>376</v>
      </c>
      <c r="G15" s="7">
        <f t="shared" si="5"/>
        <v>376</v>
      </c>
      <c r="H15" s="7">
        <f t="shared" si="5"/>
        <v>376</v>
      </c>
      <c r="I15" s="7">
        <f t="shared" si="5"/>
        <v>376</v>
      </c>
      <c r="J15" s="7">
        <f t="shared" si="5"/>
        <v>376</v>
      </c>
      <c r="K15" s="7">
        <f t="shared" si="5"/>
        <v>376</v>
      </c>
      <c r="L15" s="7">
        <f t="shared" si="5"/>
        <v>376</v>
      </c>
      <c r="M15" s="7">
        <f t="shared" si="5"/>
        <v>376</v>
      </c>
      <c r="N15" s="7">
        <f t="shared" si="5"/>
        <v>376</v>
      </c>
      <c r="O15" s="7">
        <f t="shared" si="5"/>
        <v>376</v>
      </c>
    </row>
    <row r="16" spans="1:19">
      <c r="B16" s="8" t="s">
        <v>52</v>
      </c>
      <c r="C16" s="1" t="s">
        <v>40</v>
      </c>
      <c r="D16" s="1" t="s">
        <v>21</v>
      </c>
      <c r="F16" s="5">
        <f>$R$16*$R$17*12*1/2/1000</f>
        <v>5040</v>
      </c>
      <c r="G16" s="5">
        <f>$R$16*$R$17*12/1000</f>
        <v>10080</v>
      </c>
      <c r="H16" s="5">
        <f t="shared" ref="H16:O16" si="6">$R$16*$R$17*12/1000</f>
        <v>10080</v>
      </c>
      <c r="I16" s="5">
        <f t="shared" si="6"/>
        <v>10080</v>
      </c>
      <c r="J16" s="5">
        <f t="shared" si="6"/>
        <v>10080</v>
      </c>
      <c r="K16" s="5">
        <f t="shared" si="6"/>
        <v>10080</v>
      </c>
      <c r="L16" s="5">
        <f t="shared" si="6"/>
        <v>10080</v>
      </c>
      <c r="M16" s="5">
        <f t="shared" si="6"/>
        <v>10080</v>
      </c>
      <c r="N16" s="5">
        <f t="shared" si="6"/>
        <v>10080</v>
      </c>
      <c r="O16" s="5">
        <f t="shared" si="6"/>
        <v>10080</v>
      </c>
      <c r="Q16" s="1" t="s">
        <v>53</v>
      </c>
      <c r="R16" s="4">
        <v>2100</v>
      </c>
      <c r="S16" s="1" t="s">
        <v>54</v>
      </c>
    </row>
    <row r="17" spans="2:19">
      <c r="B17" s="8" t="s">
        <v>52</v>
      </c>
      <c r="D17" s="1" t="s">
        <v>24</v>
      </c>
      <c r="F17" s="7">
        <f>F12</f>
        <v>430.34399999999999</v>
      </c>
      <c r="G17" s="7">
        <f t="shared" ref="G17:O17" si="7">G12</f>
        <v>430.34399999999999</v>
      </c>
      <c r="H17" s="7">
        <f t="shared" si="7"/>
        <v>430.34399999999999</v>
      </c>
      <c r="I17" s="7">
        <f t="shared" si="7"/>
        <v>430.34399999999999</v>
      </c>
      <c r="J17" s="7">
        <f t="shared" si="7"/>
        <v>430.34399999999999</v>
      </c>
      <c r="K17" s="7">
        <f t="shared" si="7"/>
        <v>430.34399999999999</v>
      </c>
      <c r="L17" s="7">
        <f t="shared" si="7"/>
        <v>430.34399999999999</v>
      </c>
      <c r="M17" s="7">
        <f t="shared" si="7"/>
        <v>430.34399999999999</v>
      </c>
      <c r="N17" s="7">
        <f t="shared" si="7"/>
        <v>430.34399999999999</v>
      </c>
      <c r="O17" s="7">
        <f t="shared" si="7"/>
        <v>430.34399999999999</v>
      </c>
      <c r="Q17" s="1" t="s">
        <v>55</v>
      </c>
      <c r="R17" s="4">
        <v>400</v>
      </c>
      <c r="S17" s="1" t="s">
        <v>56</v>
      </c>
    </row>
    <row r="18" spans="2:19">
      <c r="B18" s="8" t="s">
        <v>52</v>
      </c>
      <c r="D18" s="1" t="s">
        <v>25</v>
      </c>
      <c r="F18" s="7">
        <f>F13</f>
        <v>430.34399999999999</v>
      </c>
      <c r="G18" s="7">
        <f t="shared" ref="G18:O18" si="8">G13</f>
        <v>430.34399999999999</v>
      </c>
      <c r="H18" s="7">
        <f t="shared" si="8"/>
        <v>430.34399999999999</v>
      </c>
      <c r="I18" s="7">
        <f t="shared" si="8"/>
        <v>430.34399999999999</v>
      </c>
      <c r="J18" s="7">
        <f t="shared" si="8"/>
        <v>430.34399999999999</v>
      </c>
      <c r="K18" s="7">
        <f t="shared" si="8"/>
        <v>430.34399999999999</v>
      </c>
      <c r="L18" s="7">
        <f t="shared" si="8"/>
        <v>430.34399999999999</v>
      </c>
      <c r="M18" s="7">
        <f t="shared" si="8"/>
        <v>430.34399999999999</v>
      </c>
      <c r="N18" s="7">
        <f t="shared" si="8"/>
        <v>430.34399999999999</v>
      </c>
      <c r="O18" s="7">
        <f t="shared" si="8"/>
        <v>430.34399999999999</v>
      </c>
      <c r="Q18" s="1" t="s">
        <v>57</v>
      </c>
    </row>
    <row r="19" spans="2:19">
      <c r="B19" s="8" t="s">
        <v>52</v>
      </c>
      <c r="D19" s="1" t="s">
        <v>26</v>
      </c>
      <c r="F19" s="7">
        <f>F14</f>
        <v>664.71600000000001</v>
      </c>
      <c r="G19" s="7">
        <f t="shared" ref="G19:O19" si="9">G14</f>
        <v>664.71600000000001</v>
      </c>
      <c r="H19" s="7">
        <f t="shared" si="9"/>
        <v>664.71600000000001</v>
      </c>
      <c r="I19" s="7">
        <f t="shared" si="9"/>
        <v>664.71600000000001</v>
      </c>
      <c r="J19" s="7">
        <f t="shared" si="9"/>
        <v>664.71600000000001</v>
      </c>
      <c r="K19" s="7">
        <f t="shared" si="9"/>
        <v>664.71600000000001</v>
      </c>
      <c r="L19" s="7">
        <f t="shared" si="9"/>
        <v>664.71600000000001</v>
      </c>
      <c r="M19" s="7">
        <f t="shared" si="9"/>
        <v>664.71600000000001</v>
      </c>
      <c r="N19" s="7">
        <f t="shared" si="9"/>
        <v>664.71600000000001</v>
      </c>
      <c r="O19" s="7">
        <f t="shared" si="9"/>
        <v>664.71600000000001</v>
      </c>
    </row>
    <row r="20" spans="2:19">
      <c r="B20" s="8" t="s">
        <v>52</v>
      </c>
      <c r="D20" s="1" t="s">
        <v>27</v>
      </c>
      <c r="F20" s="7">
        <f>F15</f>
        <v>376</v>
      </c>
      <c r="G20" s="7">
        <f t="shared" ref="G20:O20" si="10">G15</f>
        <v>376</v>
      </c>
      <c r="H20" s="7">
        <f t="shared" si="10"/>
        <v>376</v>
      </c>
      <c r="I20" s="7">
        <f t="shared" si="10"/>
        <v>376</v>
      </c>
      <c r="J20" s="7">
        <f t="shared" si="10"/>
        <v>376</v>
      </c>
      <c r="K20" s="7">
        <f t="shared" si="10"/>
        <v>376</v>
      </c>
      <c r="L20" s="7">
        <f t="shared" si="10"/>
        <v>376</v>
      </c>
      <c r="M20" s="7">
        <f t="shared" si="10"/>
        <v>376</v>
      </c>
      <c r="N20" s="7">
        <f t="shared" si="10"/>
        <v>376</v>
      </c>
      <c r="O20" s="7">
        <f t="shared" si="10"/>
        <v>376</v>
      </c>
    </row>
    <row r="21" spans="2:19">
      <c r="B21" s="8" t="s">
        <v>52</v>
      </c>
      <c r="C21" s="1" t="s">
        <v>41</v>
      </c>
      <c r="D21" s="1" t="s">
        <v>21</v>
      </c>
      <c r="F21" s="5">
        <f>$R$21*$R$22*12*0.5/1000</f>
        <v>120</v>
      </c>
      <c r="G21" s="5">
        <f>$R$21*$R$22*12/1000</f>
        <v>240</v>
      </c>
      <c r="H21" s="5">
        <f t="shared" ref="H21:O21" si="11">$R$21*$R$22*12/1000</f>
        <v>240</v>
      </c>
      <c r="I21" s="5">
        <f t="shared" si="11"/>
        <v>240</v>
      </c>
      <c r="J21" s="5">
        <f t="shared" si="11"/>
        <v>240</v>
      </c>
      <c r="K21" s="5">
        <f t="shared" si="11"/>
        <v>240</v>
      </c>
      <c r="L21" s="5">
        <f t="shared" si="11"/>
        <v>240</v>
      </c>
      <c r="M21" s="5">
        <f t="shared" si="11"/>
        <v>240</v>
      </c>
      <c r="N21" s="5">
        <f t="shared" si="11"/>
        <v>240</v>
      </c>
      <c r="O21" s="5">
        <f t="shared" si="11"/>
        <v>240</v>
      </c>
      <c r="Q21" s="1" t="s">
        <v>53</v>
      </c>
      <c r="R21" s="4">
        <v>80</v>
      </c>
      <c r="S21" s="1" t="s">
        <v>54</v>
      </c>
    </row>
    <row r="22" spans="2:19">
      <c r="B22" s="8" t="s">
        <v>52</v>
      </c>
      <c r="D22" s="1" t="s">
        <v>24</v>
      </c>
      <c r="F22" s="7">
        <f>F17/2</f>
        <v>215.172</v>
      </c>
      <c r="G22" s="7">
        <f t="shared" ref="G22:O22" si="12">G17/2</f>
        <v>215.172</v>
      </c>
      <c r="H22" s="7">
        <f t="shared" si="12"/>
        <v>215.172</v>
      </c>
      <c r="I22" s="7">
        <f t="shared" si="12"/>
        <v>215.172</v>
      </c>
      <c r="J22" s="7">
        <f t="shared" si="12"/>
        <v>215.172</v>
      </c>
      <c r="K22" s="7">
        <f t="shared" si="12"/>
        <v>215.172</v>
      </c>
      <c r="L22" s="7">
        <f t="shared" si="12"/>
        <v>215.172</v>
      </c>
      <c r="M22" s="7">
        <f t="shared" si="12"/>
        <v>215.172</v>
      </c>
      <c r="N22" s="7">
        <f t="shared" si="12"/>
        <v>215.172</v>
      </c>
      <c r="O22" s="7">
        <f t="shared" si="12"/>
        <v>215.172</v>
      </c>
      <c r="Q22" s="1" t="s">
        <v>55</v>
      </c>
      <c r="R22" s="4">
        <v>250</v>
      </c>
      <c r="S22" s="1" t="s">
        <v>56</v>
      </c>
    </row>
    <row r="23" spans="2:19">
      <c r="B23" s="8" t="s">
        <v>52</v>
      </c>
      <c r="D23" s="1" t="s">
        <v>25</v>
      </c>
      <c r="F23" s="7">
        <f t="shared" ref="F23:O25" si="13">F18/2</f>
        <v>215.172</v>
      </c>
      <c r="G23" s="7">
        <f t="shared" si="13"/>
        <v>215.172</v>
      </c>
      <c r="H23" s="7">
        <f t="shared" si="13"/>
        <v>215.172</v>
      </c>
      <c r="I23" s="7">
        <f t="shared" si="13"/>
        <v>215.172</v>
      </c>
      <c r="J23" s="7">
        <f t="shared" si="13"/>
        <v>215.172</v>
      </c>
      <c r="K23" s="7">
        <f t="shared" si="13"/>
        <v>215.172</v>
      </c>
      <c r="L23" s="7">
        <f t="shared" si="13"/>
        <v>215.172</v>
      </c>
      <c r="M23" s="7">
        <f t="shared" si="13"/>
        <v>215.172</v>
      </c>
      <c r="N23" s="7">
        <f t="shared" si="13"/>
        <v>215.172</v>
      </c>
      <c r="O23" s="7">
        <f t="shared" si="13"/>
        <v>215.172</v>
      </c>
      <c r="Q23" s="1" t="s">
        <v>58</v>
      </c>
    </row>
    <row r="24" spans="2:19">
      <c r="B24" s="8" t="s">
        <v>52</v>
      </c>
      <c r="D24" s="1" t="s">
        <v>26</v>
      </c>
      <c r="F24" s="7">
        <f t="shared" si="13"/>
        <v>332.358</v>
      </c>
      <c r="G24" s="7">
        <f t="shared" si="13"/>
        <v>332.358</v>
      </c>
      <c r="H24" s="7">
        <f t="shared" si="13"/>
        <v>332.358</v>
      </c>
      <c r="I24" s="7">
        <f t="shared" si="13"/>
        <v>332.358</v>
      </c>
      <c r="J24" s="7">
        <f t="shared" si="13"/>
        <v>332.358</v>
      </c>
      <c r="K24" s="7">
        <f t="shared" si="13"/>
        <v>332.358</v>
      </c>
      <c r="L24" s="7">
        <f t="shared" si="13"/>
        <v>332.358</v>
      </c>
      <c r="M24" s="7">
        <f t="shared" si="13"/>
        <v>332.358</v>
      </c>
      <c r="N24" s="7">
        <f t="shared" si="13"/>
        <v>332.358</v>
      </c>
      <c r="O24" s="7">
        <f t="shared" si="13"/>
        <v>332.358</v>
      </c>
    </row>
    <row r="25" spans="2:19">
      <c r="B25" s="8" t="s">
        <v>52</v>
      </c>
      <c r="D25" s="1" t="s">
        <v>27</v>
      </c>
      <c r="F25" s="7">
        <f>F20/2</f>
        <v>188</v>
      </c>
      <c r="G25" s="7">
        <f t="shared" si="13"/>
        <v>188</v>
      </c>
      <c r="H25" s="7">
        <f t="shared" si="13"/>
        <v>188</v>
      </c>
      <c r="I25" s="7">
        <f t="shared" si="13"/>
        <v>188</v>
      </c>
      <c r="J25" s="7">
        <f t="shared" si="13"/>
        <v>188</v>
      </c>
      <c r="K25" s="7">
        <f t="shared" si="13"/>
        <v>188</v>
      </c>
      <c r="L25" s="7">
        <f t="shared" si="13"/>
        <v>188</v>
      </c>
      <c r="M25" s="7">
        <f t="shared" si="13"/>
        <v>188</v>
      </c>
      <c r="N25" s="7">
        <f t="shared" si="13"/>
        <v>188</v>
      </c>
      <c r="O25" s="7">
        <f t="shared" si="13"/>
        <v>188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EA4D-053B-425E-A90C-C321CA8A2205}">
  <dimension ref="A1:R112"/>
  <sheetViews>
    <sheetView zoomScale="90" zoomScaleNormal="90" workbookViewId="0">
      <selection activeCell="K52" sqref="K52"/>
    </sheetView>
  </sheetViews>
  <sheetFormatPr defaultRowHeight="12"/>
  <cols>
    <col min="1" max="1" width="9.140625" style="1"/>
    <col min="2" max="2" width="5.7109375" style="1" customWidth="1"/>
    <col min="3" max="3" width="4.140625" style="1" customWidth="1"/>
    <col min="4" max="4" width="13.5703125" style="1" bestFit="1" customWidth="1"/>
    <col min="5" max="15" width="9.7109375" style="1" customWidth="1"/>
    <col min="16" max="16" width="9.140625" style="1"/>
    <col min="17" max="17" width="21.85546875" style="1" customWidth="1"/>
    <col min="18" max="16384" width="9.140625" style="1"/>
  </cols>
  <sheetData>
    <row r="1" spans="1:17">
      <c r="A1" s="1" t="s">
        <v>59</v>
      </c>
    </row>
    <row r="3" spans="1:17"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7">
      <c r="B4" s="1" t="s">
        <v>60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7">
      <c r="C5" s="1" t="s">
        <v>31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>
      <c r="C6" s="8" t="s">
        <v>31</v>
      </c>
      <c r="D6" s="1" t="s">
        <v>21</v>
      </c>
      <c r="E6" s="14">
        <v>0</v>
      </c>
      <c r="F6" s="12">
        <f>E6</f>
        <v>0</v>
      </c>
      <c r="G6" s="12">
        <f t="shared" ref="G6:O6" si="0">F6</f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</row>
    <row r="7" spans="1:17">
      <c r="C7" s="8" t="s">
        <v>31</v>
      </c>
      <c r="D7" s="1" t="s">
        <v>24</v>
      </c>
      <c r="E7" s="14">
        <v>0.33</v>
      </c>
      <c r="F7" s="12">
        <f>E7</f>
        <v>0.33</v>
      </c>
      <c r="G7" s="12">
        <f t="shared" ref="G7:O7" si="1">F7</f>
        <v>0.33</v>
      </c>
      <c r="H7" s="12">
        <f t="shared" si="1"/>
        <v>0.33</v>
      </c>
      <c r="I7" s="12">
        <f t="shared" si="1"/>
        <v>0.33</v>
      </c>
      <c r="J7" s="12">
        <f t="shared" si="1"/>
        <v>0.33</v>
      </c>
      <c r="K7" s="12">
        <f t="shared" si="1"/>
        <v>0.33</v>
      </c>
      <c r="L7" s="12">
        <f t="shared" si="1"/>
        <v>0.33</v>
      </c>
      <c r="M7" s="12">
        <f t="shared" si="1"/>
        <v>0.33</v>
      </c>
      <c r="N7" s="12">
        <f t="shared" si="1"/>
        <v>0.33</v>
      </c>
      <c r="O7" s="12">
        <f t="shared" si="1"/>
        <v>0.33</v>
      </c>
    </row>
    <row r="8" spans="1:17">
      <c r="C8" s="8" t="s">
        <v>31</v>
      </c>
      <c r="D8" s="1" t="s">
        <v>25</v>
      </c>
      <c r="E8" s="14">
        <v>0.33</v>
      </c>
      <c r="F8" s="12">
        <f t="shared" ref="F8:O8" si="2">E8</f>
        <v>0.33</v>
      </c>
      <c r="G8" s="12">
        <f t="shared" si="2"/>
        <v>0.33</v>
      </c>
      <c r="H8" s="12">
        <f t="shared" si="2"/>
        <v>0.33</v>
      </c>
      <c r="I8" s="12">
        <f t="shared" si="2"/>
        <v>0.33</v>
      </c>
      <c r="J8" s="12">
        <f t="shared" si="2"/>
        <v>0.33</v>
      </c>
      <c r="K8" s="12">
        <f t="shared" si="2"/>
        <v>0.33</v>
      </c>
      <c r="L8" s="12">
        <f t="shared" si="2"/>
        <v>0.33</v>
      </c>
      <c r="M8" s="12">
        <f t="shared" si="2"/>
        <v>0.33</v>
      </c>
      <c r="N8" s="12">
        <f t="shared" si="2"/>
        <v>0.33</v>
      </c>
      <c r="O8" s="12">
        <f t="shared" si="2"/>
        <v>0.33</v>
      </c>
    </row>
    <row r="9" spans="1:17">
      <c r="C9" s="8" t="s">
        <v>31</v>
      </c>
      <c r="D9" s="1" t="s">
        <v>26</v>
      </c>
      <c r="E9" s="14">
        <v>0</v>
      </c>
      <c r="F9" s="12">
        <f t="shared" ref="F9:O9" si="3">E9</f>
        <v>0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0</v>
      </c>
      <c r="K9" s="12">
        <f t="shared" si="3"/>
        <v>0</v>
      </c>
      <c r="L9" s="12">
        <f t="shared" si="3"/>
        <v>0</v>
      </c>
      <c r="M9" s="12">
        <f t="shared" si="3"/>
        <v>0</v>
      </c>
      <c r="N9" s="12">
        <f t="shared" si="3"/>
        <v>0</v>
      </c>
      <c r="O9" s="12">
        <f t="shared" si="3"/>
        <v>0</v>
      </c>
    </row>
    <row r="10" spans="1:17">
      <c r="C10" s="8" t="s">
        <v>31</v>
      </c>
      <c r="D10" s="1" t="s">
        <v>27</v>
      </c>
      <c r="E10" s="14">
        <v>0</v>
      </c>
      <c r="F10" s="12">
        <f t="shared" ref="F10:O10" si="4">E10</f>
        <v>0</v>
      </c>
      <c r="G10" s="12">
        <f t="shared" si="4"/>
        <v>0</v>
      </c>
      <c r="H10" s="12">
        <f t="shared" si="4"/>
        <v>0</v>
      </c>
      <c r="I10" s="12">
        <f t="shared" si="4"/>
        <v>0</v>
      </c>
      <c r="J10" s="12">
        <f t="shared" si="4"/>
        <v>0</v>
      </c>
      <c r="K10" s="12">
        <f t="shared" si="4"/>
        <v>0</v>
      </c>
      <c r="L10" s="12">
        <f t="shared" si="4"/>
        <v>0</v>
      </c>
      <c r="M10" s="12">
        <f t="shared" si="4"/>
        <v>0</v>
      </c>
      <c r="N10" s="12">
        <f t="shared" si="4"/>
        <v>0</v>
      </c>
      <c r="O10" s="12">
        <f t="shared" si="4"/>
        <v>0</v>
      </c>
    </row>
    <row r="11" spans="1:17">
      <c r="C11" s="8" t="s">
        <v>31</v>
      </c>
      <c r="D11" s="1" t="s">
        <v>61</v>
      </c>
      <c r="E11" s="14">
        <v>0.45</v>
      </c>
      <c r="F11" s="12">
        <f t="shared" ref="F11:O11" si="5">E11</f>
        <v>0.45</v>
      </c>
      <c r="G11" s="12">
        <f t="shared" si="5"/>
        <v>0.45</v>
      </c>
      <c r="H11" s="12">
        <f t="shared" si="5"/>
        <v>0.45</v>
      </c>
      <c r="I11" s="12">
        <f t="shared" si="5"/>
        <v>0.45</v>
      </c>
      <c r="J11" s="12">
        <f t="shared" si="5"/>
        <v>0.45</v>
      </c>
      <c r="K11" s="12">
        <f t="shared" si="5"/>
        <v>0.45</v>
      </c>
      <c r="L11" s="12">
        <f t="shared" si="5"/>
        <v>0.45</v>
      </c>
      <c r="M11" s="12">
        <f t="shared" si="5"/>
        <v>0.45</v>
      </c>
      <c r="N11" s="12">
        <f t="shared" si="5"/>
        <v>0.45</v>
      </c>
      <c r="O11" s="12">
        <f t="shared" si="5"/>
        <v>0.45</v>
      </c>
    </row>
    <row r="12" spans="1:17">
      <c r="C12" s="8" t="s">
        <v>31</v>
      </c>
      <c r="D12" s="1" t="s">
        <v>29</v>
      </c>
      <c r="E12" s="14">
        <v>0.8</v>
      </c>
      <c r="F12" s="12">
        <f t="shared" ref="F12:O12" si="6">E12</f>
        <v>0.8</v>
      </c>
      <c r="G12" s="12">
        <f t="shared" si="6"/>
        <v>0.8</v>
      </c>
      <c r="H12" s="12">
        <f t="shared" si="6"/>
        <v>0.8</v>
      </c>
      <c r="I12" s="12">
        <f t="shared" si="6"/>
        <v>0.8</v>
      </c>
      <c r="J12" s="12">
        <f t="shared" si="6"/>
        <v>0.8</v>
      </c>
      <c r="K12" s="12">
        <f t="shared" si="6"/>
        <v>0.8</v>
      </c>
      <c r="L12" s="12">
        <f t="shared" si="6"/>
        <v>0.8</v>
      </c>
      <c r="M12" s="12">
        <f t="shared" si="6"/>
        <v>0.8</v>
      </c>
      <c r="N12" s="12">
        <f t="shared" si="6"/>
        <v>0.8</v>
      </c>
      <c r="O12" s="12">
        <f t="shared" si="6"/>
        <v>0.8</v>
      </c>
    </row>
    <row r="13" spans="1:17">
      <c r="C13" s="8" t="s">
        <v>31</v>
      </c>
      <c r="D13" s="1" t="s">
        <v>30</v>
      </c>
      <c r="E13" s="14">
        <v>0.45</v>
      </c>
      <c r="F13" s="12">
        <f t="shared" ref="F13:O13" si="7">E13</f>
        <v>0.45</v>
      </c>
      <c r="G13" s="12">
        <f t="shared" si="7"/>
        <v>0.45</v>
      </c>
      <c r="H13" s="12">
        <f t="shared" si="7"/>
        <v>0.45</v>
      </c>
      <c r="I13" s="12">
        <f t="shared" si="7"/>
        <v>0.45</v>
      </c>
      <c r="J13" s="12">
        <f t="shared" si="7"/>
        <v>0.45</v>
      </c>
      <c r="K13" s="12">
        <f t="shared" si="7"/>
        <v>0.45</v>
      </c>
      <c r="L13" s="12">
        <f t="shared" si="7"/>
        <v>0.45</v>
      </c>
      <c r="M13" s="12">
        <f t="shared" si="7"/>
        <v>0.45</v>
      </c>
      <c r="N13" s="12">
        <f t="shared" si="7"/>
        <v>0.45</v>
      </c>
      <c r="O13" s="12">
        <f t="shared" si="7"/>
        <v>0.45</v>
      </c>
      <c r="Q13" s="4"/>
    </row>
    <row r="14" spans="1:17">
      <c r="C14" s="1" t="s">
        <v>62</v>
      </c>
      <c r="E14" s="14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7">
      <c r="C15" s="8" t="s">
        <v>62</v>
      </c>
      <c r="D15" s="1" t="s">
        <v>21</v>
      </c>
      <c r="E15" s="13">
        <f>E24+E33+E42+E51+E60+E69+E78+E87+E96+E105</f>
        <v>0.46944791666666674</v>
      </c>
      <c r="F15" s="13">
        <f t="shared" ref="F15:O15" si="8">F24+F33+F42+F51+F60+F69+F78+F87+F96+F105</f>
        <v>0.46944791666666674</v>
      </c>
      <c r="G15" s="13">
        <f t="shared" si="8"/>
        <v>0.46944791666666674</v>
      </c>
      <c r="H15" s="13">
        <f t="shared" si="8"/>
        <v>0.46944791666666674</v>
      </c>
      <c r="I15" s="13">
        <f t="shared" si="8"/>
        <v>0.46944791666666674</v>
      </c>
      <c r="J15" s="13">
        <f t="shared" si="8"/>
        <v>0.46944791666666674</v>
      </c>
      <c r="K15" s="13">
        <f t="shared" si="8"/>
        <v>0.46944791666666674</v>
      </c>
      <c r="L15" s="13">
        <f t="shared" si="8"/>
        <v>0.46944791666666674</v>
      </c>
      <c r="M15" s="13">
        <f t="shared" si="8"/>
        <v>0.46944791666666674</v>
      </c>
      <c r="N15" s="13">
        <f t="shared" si="8"/>
        <v>0.46944791666666674</v>
      </c>
      <c r="O15" s="13">
        <f t="shared" si="8"/>
        <v>0.46944791666666674</v>
      </c>
    </row>
    <row r="16" spans="1:17">
      <c r="C16" s="8" t="s">
        <v>62</v>
      </c>
      <c r="D16" s="1" t="s">
        <v>24</v>
      </c>
      <c r="E16" s="13">
        <f t="shared" ref="E16:O22" si="9">E25+E34+E43+E52+E61+E70+E79+E88+E97+E106</f>
        <v>0.14400000000000002</v>
      </c>
      <c r="F16" s="13">
        <f t="shared" si="9"/>
        <v>0.14400000000000002</v>
      </c>
      <c r="G16" s="13">
        <f t="shared" si="9"/>
        <v>0.14400000000000002</v>
      </c>
      <c r="H16" s="13">
        <f t="shared" si="9"/>
        <v>0.14400000000000002</v>
      </c>
      <c r="I16" s="13">
        <f t="shared" si="9"/>
        <v>0.14400000000000002</v>
      </c>
      <c r="J16" s="13">
        <f t="shared" si="9"/>
        <v>0.14400000000000002</v>
      </c>
      <c r="K16" s="13">
        <f t="shared" si="9"/>
        <v>0.14400000000000002</v>
      </c>
      <c r="L16" s="13">
        <f t="shared" si="9"/>
        <v>0.14400000000000002</v>
      </c>
      <c r="M16" s="13">
        <f t="shared" si="9"/>
        <v>0.14400000000000002</v>
      </c>
      <c r="N16" s="13">
        <f t="shared" si="9"/>
        <v>0.14400000000000002</v>
      </c>
      <c r="O16" s="13">
        <f t="shared" si="9"/>
        <v>0.14400000000000002</v>
      </c>
    </row>
    <row r="17" spans="3:15">
      <c r="C17" s="8" t="s">
        <v>62</v>
      </c>
      <c r="D17" s="1" t="s">
        <v>25</v>
      </c>
      <c r="E17" s="13">
        <f t="shared" si="9"/>
        <v>6.3299999999999995E-2</v>
      </c>
      <c r="F17" s="13">
        <f t="shared" si="9"/>
        <v>6.3299999999999995E-2</v>
      </c>
      <c r="G17" s="13">
        <f t="shared" si="9"/>
        <v>6.3299999999999995E-2</v>
      </c>
      <c r="H17" s="13">
        <f t="shared" si="9"/>
        <v>6.3299999999999995E-2</v>
      </c>
      <c r="I17" s="13">
        <f t="shared" si="9"/>
        <v>6.3299999999999995E-2</v>
      </c>
      <c r="J17" s="13">
        <f t="shared" si="9"/>
        <v>6.3299999999999995E-2</v>
      </c>
      <c r="K17" s="13">
        <f t="shared" si="9"/>
        <v>6.3299999999999995E-2</v>
      </c>
      <c r="L17" s="13">
        <f t="shared" si="9"/>
        <v>6.3299999999999995E-2</v>
      </c>
      <c r="M17" s="13">
        <f t="shared" si="9"/>
        <v>6.3299999999999995E-2</v>
      </c>
      <c r="N17" s="13">
        <f t="shared" si="9"/>
        <v>6.3299999999999995E-2</v>
      </c>
      <c r="O17" s="13">
        <f t="shared" si="9"/>
        <v>6.3299999999999995E-2</v>
      </c>
    </row>
    <row r="18" spans="3:15">
      <c r="C18" s="8" t="s">
        <v>62</v>
      </c>
      <c r="D18" s="1" t="s">
        <v>26</v>
      </c>
      <c r="E18" s="13">
        <f t="shared" si="9"/>
        <v>0.8570000000000001</v>
      </c>
      <c r="F18" s="13">
        <f t="shared" si="9"/>
        <v>0.8570000000000001</v>
      </c>
      <c r="G18" s="13">
        <f t="shared" si="9"/>
        <v>0.8570000000000001</v>
      </c>
      <c r="H18" s="13">
        <f t="shared" si="9"/>
        <v>0.8570000000000001</v>
      </c>
      <c r="I18" s="13">
        <f t="shared" si="9"/>
        <v>0.8570000000000001</v>
      </c>
      <c r="J18" s="13">
        <f t="shared" si="9"/>
        <v>0.8570000000000001</v>
      </c>
      <c r="K18" s="13">
        <f t="shared" si="9"/>
        <v>0.8570000000000001</v>
      </c>
      <c r="L18" s="13">
        <f t="shared" si="9"/>
        <v>0.8570000000000001</v>
      </c>
      <c r="M18" s="13">
        <f t="shared" si="9"/>
        <v>0.8570000000000001</v>
      </c>
      <c r="N18" s="13">
        <f t="shared" si="9"/>
        <v>0.8570000000000001</v>
      </c>
      <c r="O18" s="13">
        <f t="shared" si="9"/>
        <v>0.8570000000000001</v>
      </c>
    </row>
    <row r="19" spans="3:15">
      <c r="C19" s="8" t="s">
        <v>62</v>
      </c>
      <c r="D19" s="1" t="s">
        <v>27</v>
      </c>
      <c r="E19" s="13">
        <f t="shared" si="9"/>
        <v>0.52329999999999999</v>
      </c>
      <c r="F19" s="13">
        <f t="shared" si="9"/>
        <v>0.52329999999999999</v>
      </c>
      <c r="G19" s="13">
        <f t="shared" si="9"/>
        <v>0.52329999999999999</v>
      </c>
      <c r="H19" s="13">
        <f t="shared" si="9"/>
        <v>0.52329999999999999</v>
      </c>
      <c r="I19" s="13">
        <f t="shared" si="9"/>
        <v>0.52329999999999999</v>
      </c>
      <c r="J19" s="13">
        <f t="shared" si="9"/>
        <v>0.52329999999999999</v>
      </c>
      <c r="K19" s="13">
        <f t="shared" si="9"/>
        <v>0.52329999999999999</v>
      </c>
      <c r="L19" s="13">
        <f t="shared" si="9"/>
        <v>0.52329999999999999</v>
      </c>
      <c r="M19" s="13">
        <f t="shared" si="9"/>
        <v>0.52329999999999999</v>
      </c>
      <c r="N19" s="13">
        <f t="shared" si="9"/>
        <v>0.52329999999999999</v>
      </c>
      <c r="O19" s="13">
        <f t="shared" si="9"/>
        <v>0.52329999999999999</v>
      </c>
    </row>
    <row r="20" spans="3:15">
      <c r="C20" s="8" t="s">
        <v>62</v>
      </c>
      <c r="D20" s="1" t="s">
        <v>61</v>
      </c>
      <c r="E20" s="13">
        <f t="shared" si="9"/>
        <v>0.3856</v>
      </c>
      <c r="F20" s="13">
        <f t="shared" si="9"/>
        <v>0.3856</v>
      </c>
      <c r="G20" s="13">
        <f t="shared" si="9"/>
        <v>0.3856</v>
      </c>
      <c r="H20" s="13">
        <f t="shared" si="9"/>
        <v>0.3856</v>
      </c>
      <c r="I20" s="13">
        <f t="shared" si="9"/>
        <v>0.3856</v>
      </c>
      <c r="J20" s="13">
        <f t="shared" si="9"/>
        <v>0.3856</v>
      </c>
      <c r="K20" s="13">
        <f t="shared" si="9"/>
        <v>0.3856</v>
      </c>
      <c r="L20" s="13">
        <f t="shared" si="9"/>
        <v>0.3856</v>
      </c>
      <c r="M20" s="13">
        <f t="shared" si="9"/>
        <v>0.3856</v>
      </c>
      <c r="N20" s="13">
        <f t="shared" si="9"/>
        <v>0.3856</v>
      </c>
      <c r="O20" s="13">
        <f t="shared" si="9"/>
        <v>0.3856</v>
      </c>
    </row>
    <row r="21" spans="3:15">
      <c r="C21" s="8" t="s">
        <v>62</v>
      </c>
      <c r="D21" s="1" t="s">
        <v>29</v>
      </c>
      <c r="E21" s="13">
        <f t="shared" si="9"/>
        <v>0.05</v>
      </c>
      <c r="F21" s="13">
        <f t="shared" si="9"/>
        <v>0.05</v>
      </c>
      <c r="G21" s="13">
        <f t="shared" si="9"/>
        <v>0.05</v>
      </c>
      <c r="H21" s="13">
        <f t="shared" si="9"/>
        <v>0.05</v>
      </c>
      <c r="I21" s="13">
        <f t="shared" si="9"/>
        <v>0.05</v>
      </c>
      <c r="J21" s="13">
        <f t="shared" si="9"/>
        <v>0.05</v>
      </c>
      <c r="K21" s="13">
        <f t="shared" si="9"/>
        <v>0.05</v>
      </c>
      <c r="L21" s="13">
        <f t="shared" si="9"/>
        <v>0.05</v>
      </c>
      <c r="M21" s="13">
        <f t="shared" si="9"/>
        <v>0.05</v>
      </c>
      <c r="N21" s="13">
        <f t="shared" si="9"/>
        <v>0.05</v>
      </c>
      <c r="O21" s="13">
        <f t="shared" si="9"/>
        <v>0.05</v>
      </c>
    </row>
    <row r="22" spans="3:15">
      <c r="C22" s="8" t="s">
        <v>62</v>
      </c>
      <c r="D22" s="1" t="s">
        <v>30</v>
      </c>
      <c r="E22" s="13">
        <f t="shared" si="9"/>
        <v>0.4</v>
      </c>
      <c r="F22" s="13">
        <f t="shared" si="9"/>
        <v>0.4</v>
      </c>
      <c r="G22" s="13">
        <f t="shared" si="9"/>
        <v>0.4</v>
      </c>
      <c r="H22" s="13">
        <f t="shared" si="9"/>
        <v>0.4</v>
      </c>
      <c r="I22" s="13">
        <f t="shared" si="9"/>
        <v>0.4</v>
      </c>
      <c r="J22" s="13">
        <f t="shared" si="9"/>
        <v>0.4</v>
      </c>
      <c r="K22" s="13">
        <f t="shared" si="9"/>
        <v>0.4</v>
      </c>
      <c r="L22" s="13">
        <f t="shared" si="9"/>
        <v>0.4</v>
      </c>
      <c r="M22" s="13">
        <f t="shared" si="9"/>
        <v>0.4</v>
      </c>
      <c r="N22" s="13">
        <f t="shared" si="9"/>
        <v>0.4</v>
      </c>
      <c r="O22" s="13">
        <f t="shared" si="9"/>
        <v>0.4</v>
      </c>
    </row>
    <row r="23" spans="3:15">
      <c r="C23" s="1" t="s">
        <v>63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3:15">
      <c r="C24" s="8" t="s">
        <v>63</v>
      </c>
      <c r="D24" s="1" t="s">
        <v>21</v>
      </c>
      <c r="E24" s="14">
        <v>0</v>
      </c>
      <c r="F24" s="12">
        <f>E24</f>
        <v>0</v>
      </c>
      <c r="G24" s="12">
        <f t="shared" ref="G24:O24" si="10">F24</f>
        <v>0</v>
      </c>
      <c r="H24" s="12">
        <f t="shared" si="10"/>
        <v>0</v>
      </c>
      <c r="I24" s="12">
        <f t="shared" si="10"/>
        <v>0</v>
      </c>
      <c r="J24" s="12">
        <f t="shared" si="10"/>
        <v>0</v>
      </c>
      <c r="K24" s="12">
        <f t="shared" si="10"/>
        <v>0</v>
      </c>
      <c r="L24" s="12">
        <f t="shared" si="10"/>
        <v>0</v>
      </c>
      <c r="M24" s="12">
        <f t="shared" si="10"/>
        <v>0</v>
      </c>
      <c r="N24" s="12">
        <f t="shared" si="10"/>
        <v>0</v>
      </c>
      <c r="O24" s="12">
        <f t="shared" si="10"/>
        <v>0</v>
      </c>
    </row>
    <row r="25" spans="3:15">
      <c r="C25" s="8" t="s">
        <v>63</v>
      </c>
      <c r="D25" s="1" t="s">
        <v>24</v>
      </c>
      <c r="E25" s="14">
        <v>1.2E-2</v>
      </c>
      <c r="F25" s="12">
        <f>E25</f>
        <v>1.2E-2</v>
      </c>
      <c r="G25" s="12">
        <f t="shared" ref="G25:O25" si="11">F25</f>
        <v>1.2E-2</v>
      </c>
      <c r="H25" s="12">
        <f t="shared" si="11"/>
        <v>1.2E-2</v>
      </c>
      <c r="I25" s="12">
        <f t="shared" si="11"/>
        <v>1.2E-2</v>
      </c>
      <c r="J25" s="12">
        <f t="shared" si="11"/>
        <v>1.2E-2</v>
      </c>
      <c r="K25" s="12">
        <f t="shared" si="11"/>
        <v>1.2E-2</v>
      </c>
      <c r="L25" s="12">
        <f t="shared" si="11"/>
        <v>1.2E-2</v>
      </c>
      <c r="M25" s="12">
        <f t="shared" si="11"/>
        <v>1.2E-2</v>
      </c>
      <c r="N25" s="12">
        <f t="shared" si="11"/>
        <v>1.2E-2</v>
      </c>
      <c r="O25" s="12">
        <f t="shared" si="11"/>
        <v>1.2E-2</v>
      </c>
    </row>
    <row r="26" spans="3:15">
      <c r="C26" s="8" t="s">
        <v>63</v>
      </c>
      <c r="D26" s="1" t="s">
        <v>25</v>
      </c>
      <c r="E26" s="14">
        <v>1.2E-2</v>
      </c>
      <c r="F26" s="12">
        <f t="shared" ref="F26:O26" si="12">E26</f>
        <v>1.2E-2</v>
      </c>
      <c r="G26" s="12">
        <f t="shared" si="12"/>
        <v>1.2E-2</v>
      </c>
      <c r="H26" s="12">
        <f t="shared" si="12"/>
        <v>1.2E-2</v>
      </c>
      <c r="I26" s="12">
        <f t="shared" si="12"/>
        <v>1.2E-2</v>
      </c>
      <c r="J26" s="12">
        <f t="shared" si="12"/>
        <v>1.2E-2</v>
      </c>
      <c r="K26" s="12">
        <f t="shared" si="12"/>
        <v>1.2E-2</v>
      </c>
      <c r="L26" s="12">
        <f t="shared" si="12"/>
        <v>1.2E-2</v>
      </c>
      <c r="M26" s="12">
        <f t="shared" si="12"/>
        <v>1.2E-2</v>
      </c>
      <c r="N26" s="12">
        <f t="shared" si="12"/>
        <v>1.2E-2</v>
      </c>
      <c r="O26" s="12">
        <f t="shared" si="12"/>
        <v>1.2E-2</v>
      </c>
    </row>
    <row r="27" spans="3:15">
      <c r="C27" s="8" t="s">
        <v>63</v>
      </c>
      <c r="D27" s="1" t="s">
        <v>26</v>
      </c>
      <c r="E27" s="14">
        <v>0</v>
      </c>
      <c r="F27" s="12">
        <f t="shared" ref="F27:O27" si="13">E27</f>
        <v>0</v>
      </c>
      <c r="G27" s="12">
        <f t="shared" si="13"/>
        <v>0</v>
      </c>
      <c r="H27" s="12">
        <f t="shared" si="13"/>
        <v>0</v>
      </c>
      <c r="I27" s="12">
        <f t="shared" si="13"/>
        <v>0</v>
      </c>
      <c r="J27" s="12">
        <f t="shared" si="13"/>
        <v>0</v>
      </c>
      <c r="K27" s="12">
        <f t="shared" si="13"/>
        <v>0</v>
      </c>
      <c r="L27" s="12">
        <f t="shared" si="13"/>
        <v>0</v>
      </c>
      <c r="M27" s="12">
        <f t="shared" si="13"/>
        <v>0</v>
      </c>
      <c r="N27" s="12">
        <f t="shared" si="13"/>
        <v>0</v>
      </c>
      <c r="O27" s="12">
        <f t="shared" si="13"/>
        <v>0</v>
      </c>
    </row>
    <row r="28" spans="3:15">
      <c r="C28" s="8" t="s">
        <v>63</v>
      </c>
      <c r="D28" s="1" t="s">
        <v>27</v>
      </c>
      <c r="E28" s="14">
        <v>0</v>
      </c>
      <c r="F28" s="12">
        <f>E28</f>
        <v>0</v>
      </c>
      <c r="G28" s="12">
        <f t="shared" ref="G28:O28" si="14">F28</f>
        <v>0</v>
      </c>
      <c r="H28" s="12">
        <f t="shared" si="14"/>
        <v>0</v>
      </c>
      <c r="I28" s="12">
        <f t="shared" si="14"/>
        <v>0</v>
      </c>
      <c r="J28" s="12">
        <f t="shared" si="14"/>
        <v>0</v>
      </c>
      <c r="K28" s="12">
        <f t="shared" si="14"/>
        <v>0</v>
      </c>
      <c r="L28" s="12">
        <f t="shared" si="14"/>
        <v>0</v>
      </c>
      <c r="M28" s="12">
        <f t="shared" si="14"/>
        <v>0</v>
      </c>
      <c r="N28" s="12">
        <f t="shared" si="14"/>
        <v>0</v>
      </c>
      <c r="O28" s="12">
        <f t="shared" si="14"/>
        <v>0</v>
      </c>
    </row>
    <row r="29" spans="3:15">
      <c r="C29" s="8" t="s">
        <v>63</v>
      </c>
      <c r="D29" s="1" t="s">
        <v>61</v>
      </c>
      <c r="E29" s="19">
        <v>0.05</v>
      </c>
      <c r="F29" s="13">
        <f>E29</f>
        <v>0.05</v>
      </c>
      <c r="G29" s="13">
        <f t="shared" ref="G29:O29" si="15">F29</f>
        <v>0.05</v>
      </c>
      <c r="H29" s="13">
        <f t="shared" si="15"/>
        <v>0.05</v>
      </c>
      <c r="I29" s="13">
        <f t="shared" si="15"/>
        <v>0.05</v>
      </c>
      <c r="J29" s="13">
        <f t="shared" si="15"/>
        <v>0.05</v>
      </c>
      <c r="K29" s="13">
        <f t="shared" si="15"/>
        <v>0.05</v>
      </c>
      <c r="L29" s="13">
        <f t="shared" si="15"/>
        <v>0.05</v>
      </c>
      <c r="M29" s="13">
        <f t="shared" si="15"/>
        <v>0.05</v>
      </c>
      <c r="N29" s="13">
        <f t="shared" si="15"/>
        <v>0.05</v>
      </c>
      <c r="O29" s="13">
        <f t="shared" si="15"/>
        <v>0.05</v>
      </c>
    </row>
    <row r="30" spans="3:15">
      <c r="C30" s="8" t="s">
        <v>63</v>
      </c>
      <c r="D30" s="1" t="s">
        <v>29</v>
      </c>
      <c r="E30" s="19">
        <v>0.05</v>
      </c>
      <c r="F30" s="13">
        <f>E30</f>
        <v>0.05</v>
      </c>
      <c r="G30" s="13">
        <f t="shared" ref="G30:O30" si="16">F30</f>
        <v>0.05</v>
      </c>
      <c r="H30" s="13">
        <f t="shared" si="16"/>
        <v>0.05</v>
      </c>
      <c r="I30" s="13">
        <f t="shared" si="16"/>
        <v>0.05</v>
      </c>
      <c r="J30" s="13">
        <f t="shared" si="16"/>
        <v>0.05</v>
      </c>
      <c r="K30" s="13">
        <f t="shared" si="16"/>
        <v>0.05</v>
      </c>
      <c r="L30" s="13">
        <f t="shared" si="16"/>
        <v>0.05</v>
      </c>
      <c r="M30" s="13">
        <f t="shared" si="16"/>
        <v>0.05</v>
      </c>
      <c r="N30" s="13">
        <f t="shared" si="16"/>
        <v>0.05</v>
      </c>
      <c r="O30" s="13">
        <f t="shared" si="16"/>
        <v>0.05</v>
      </c>
    </row>
    <row r="31" spans="3:15">
      <c r="C31" s="8" t="s">
        <v>63</v>
      </c>
      <c r="D31" s="1" t="s">
        <v>30</v>
      </c>
      <c r="E31" s="19">
        <v>0.05</v>
      </c>
      <c r="F31" s="13">
        <f>E31</f>
        <v>0.05</v>
      </c>
      <c r="G31" s="13">
        <f t="shared" ref="G31:O31" si="17">F31</f>
        <v>0.05</v>
      </c>
      <c r="H31" s="13">
        <f t="shared" si="17"/>
        <v>0.05</v>
      </c>
      <c r="I31" s="13">
        <f t="shared" si="17"/>
        <v>0.05</v>
      </c>
      <c r="J31" s="13">
        <f t="shared" si="17"/>
        <v>0.05</v>
      </c>
      <c r="K31" s="13">
        <f t="shared" si="17"/>
        <v>0.05</v>
      </c>
      <c r="L31" s="13">
        <f t="shared" si="17"/>
        <v>0.05</v>
      </c>
      <c r="M31" s="13">
        <f t="shared" si="17"/>
        <v>0.05</v>
      </c>
      <c r="N31" s="13">
        <f t="shared" si="17"/>
        <v>0.05</v>
      </c>
      <c r="O31" s="13">
        <f t="shared" si="17"/>
        <v>0.05</v>
      </c>
    </row>
    <row r="32" spans="3:15">
      <c r="C32" s="1" t="s">
        <v>64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3:16">
      <c r="C33" s="8" t="s">
        <v>64</v>
      </c>
      <c r="D33" s="1" t="s">
        <v>21</v>
      </c>
      <c r="E33" s="14">
        <v>0</v>
      </c>
      <c r="F33" s="12">
        <f>E33</f>
        <v>0</v>
      </c>
      <c r="G33" s="12">
        <f t="shared" ref="G33:O33" si="18">F33</f>
        <v>0</v>
      </c>
      <c r="H33" s="12">
        <f t="shared" si="18"/>
        <v>0</v>
      </c>
      <c r="I33" s="12">
        <f t="shared" si="18"/>
        <v>0</v>
      </c>
      <c r="J33" s="12">
        <f t="shared" si="18"/>
        <v>0</v>
      </c>
      <c r="K33" s="12">
        <f t="shared" si="18"/>
        <v>0</v>
      </c>
      <c r="L33" s="12">
        <f t="shared" si="18"/>
        <v>0</v>
      </c>
      <c r="M33" s="12">
        <f t="shared" si="18"/>
        <v>0</v>
      </c>
      <c r="N33" s="12">
        <f t="shared" si="18"/>
        <v>0</v>
      </c>
      <c r="O33" s="12">
        <f t="shared" si="18"/>
        <v>0</v>
      </c>
    </row>
    <row r="34" spans="3:16">
      <c r="C34" s="8" t="s">
        <v>64</v>
      </c>
      <c r="D34" s="1" t="s">
        <v>24</v>
      </c>
      <c r="E34" s="14">
        <v>0.115</v>
      </c>
      <c r="F34" s="12">
        <f>E34</f>
        <v>0.115</v>
      </c>
      <c r="G34" s="12">
        <f t="shared" ref="G34:O34" si="19">F34</f>
        <v>0.115</v>
      </c>
      <c r="H34" s="12">
        <f t="shared" si="19"/>
        <v>0.115</v>
      </c>
      <c r="I34" s="12">
        <f t="shared" si="19"/>
        <v>0.115</v>
      </c>
      <c r="J34" s="12">
        <f t="shared" si="19"/>
        <v>0.115</v>
      </c>
      <c r="K34" s="12">
        <f t="shared" si="19"/>
        <v>0.115</v>
      </c>
      <c r="L34" s="12">
        <f t="shared" si="19"/>
        <v>0.115</v>
      </c>
      <c r="M34" s="12">
        <f t="shared" si="19"/>
        <v>0.115</v>
      </c>
      <c r="N34" s="12">
        <f t="shared" si="19"/>
        <v>0.115</v>
      </c>
      <c r="O34" s="12">
        <f t="shared" si="19"/>
        <v>0.115</v>
      </c>
    </row>
    <row r="35" spans="3:16">
      <c r="C35" s="8" t="s">
        <v>64</v>
      </c>
      <c r="D35" s="1" t="s">
        <v>25</v>
      </c>
      <c r="E35" s="14">
        <v>0</v>
      </c>
      <c r="F35" s="12">
        <f t="shared" ref="F35:O35" si="20">E35</f>
        <v>0</v>
      </c>
      <c r="G35" s="12">
        <f t="shared" si="20"/>
        <v>0</v>
      </c>
      <c r="H35" s="12">
        <f t="shared" si="20"/>
        <v>0</v>
      </c>
      <c r="I35" s="12">
        <f t="shared" si="20"/>
        <v>0</v>
      </c>
      <c r="J35" s="12">
        <f t="shared" si="20"/>
        <v>0</v>
      </c>
      <c r="K35" s="12">
        <f t="shared" si="20"/>
        <v>0</v>
      </c>
      <c r="L35" s="12">
        <f t="shared" si="20"/>
        <v>0</v>
      </c>
      <c r="M35" s="12">
        <f t="shared" si="20"/>
        <v>0</v>
      </c>
      <c r="N35" s="12">
        <f t="shared" si="20"/>
        <v>0</v>
      </c>
      <c r="O35" s="12">
        <f t="shared" si="20"/>
        <v>0</v>
      </c>
    </row>
    <row r="36" spans="3:16">
      <c r="C36" s="8" t="s">
        <v>64</v>
      </c>
      <c r="D36" s="1" t="s">
        <v>26</v>
      </c>
      <c r="E36" s="14">
        <v>0</v>
      </c>
      <c r="F36" s="12">
        <f t="shared" ref="F36:O36" si="21">E36</f>
        <v>0</v>
      </c>
      <c r="G36" s="12">
        <f t="shared" si="21"/>
        <v>0</v>
      </c>
      <c r="H36" s="12">
        <f t="shared" si="21"/>
        <v>0</v>
      </c>
      <c r="I36" s="12">
        <f t="shared" si="21"/>
        <v>0</v>
      </c>
      <c r="J36" s="12">
        <f t="shared" si="21"/>
        <v>0</v>
      </c>
      <c r="K36" s="12">
        <f t="shared" si="21"/>
        <v>0</v>
      </c>
      <c r="L36" s="12">
        <f t="shared" si="21"/>
        <v>0</v>
      </c>
      <c r="M36" s="12">
        <f t="shared" si="21"/>
        <v>0</v>
      </c>
      <c r="N36" s="12">
        <f t="shared" si="21"/>
        <v>0</v>
      </c>
      <c r="O36" s="12">
        <f t="shared" si="21"/>
        <v>0</v>
      </c>
    </row>
    <row r="37" spans="3:16">
      <c r="C37" s="8" t="s">
        <v>64</v>
      </c>
      <c r="D37" s="1" t="s">
        <v>27</v>
      </c>
      <c r="E37" s="14">
        <v>0</v>
      </c>
      <c r="F37" s="12">
        <f>E37</f>
        <v>0</v>
      </c>
      <c r="G37" s="12">
        <f t="shared" ref="G37:O37" si="22">F37</f>
        <v>0</v>
      </c>
      <c r="H37" s="12">
        <f t="shared" si="22"/>
        <v>0</v>
      </c>
      <c r="I37" s="12">
        <f t="shared" si="22"/>
        <v>0</v>
      </c>
      <c r="J37" s="12">
        <f t="shared" si="22"/>
        <v>0</v>
      </c>
      <c r="K37" s="12">
        <f t="shared" si="22"/>
        <v>0</v>
      </c>
      <c r="L37" s="12">
        <f t="shared" si="22"/>
        <v>0</v>
      </c>
      <c r="M37" s="12">
        <f t="shared" si="22"/>
        <v>0</v>
      </c>
      <c r="N37" s="12">
        <f t="shared" si="22"/>
        <v>0</v>
      </c>
      <c r="O37" s="12">
        <f t="shared" si="22"/>
        <v>0</v>
      </c>
    </row>
    <row r="38" spans="3:16">
      <c r="C38" s="8" t="s">
        <v>64</v>
      </c>
      <c r="D38" s="1" t="s">
        <v>61</v>
      </c>
      <c r="E38" s="14">
        <v>0.33300000000000002</v>
      </c>
      <c r="F38" s="13">
        <f>E38</f>
        <v>0.33300000000000002</v>
      </c>
      <c r="G38" s="13">
        <f t="shared" ref="G38:O38" si="23">F38</f>
        <v>0.33300000000000002</v>
      </c>
      <c r="H38" s="13">
        <f t="shared" si="23"/>
        <v>0.33300000000000002</v>
      </c>
      <c r="I38" s="13">
        <f t="shared" si="23"/>
        <v>0.33300000000000002</v>
      </c>
      <c r="J38" s="13">
        <f t="shared" si="23"/>
        <v>0.33300000000000002</v>
      </c>
      <c r="K38" s="13">
        <f t="shared" si="23"/>
        <v>0.33300000000000002</v>
      </c>
      <c r="L38" s="13">
        <f t="shared" si="23"/>
        <v>0.33300000000000002</v>
      </c>
      <c r="M38" s="13">
        <f t="shared" si="23"/>
        <v>0.33300000000000002</v>
      </c>
      <c r="N38" s="13">
        <f t="shared" si="23"/>
        <v>0.33300000000000002</v>
      </c>
      <c r="O38" s="13">
        <f t="shared" si="23"/>
        <v>0.33300000000000002</v>
      </c>
    </row>
    <row r="39" spans="3:16">
      <c r="C39" s="8" t="s">
        <v>64</v>
      </c>
      <c r="D39" s="1" t="s">
        <v>29</v>
      </c>
      <c r="E39" s="14">
        <v>0</v>
      </c>
      <c r="F39" s="13">
        <f>E39</f>
        <v>0</v>
      </c>
      <c r="G39" s="13">
        <f t="shared" ref="G39:O39" si="24">F39</f>
        <v>0</v>
      </c>
      <c r="H39" s="13">
        <f t="shared" si="24"/>
        <v>0</v>
      </c>
      <c r="I39" s="13">
        <f t="shared" si="24"/>
        <v>0</v>
      </c>
      <c r="J39" s="13">
        <f t="shared" si="24"/>
        <v>0</v>
      </c>
      <c r="K39" s="13">
        <f t="shared" si="24"/>
        <v>0</v>
      </c>
      <c r="L39" s="13">
        <f t="shared" si="24"/>
        <v>0</v>
      </c>
      <c r="M39" s="13">
        <f t="shared" si="24"/>
        <v>0</v>
      </c>
      <c r="N39" s="13">
        <f t="shared" si="24"/>
        <v>0</v>
      </c>
      <c r="O39" s="13">
        <f t="shared" si="24"/>
        <v>0</v>
      </c>
    </row>
    <row r="40" spans="3:16">
      <c r="C40" s="8" t="s">
        <v>64</v>
      </c>
      <c r="D40" s="1" t="s">
        <v>30</v>
      </c>
      <c r="E40" s="14">
        <v>0.33300000000000002</v>
      </c>
      <c r="F40" s="13">
        <f>E40</f>
        <v>0.33300000000000002</v>
      </c>
      <c r="G40" s="13">
        <f t="shared" ref="G40:O40" si="25">F40</f>
        <v>0.33300000000000002</v>
      </c>
      <c r="H40" s="13">
        <f t="shared" si="25"/>
        <v>0.33300000000000002</v>
      </c>
      <c r="I40" s="13">
        <f t="shared" si="25"/>
        <v>0.33300000000000002</v>
      </c>
      <c r="J40" s="13">
        <f t="shared" si="25"/>
        <v>0.33300000000000002</v>
      </c>
      <c r="K40" s="13">
        <f t="shared" si="25"/>
        <v>0.33300000000000002</v>
      </c>
      <c r="L40" s="13">
        <f t="shared" si="25"/>
        <v>0.33300000000000002</v>
      </c>
      <c r="M40" s="13">
        <f t="shared" si="25"/>
        <v>0.33300000000000002</v>
      </c>
      <c r="N40" s="13">
        <f t="shared" si="25"/>
        <v>0.33300000000000002</v>
      </c>
      <c r="O40" s="13">
        <f t="shared" si="25"/>
        <v>0.33300000000000002</v>
      </c>
    </row>
    <row r="41" spans="3:16">
      <c r="C41" s="1" t="s">
        <v>65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3:16">
      <c r="C42" s="8" t="s">
        <v>65</v>
      </c>
      <c r="D42" s="1" t="s">
        <v>21</v>
      </c>
      <c r="E42" s="14">
        <v>1.7000000000000001E-2</v>
      </c>
      <c r="F42" s="12">
        <f>E42</f>
        <v>1.7000000000000001E-2</v>
      </c>
      <c r="G42" s="12">
        <f t="shared" ref="G42:O42" si="26">F42</f>
        <v>1.7000000000000001E-2</v>
      </c>
      <c r="H42" s="12">
        <f t="shared" si="26"/>
        <v>1.7000000000000001E-2</v>
      </c>
      <c r="I42" s="12">
        <f t="shared" si="26"/>
        <v>1.7000000000000001E-2</v>
      </c>
      <c r="J42" s="12">
        <f t="shared" si="26"/>
        <v>1.7000000000000001E-2</v>
      </c>
      <c r="K42" s="12">
        <f t="shared" si="26"/>
        <v>1.7000000000000001E-2</v>
      </c>
      <c r="L42" s="12">
        <f t="shared" si="26"/>
        <v>1.7000000000000001E-2</v>
      </c>
      <c r="M42" s="12">
        <f t="shared" si="26"/>
        <v>1.7000000000000001E-2</v>
      </c>
      <c r="N42" s="12">
        <f t="shared" si="26"/>
        <v>1.7000000000000001E-2</v>
      </c>
      <c r="O42" s="12">
        <f t="shared" si="26"/>
        <v>1.7000000000000001E-2</v>
      </c>
    </row>
    <row r="43" spans="3:16">
      <c r="C43" s="8" t="s">
        <v>65</v>
      </c>
      <c r="D43" s="1" t="s">
        <v>24</v>
      </c>
      <c r="E43" s="14">
        <v>1.7000000000000001E-2</v>
      </c>
      <c r="F43" s="12">
        <f>E43</f>
        <v>1.7000000000000001E-2</v>
      </c>
      <c r="G43" s="12">
        <f t="shared" ref="G43:O43" si="27">F43</f>
        <v>1.7000000000000001E-2</v>
      </c>
      <c r="H43" s="12">
        <f t="shared" si="27"/>
        <v>1.7000000000000001E-2</v>
      </c>
      <c r="I43" s="12">
        <f t="shared" si="27"/>
        <v>1.7000000000000001E-2</v>
      </c>
      <c r="J43" s="12">
        <f t="shared" si="27"/>
        <v>1.7000000000000001E-2</v>
      </c>
      <c r="K43" s="12">
        <f t="shared" si="27"/>
        <v>1.7000000000000001E-2</v>
      </c>
      <c r="L43" s="12">
        <f t="shared" si="27"/>
        <v>1.7000000000000001E-2</v>
      </c>
      <c r="M43" s="12">
        <f t="shared" si="27"/>
        <v>1.7000000000000001E-2</v>
      </c>
      <c r="N43" s="12">
        <f t="shared" si="27"/>
        <v>1.7000000000000001E-2</v>
      </c>
      <c r="O43" s="12">
        <f t="shared" si="27"/>
        <v>1.7000000000000001E-2</v>
      </c>
    </row>
    <row r="44" spans="3:16">
      <c r="C44" s="8" t="s">
        <v>65</v>
      </c>
      <c r="D44" s="1" t="s">
        <v>25</v>
      </c>
      <c r="E44" s="14">
        <v>1.1299999999999999E-2</v>
      </c>
      <c r="F44" s="12">
        <f t="shared" ref="F44:O44" si="28">E44</f>
        <v>1.1299999999999999E-2</v>
      </c>
      <c r="G44" s="12">
        <f t="shared" si="28"/>
        <v>1.1299999999999999E-2</v>
      </c>
      <c r="H44" s="12">
        <f t="shared" si="28"/>
        <v>1.1299999999999999E-2</v>
      </c>
      <c r="I44" s="12">
        <f t="shared" si="28"/>
        <v>1.1299999999999999E-2</v>
      </c>
      <c r="J44" s="12">
        <f t="shared" si="28"/>
        <v>1.1299999999999999E-2</v>
      </c>
      <c r="K44" s="12">
        <f t="shared" si="28"/>
        <v>1.1299999999999999E-2</v>
      </c>
      <c r="L44" s="12">
        <f t="shared" si="28"/>
        <v>1.1299999999999999E-2</v>
      </c>
      <c r="M44" s="12">
        <f t="shared" si="28"/>
        <v>1.1299999999999999E-2</v>
      </c>
      <c r="N44" s="12">
        <f t="shared" si="28"/>
        <v>1.1299999999999999E-2</v>
      </c>
      <c r="O44" s="12">
        <f t="shared" si="28"/>
        <v>1.1299999999999999E-2</v>
      </c>
      <c r="P44" s="1" t="s">
        <v>66</v>
      </c>
    </row>
    <row r="45" spans="3:16">
      <c r="C45" s="8" t="s">
        <v>65</v>
      </c>
      <c r="D45" s="1" t="s">
        <v>26</v>
      </c>
      <c r="E45" s="14">
        <v>1.7000000000000001E-2</v>
      </c>
      <c r="F45" s="12">
        <f t="shared" ref="F45:O45" si="29">E45</f>
        <v>1.7000000000000001E-2</v>
      </c>
      <c r="G45" s="12">
        <f t="shared" si="29"/>
        <v>1.7000000000000001E-2</v>
      </c>
      <c r="H45" s="12">
        <f t="shared" si="29"/>
        <v>1.7000000000000001E-2</v>
      </c>
      <c r="I45" s="12">
        <f t="shared" si="29"/>
        <v>1.7000000000000001E-2</v>
      </c>
      <c r="J45" s="12">
        <f t="shared" si="29"/>
        <v>1.7000000000000001E-2</v>
      </c>
      <c r="K45" s="12">
        <f t="shared" si="29"/>
        <v>1.7000000000000001E-2</v>
      </c>
      <c r="L45" s="12">
        <f t="shared" si="29"/>
        <v>1.7000000000000001E-2</v>
      </c>
      <c r="M45" s="12">
        <f t="shared" si="29"/>
        <v>1.7000000000000001E-2</v>
      </c>
      <c r="N45" s="12">
        <f t="shared" si="29"/>
        <v>1.7000000000000001E-2</v>
      </c>
      <c r="O45" s="12">
        <f t="shared" si="29"/>
        <v>1.7000000000000001E-2</v>
      </c>
    </row>
    <row r="46" spans="3:16">
      <c r="C46" s="8" t="s">
        <v>65</v>
      </c>
      <c r="D46" s="1" t="s">
        <v>27</v>
      </c>
      <c r="E46" s="14">
        <v>1.7000000000000001E-2</v>
      </c>
      <c r="F46" s="12">
        <f>E46</f>
        <v>1.7000000000000001E-2</v>
      </c>
      <c r="G46" s="12">
        <f t="shared" ref="G46:O49" si="30">F46</f>
        <v>1.7000000000000001E-2</v>
      </c>
      <c r="H46" s="12">
        <f t="shared" si="30"/>
        <v>1.7000000000000001E-2</v>
      </c>
      <c r="I46" s="12">
        <f t="shared" si="30"/>
        <v>1.7000000000000001E-2</v>
      </c>
      <c r="J46" s="12">
        <f t="shared" si="30"/>
        <v>1.7000000000000001E-2</v>
      </c>
      <c r="K46" s="12">
        <f t="shared" si="30"/>
        <v>1.7000000000000001E-2</v>
      </c>
      <c r="L46" s="12">
        <f t="shared" si="30"/>
        <v>1.7000000000000001E-2</v>
      </c>
      <c r="M46" s="12">
        <f t="shared" si="30"/>
        <v>1.7000000000000001E-2</v>
      </c>
      <c r="N46" s="12">
        <f t="shared" si="30"/>
        <v>1.7000000000000001E-2</v>
      </c>
      <c r="O46" s="12">
        <f t="shared" si="30"/>
        <v>1.7000000000000001E-2</v>
      </c>
    </row>
    <row r="47" spans="3:16">
      <c r="C47" s="8" t="s">
        <v>65</v>
      </c>
      <c r="D47" s="1" t="s">
        <v>61</v>
      </c>
      <c r="E47" s="14">
        <v>0</v>
      </c>
      <c r="F47" s="13">
        <f>E47</f>
        <v>0</v>
      </c>
      <c r="G47" s="13">
        <f t="shared" si="30"/>
        <v>0</v>
      </c>
      <c r="H47" s="13">
        <f t="shared" si="30"/>
        <v>0</v>
      </c>
      <c r="I47" s="13">
        <f t="shared" si="30"/>
        <v>0</v>
      </c>
      <c r="J47" s="13">
        <f t="shared" si="30"/>
        <v>0</v>
      </c>
      <c r="K47" s="13">
        <f t="shared" si="30"/>
        <v>0</v>
      </c>
      <c r="L47" s="13">
        <f t="shared" si="30"/>
        <v>0</v>
      </c>
      <c r="M47" s="13">
        <f t="shared" si="30"/>
        <v>0</v>
      </c>
      <c r="N47" s="13">
        <f t="shared" si="30"/>
        <v>0</v>
      </c>
      <c r="O47" s="13">
        <f t="shared" si="30"/>
        <v>0</v>
      </c>
    </row>
    <row r="48" spans="3:16">
      <c r="C48" s="8" t="s">
        <v>65</v>
      </c>
      <c r="D48" s="1" t="s">
        <v>29</v>
      </c>
      <c r="E48" s="14">
        <v>0</v>
      </c>
      <c r="F48" s="13">
        <f>E48</f>
        <v>0</v>
      </c>
      <c r="G48" s="13">
        <f t="shared" si="30"/>
        <v>0</v>
      </c>
      <c r="H48" s="13">
        <f t="shared" si="30"/>
        <v>0</v>
      </c>
      <c r="I48" s="13">
        <f t="shared" si="30"/>
        <v>0</v>
      </c>
      <c r="J48" s="13">
        <f t="shared" si="30"/>
        <v>0</v>
      </c>
      <c r="K48" s="13">
        <f t="shared" si="30"/>
        <v>0</v>
      </c>
      <c r="L48" s="13">
        <f t="shared" si="30"/>
        <v>0</v>
      </c>
      <c r="M48" s="13">
        <f t="shared" si="30"/>
        <v>0</v>
      </c>
      <c r="N48" s="13">
        <f t="shared" si="30"/>
        <v>0</v>
      </c>
      <c r="O48" s="13">
        <f t="shared" si="30"/>
        <v>0</v>
      </c>
    </row>
    <row r="49" spans="3:15">
      <c r="C49" s="8" t="s">
        <v>65</v>
      </c>
      <c r="D49" s="1" t="s">
        <v>30</v>
      </c>
      <c r="E49" s="14">
        <v>1.7000000000000001E-2</v>
      </c>
      <c r="F49" s="13">
        <f>E49</f>
        <v>1.7000000000000001E-2</v>
      </c>
      <c r="G49" s="13">
        <f t="shared" si="30"/>
        <v>1.7000000000000001E-2</v>
      </c>
      <c r="H49" s="13">
        <f t="shared" si="30"/>
        <v>1.7000000000000001E-2</v>
      </c>
      <c r="I49" s="13">
        <f t="shared" si="30"/>
        <v>1.7000000000000001E-2</v>
      </c>
      <c r="J49" s="13">
        <f t="shared" si="30"/>
        <v>1.7000000000000001E-2</v>
      </c>
      <c r="K49" s="13">
        <f t="shared" si="30"/>
        <v>1.7000000000000001E-2</v>
      </c>
      <c r="L49" s="13">
        <f t="shared" si="30"/>
        <v>1.7000000000000001E-2</v>
      </c>
      <c r="M49" s="13">
        <f t="shared" si="30"/>
        <v>1.7000000000000001E-2</v>
      </c>
      <c r="N49" s="13">
        <f t="shared" si="30"/>
        <v>1.7000000000000001E-2</v>
      </c>
      <c r="O49" s="13">
        <f t="shared" si="30"/>
        <v>1.7000000000000001E-2</v>
      </c>
    </row>
    <row r="50" spans="3:15">
      <c r="C50" s="1" t="s">
        <v>67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3:15">
      <c r="C51" s="8" t="s">
        <v>67</v>
      </c>
      <c r="D51" s="1" t="s">
        <v>21</v>
      </c>
      <c r="E51" s="14">
        <v>0</v>
      </c>
      <c r="F51" s="12">
        <f>E51</f>
        <v>0</v>
      </c>
      <c r="G51" s="12">
        <f t="shared" ref="G51:O51" si="31">F51</f>
        <v>0</v>
      </c>
      <c r="H51" s="12">
        <f t="shared" si="31"/>
        <v>0</v>
      </c>
      <c r="I51" s="12">
        <f t="shared" si="31"/>
        <v>0</v>
      </c>
      <c r="J51" s="12">
        <f t="shared" si="31"/>
        <v>0</v>
      </c>
      <c r="K51" s="12">
        <f t="shared" si="31"/>
        <v>0</v>
      </c>
      <c r="L51" s="12">
        <f t="shared" si="31"/>
        <v>0</v>
      </c>
      <c r="M51" s="12">
        <f t="shared" si="31"/>
        <v>0</v>
      </c>
      <c r="N51" s="12">
        <f t="shared" si="31"/>
        <v>0</v>
      </c>
      <c r="O51" s="12">
        <f t="shared" si="31"/>
        <v>0</v>
      </c>
    </row>
    <row r="52" spans="3:15">
      <c r="C52" s="8" t="s">
        <v>67</v>
      </c>
      <c r="D52" s="1" t="s">
        <v>24</v>
      </c>
      <c r="E52" s="14">
        <v>0</v>
      </c>
      <c r="F52" s="12">
        <f t="shared" ref="F52:O58" si="32">E52</f>
        <v>0</v>
      </c>
      <c r="G52" s="12">
        <f t="shared" si="32"/>
        <v>0</v>
      </c>
      <c r="H52" s="12">
        <f t="shared" si="32"/>
        <v>0</v>
      </c>
      <c r="I52" s="12">
        <f t="shared" si="32"/>
        <v>0</v>
      </c>
      <c r="J52" s="12">
        <f t="shared" si="32"/>
        <v>0</v>
      </c>
      <c r="K52" s="12">
        <f t="shared" si="32"/>
        <v>0</v>
      </c>
      <c r="L52" s="12">
        <f t="shared" si="32"/>
        <v>0</v>
      </c>
      <c r="M52" s="12">
        <f t="shared" si="32"/>
        <v>0</v>
      </c>
      <c r="N52" s="12">
        <f t="shared" si="32"/>
        <v>0</v>
      </c>
      <c r="O52" s="12">
        <f t="shared" si="32"/>
        <v>0</v>
      </c>
    </row>
    <row r="53" spans="3:15">
      <c r="C53" s="8" t="s">
        <v>67</v>
      </c>
      <c r="D53" s="1" t="s">
        <v>25</v>
      </c>
      <c r="E53" s="14">
        <v>0</v>
      </c>
      <c r="F53" s="12">
        <f t="shared" si="32"/>
        <v>0</v>
      </c>
      <c r="G53" s="12">
        <f t="shared" si="32"/>
        <v>0</v>
      </c>
      <c r="H53" s="12">
        <f t="shared" si="32"/>
        <v>0</v>
      </c>
      <c r="I53" s="12">
        <f t="shared" si="32"/>
        <v>0</v>
      </c>
      <c r="J53" s="12">
        <f t="shared" si="32"/>
        <v>0</v>
      </c>
      <c r="K53" s="12">
        <f t="shared" si="32"/>
        <v>0</v>
      </c>
      <c r="L53" s="12">
        <f t="shared" si="32"/>
        <v>0</v>
      </c>
      <c r="M53" s="12">
        <f t="shared" si="32"/>
        <v>0</v>
      </c>
      <c r="N53" s="12">
        <f t="shared" si="32"/>
        <v>0</v>
      </c>
      <c r="O53" s="12">
        <f t="shared" si="32"/>
        <v>0</v>
      </c>
    </row>
    <row r="54" spans="3:15">
      <c r="C54" s="8" t="s">
        <v>67</v>
      </c>
      <c r="D54" s="1" t="s">
        <v>26</v>
      </c>
      <c r="E54" s="14">
        <v>0</v>
      </c>
      <c r="F54" s="12">
        <f t="shared" si="32"/>
        <v>0</v>
      </c>
      <c r="G54" s="12">
        <f t="shared" si="32"/>
        <v>0</v>
      </c>
      <c r="H54" s="12">
        <f t="shared" si="32"/>
        <v>0</v>
      </c>
      <c r="I54" s="12">
        <f t="shared" si="32"/>
        <v>0</v>
      </c>
      <c r="J54" s="12">
        <f t="shared" si="32"/>
        <v>0</v>
      </c>
      <c r="K54" s="12">
        <f t="shared" si="32"/>
        <v>0</v>
      </c>
      <c r="L54" s="12">
        <f t="shared" si="32"/>
        <v>0</v>
      </c>
      <c r="M54" s="12">
        <f t="shared" si="32"/>
        <v>0</v>
      </c>
      <c r="N54" s="12">
        <f t="shared" si="32"/>
        <v>0</v>
      </c>
      <c r="O54" s="12">
        <f t="shared" si="32"/>
        <v>0</v>
      </c>
    </row>
    <row r="55" spans="3:15">
      <c r="C55" s="8" t="s">
        <v>67</v>
      </c>
      <c r="D55" s="1" t="s">
        <v>27</v>
      </c>
      <c r="E55" s="14">
        <v>0</v>
      </c>
      <c r="F55" s="12">
        <f t="shared" si="32"/>
        <v>0</v>
      </c>
      <c r="G55" s="12">
        <f t="shared" si="32"/>
        <v>0</v>
      </c>
      <c r="H55" s="12">
        <f t="shared" si="32"/>
        <v>0</v>
      </c>
      <c r="I55" s="12">
        <f t="shared" si="32"/>
        <v>0</v>
      </c>
      <c r="J55" s="12">
        <f t="shared" si="32"/>
        <v>0</v>
      </c>
      <c r="K55" s="12">
        <f t="shared" si="32"/>
        <v>0</v>
      </c>
      <c r="L55" s="12">
        <f t="shared" si="32"/>
        <v>0</v>
      </c>
      <c r="M55" s="12">
        <f t="shared" si="32"/>
        <v>0</v>
      </c>
      <c r="N55" s="12">
        <f t="shared" si="32"/>
        <v>0</v>
      </c>
      <c r="O55" s="12">
        <f t="shared" si="32"/>
        <v>0</v>
      </c>
    </row>
    <row r="56" spans="3:15">
      <c r="C56" s="8" t="s">
        <v>67</v>
      </c>
      <c r="D56" s="1" t="s">
        <v>61</v>
      </c>
      <c r="E56" s="14">
        <v>2.5000000000000001E-3</v>
      </c>
      <c r="F56" s="12">
        <f t="shared" si="32"/>
        <v>2.5000000000000001E-3</v>
      </c>
      <c r="G56" s="12">
        <f t="shared" si="32"/>
        <v>2.5000000000000001E-3</v>
      </c>
      <c r="H56" s="12">
        <f t="shared" si="32"/>
        <v>2.5000000000000001E-3</v>
      </c>
      <c r="I56" s="12">
        <f t="shared" si="32"/>
        <v>2.5000000000000001E-3</v>
      </c>
      <c r="J56" s="12">
        <f t="shared" si="32"/>
        <v>2.5000000000000001E-3</v>
      </c>
      <c r="K56" s="12">
        <f t="shared" si="32"/>
        <v>2.5000000000000001E-3</v>
      </c>
      <c r="L56" s="12">
        <f t="shared" si="32"/>
        <v>2.5000000000000001E-3</v>
      </c>
      <c r="M56" s="12">
        <f t="shared" si="32"/>
        <v>2.5000000000000001E-3</v>
      </c>
      <c r="N56" s="12">
        <f t="shared" si="32"/>
        <v>2.5000000000000001E-3</v>
      </c>
      <c r="O56" s="12">
        <f t="shared" si="32"/>
        <v>2.5000000000000001E-3</v>
      </c>
    </row>
    <row r="57" spans="3:15">
      <c r="C57" s="8" t="s">
        <v>67</v>
      </c>
      <c r="D57" s="1" t="s">
        <v>29</v>
      </c>
      <c r="E57" s="14">
        <v>0</v>
      </c>
      <c r="F57" s="12">
        <f t="shared" si="32"/>
        <v>0</v>
      </c>
      <c r="G57" s="12">
        <f t="shared" si="32"/>
        <v>0</v>
      </c>
      <c r="H57" s="12">
        <f t="shared" si="32"/>
        <v>0</v>
      </c>
      <c r="I57" s="12">
        <f t="shared" si="32"/>
        <v>0</v>
      </c>
      <c r="J57" s="12">
        <f t="shared" si="32"/>
        <v>0</v>
      </c>
      <c r="K57" s="12">
        <f t="shared" si="32"/>
        <v>0</v>
      </c>
      <c r="L57" s="12">
        <f t="shared" si="32"/>
        <v>0</v>
      </c>
      <c r="M57" s="12">
        <f t="shared" si="32"/>
        <v>0</v>
      </c>
      <c r="N57" s="12">
        <f t="shared" si="32"/>
        <v>0</v>
      </c>
      <c r="O57" s="12">
        <f t="shared" si="32"/>
        <v>0</v>
      </c>
    </row>
    <row r="58" spans="3:15">
      <c r="C58" s="8" t="s">
        <v>67</v>
      </c>
      <c r="D58" s="1" t="s">
        <v>30</v>
      </c>
      <c r="E58" s="14">
        <v>0</v>
      </c>
      <c r="F58" s="12">
        <f t="shared" si="32"/>
        <v>0</v>
      </c>
      <c r="G58" s="12">
        <f t="shared" si="32"/>
        <v>0</v>
      </c>
      <c r="H58" s="12">
        <f t="shared" si="32"/>
        <v>0</v>
      </c>
      <c r="I58" s="12">
        <f t="shared" si="32"/>
        <v>0</v>
      </c>
      <c r="J58" s="12">
        <f t="shared" si="32"/>
        <v>0</v>
      </c>
      <c r="K58" s="12">
        <f t="shared" si="32"/>
        <v>0</v>
      </c>
      <c r="L58" s="12">
        <f t="shared" si="32"/>
        <v>0</v>
      </c>
      <c r="M58" s="12">
        <f t="shared" si="32"/>
        <v>0</v>
      </c>
      <c r="N58" s="12">
        <f t="shared" si="32"/>
        <v>0</v>
      </c>
      <c r="O58" s="12">
        <f t="shared" si="32"/>
        <v>0</v>
      </c>
    </row>
    <row r="59" spans="3:15">
      <c r="C59" s="1" t="s">
        <v>68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3:15">
      <c r="C60" s="8" t="s">
        <v>68</v>
      </c>
      <c r="D60" s="1" t="s">
        <v>21</v>
      </c>
      <c r="E60" s="14">
        <v>0</v>
      </c>
      <c r="F60" s="12">
        <f>E60</f>
        <v>0</v>
      </c>
      <c r="G60" s="12">
        <f t="shared" ref="G60:O60" si="33">F60</f>
        <v>0</v>
      </c>
      <c r="H60" s="12">
        <f t="shared" si="33"/>
        <v>0</v>
      </c>
      <c r="I60" s="12">
        <f t="shared" si="33"/>
        <v>0</v>
      </c>
      <c r="J60" s="12">
        <f t="shared" si="33"/>
        <v>0</v>
      </c>
      <c r="K60" s="12">
        <f t="shared" si="33"/>
        <v>0</v>
      </c>
      <c r="L60" s="12">
        <f t="shared" si="33"/>
        <v>0</v>
      </c>
      <c r="M60" s="12">
        <f t="shared" si="33"/>
        <v>0</v>
      </c>
      <c r="N60" s="12">
        <f t="shared" si="33"/>
        <v>0</v>
      </c>
      <c r="O60" s="12">
        <f t="shared" si="33"/>
        <v>0</v>
      </c>
    </row>
    <row r="61" spans="3:15">
      <c r="C61" s="8" t="s">
        <v>68</v>
      </c>
      <c r="D61" s="1" t="s">
        <v>24</v>
      </c>
      <c r="E61" s="14">
        <v>0</v>
      </c>
      <c r="F61" s="12">
        <f t="shared" ref="F61:O62" si="34">E61</f>
        <v>0</v>
      </c>
      <c r="G61" s="12">
        <f t="shared" si="34"/>
        <v>0</v>
      </c>
      <c r="H61" s="12">
        <f t="shared" si="34"/>
        <v>0</v>
      </c>
      <c r="I61" s="12">
        <f t="shared" si="34"/>
        <v>0</v>
      </c>
      <c r="J61" s="12">
        <f t="shared" si="34"/>
        <v>0</v>
      </c>
      <c r="K61" s="12">
        <f t="shared" si="34"/>
        <v>0</v>
      </c>
      <c r="L61" s="12">
        <f t="shared" si="34"/>
        <v>0</v>
      </c>
      <c r="M61" s="12">
        <f t="shared" si="34"/>
        <v>0</v>
      </c>
      <c r="N61" s="12">
        <f t="shared" si="34"/>
        <v>0</v>
      </c>
      <c r="O61" s="12">
        <f t="shared" si="34"/>
        <v>0</v>
      </c>
    </row>
    <row r="62" spans="3:15">
      <c r="C62" s="8" t="s">
        <v>68</v>
      </c>
      <c r="D62" s="1" t="s">
        <v>25</v>
      </c>
      <c r="E62" s="14">
        <v>0</v>
      </c>
      <c r="F62" s="12">
        <f t="shared" si="34"/>
        <v>0</v>
      </c>
      <c r="G62" s="12">
        <f t="shared" si="34"/>
        <v>0</v>
      </c>
      <c r="H62" s="12">
        <f t="shared" si="34"/>
        <v>0</v>
      </c>
      <c r="I62" s="12">
        <f t="shared" si="34"/>
        <v>0</v>
      </c>
      <c r="J62" s="12">
        <f t="shared" si="34"/>
        <v>0</v>
      </c>
      <c r="K62" s="12">
        <f t="shared" si="34"/>
        <v>0</v>
      </c>
      <c r="L62" s="12">
        <f t="shared" si="34"/>
        <v>0</v>
      </c>
      <c r="M62" s="12">
        <f t="shared" si="34"/>
        <v>0</v>
      </c>
      <c r="N62" s="12">
        <f t="shared" si="34"/>
        <v>0</v>
      </c>
      <c r="O62" s="12">
        <f t="shared" si="34"/>
        <v>0</v>
      </c>
    </row>
    <row r="63" spans="3:15">
      <c r="C63" s="8" t="s">
        <v>68</v>
      </c>
      <c r="D63" s="1" t="s">
        <v>26</v>
      </c>
      <c r="E63" s="14">
        <v>0</v>
      </c>
      <c r="F63" s="12">
        <f t="shared" ref="F63:O63" si="35">E63</f>
        <v>0</v>
      </c>
      <c r="G63" s="12">
        <f t="shared" si="35"/>
        <v>0</v>
      </c>
      <c r="H63" s="12">
        <f t="shared" si="35"/>
        <v>0</v>
      </c>
      <c r="I63" s="12">
        <f t="shared" si="35"/>
        <v>0</v>
      </c>
      <c r="J63" s="12">
        <f t="shared" si="35"/>
        <v>0</v>
      </c>
      <c r="K63" s="12">
        <f t="shared" si="35"/>
        <v>0</v>
      </c>
      <c r="L63" s="12">
        <f t="shared" si="35"/>
        <v>0</v>
      </c>
      <c r="M63" s="12">
        <f t="shared" si="35"/>
        <v>0</v>
      </c>
      <c r="N63" s="12">
        <f t="shared" si="35"/>
        <v>0</v>
      </c>
      <c r="O63" s="12">
        <f t="shared" si="35"/>
        <v>0</v>
      </c>
    </row>
    <row r="64" spans="3:15">
      <c r="C64" s="8" t="s">
        <v>68</v>
      </c>
      <c r="D64" s="1" t="s">
        <v>27</v>
      </c>
      <c r="E64" s="14">
        <v>0</v>
      </c>
      <c r="F64" s="12">
        <f t="shared" ref="F64:O64" si="36">E64</f>
        <v>0</v>
      </c>
      <c r="G64" s="12">
        <f t="shared" si="36"/>
        <v>0</v>
      </c>
      <c r="H64" s="12">
        <f t="shared" si="36"/>
        <v>0</v>
      </c>
      <c r="I64" s="12">
        <f t="shared" si="36"/>
        <v>0</v>
      </c>
      <c r="J64" s="12">
        <f t="shared" si="36"/>
        <v>0</v>
      </c>
      <c r="K64" s="12">
        <f t="shared" si="36"/>
        <v>0</v>
      </c>
      <c r="L64" s="12">
        <f t="shared" si="36"/>
        <v>0</v>
      </c>
      <c r="M64" s="12">
        <f t="shared" si="36"/>
        <v>0</v>
      </c>
      <c r="N64" s="12">
        <f t="shared" si="36"/>
        <v>0</v>
      </c>
      <c r="O64" s="12">
        <f t="shared" si="36"/>
        <v>0</v>
      </c>
    </row>
    <row r="65" spans="3:17">
      <c r="C65" s="8" t="s">
        <v>68</v>
      </c>
      <c r="D65" s="1" t="s">
        <v>61</v>
      </c>
      <c r="E65" s="14">
        <v>1E-4</v>
      </c>
      <c r="F65" s="12">
        <f t="shared" ref="F65:O65" si="37">E65</f>
        <v>1E-4</v>
      </c>
      <c r="G65" s="12">
        <f t="shared" si="37"/>
        <v>1E-4</v>
      </c>
      <c r="H65" s="12">
        <f t="shared" si="37"/>
        <v>1E-4</v>
      </c>
      <c r="I65" s="12">
        <f t="shared" si="37"/>
        <v>1E-4</v>
      </c>
      <c r="J65" s="12">
        <f t="shared" si="37"/>
        <v>1E-4</v>
      </c>
      <c r="K65" s="12">
        <f t="shared" si="37"/>
        <v>1E-4</v>
      </c>
      <c r="L65" s="12">
        <f t="shared" si="37"/>
        <v>1E-4</v>
      </c>
      <c r="M65" s="12">
        <f t="shared" si="37"/>
        <v>1E-4</v>
      </c>
      <c r="N65" s="12">
        <f t="shared" si="37"/>
        <v>1E-4</v>
      </c>
      <c r="O65" s="12">
        <f t="shared" si="37"/>
        <v>1E-4</v>
      </c>
    </row>
    <row r="66" spans="3:17">
      <c r="C66" s="8" t="s">
        <v>68</v>
      </c>
      <c r="D66" s="1" t="s">
        <v>29</v>
      </c>
      <c r="E66" s="14">
        <v>0</v>
      </c>
      <c r="F66" s="12">
        <f t="shared" ref="F66:O66" si="38">E66</f>
        <v>0</v>
      </c>
      <c r="G66" s="12">
        <f t="shared" si="38"/>
        <v>0</v>
      </c>
      <c r="H66" s="12">
        <f t="shared" si="38"/>
        <v>0</v>
      </c>
      <c r="I66" s="12">
        <f t="shared" si="38"/>
        <v>0</v>
      </c>
      <c r="J66" s="12">
        <f t="shared" si="38"/>
        <v>0</v>
      </c>
      <c r="K66" s="12">
        <f t="shared" si="38"/>
        <v>0</v>
      </c>
      <c r="L66" s="12">
        <f t="shared" si="38"/>
        <v>0</v>
      </c>
      <c r="M66" s="12">
        <f t="shared" si="38"/>
        <v>0</v>
      </c>
      <c r="N66" s="12">
        <f t="shared" si="38"/>
        <v>0</v>
      </c>
      <c r="O66" s="12">
        <f t="shared" si="38"/>
        <v>0</v>
      </c>
    </row>
    <row r="67" spans="3:17">
      <c r="C67" s="8" t="s">
        <v>68</v>
      </c>
      <c r="D67" s="1" t="s">
        <v>30</v>
      </c>
      <c r="E67" s="14">
        <v>0</v>
      </c>
      <c r="F67" s="12">
        <f t="shared" ref="F67:O67" si="39">E67</f>
        <v>0</v>
      </c>
      <c r="G67" s="12">
        <f t="shared" si="39"/>
        <v>0</v>
      </c>
      <c r="H67" s="12">
        <f t="shared" si="39"/>
        <v>0</v>
      </c>
      <c r="I67" s="12">
        <f t="shared" si="39"/>
        <v>0</v>
      </c>
      <c r="J67" s="12">
        <f t="shared" si="39"/>
        <v>0</v>
      </c>
      <c r="K67" s="12">
        <f t="shared" si="39"/>
        <v>0</v>
      </c>
      <c r="L67" s="12">
        <f t="shared" si="39"/>
        <v>0</v>
      </c>
      <c r="M67" s="12">
        <f t="shared" si="39"/>
        <v>0</v>
      </c>
      <c r="N67" s="12">
        <f t="shared" si="39"/>
        <v>0</v>
      </c>
      <c r="O67" s="12">
        <f t="shared" si="39"/>
        <v>0</v>
      </c>
    </row>
    <row r="68" spans="3:17">
      <c r="C68" s="1" t="s">
        <v>69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3:17">
      <c r="C69" s="8" t="s">
        <v>69</v>
      </c>
      <c r="D69" s="1" t="s">
        <v>21</v>
      </c>
      <c r="E69" s="14">
        <v>0</v>
      </c>
      <c r="F69" s="12">
        <f>E69</f>
        <v>0</v>
      </c>
      <c r="G69" s="12">
        <f t="shared" ref="G69:O69" si="40">F69</f>
        <v>0</v>
      </c>
      <c r="H69" s="12">
        <f t="shared" si="40"/>
        <v>0</v>
      </c>
      <c r="I69" s="12">
        <f t="shared" si="40"/>
        <v>0</v>
      </c>
      <c r="J69" s="12">
        <f t="shared" si="40"/>
        <v>0</v>
      </c>
      <c r="K69" s="12">
        <f t="shared" si="40"/>
        <v>0</v>
      </c>
      <c r="L69" s="12">
        <f t="shared" si="40"/>
        <v>0</v>
      </c>
      <c r="M69" s="12">
        <f t="shared" si="40"/>
        <v>0</v>
      </c>
      <c r="N69" s="12">
        <f t="shared" si="40"/>
        <v>0</v>
      </c>
      <c r="O69" s="12">
        <f t="shared" si="40"/>
        <v>0</v>
      </c>
    </row>
    <row r="70" spans="3:17">
      <c r="C70" s="8" t="s">
        <v>69</v>
      </c>
      <c r="D70" s="1" t="s">
        <v>24</v>
      </c>
      <c r="E70" s="14">
        <v>0</v>
      </c>
      <c r="F70" s="12">
        <f t="shared" ref="F70:O76" si="41">E70</f>
        <v>0</v>
      </c>
      <c r="G70" s="12">
        <f t="shared" si="41"/>
        <v>0</v>
      </c>
      <c r="H70" s="12">
        <f t="shared" si="41"/>
        <v>0</v>
      </c>
      <c r="I70" s="12">
        <f t="shared" si="41"/>
        <v>0</v>
      </c>
      <c r="J70" s="12">
        <f t="shared" si="41"/>
        <v>0</v>
      </c>
      <c r="K70" s="12">
        <f t="shared" si="41"/>
        <v>0</v>
      </c>
      <c r="L70" s="12">
        <f t="shared" si="41"/>
        <v>0</v>
      </c>
      <c r="M70" s="12">
        <f t="shared" si="41"/>
        <v>0</v>
      </c>
      <c r="N70" s="12">
        <f t="shared" si="41"/>
        <v>0</v>
      </c>
      <c r="O70" s="12">
        <f t="shared" si="41"/>
        <v>0</v>
      </c>
    </row>
    <row r="71" spans="3:17">
      <c r="C71" s="8" t="s">
        <v>69</v>
      </c>
      <c r="D71" s="1" t="s">
        <v>25</v>
      </c>
      <c r="E71" s="14">
        <v>0.04</v>
      </c>
      <c r="F71" s="12">
        <f t="shared" si="41"/>
        <v>0.04</v>
      </c>
      <c r="G71" s="12">
        <f t="shared" si="41"/>
        <v>0.04</v>
      </c>
      <c r="H71" s="12">
        <f t="shared" si="41"/>
        <v>0.04</v>
      </c>
      <c r="I71" s="12">
        <f t="shared" si="41"/>
        <v>0.04</v>
      </c>
      <c r="J71" s="12">
        <f t="shared" si="41"/>
        <v>0.04</v>
      </c>
      <c r="K71" s="12">
        <f t="shared" si="41"/>
        <v>0.04</v>
      </c>
      <c r="L71" s="12">
        <f t="shared" si="41"/>
        <v>0.04</v>
      </c>
      <c r="M71" s="12">
        <f t="shared" si="41"/>
        <v>0.04</v>
      </c>
      <c r="N71" s="12">
        <f t="shared" si="41"/>
        <v>0.04</v>
      </c>
      <c r="O71" s="12">
        <f t="shared" si="41"/>
        <v>0.04</v>
      </c>
    </row>
    <row r="72" spans="3:17">
      <c r="C72" s="8" t="s">
        <v>69</v>
      </c>
      <c r="D72" s="1" t="s">
        <v>26</v>
      </c>
      <c r="E72" s="14">
        <v>0.04</v>
      </c>
      <c r="F72" s="12">
        <f t="shared" si="41"/>
        <v>0.04</v>
      </c>
      <c r="G72" s="12">
        <f t="shared" si="41"/>
        <v>0.04</v>
      </c>
      <c r="H72" s="12">
        <f t="shared" si="41"/>
        <v>0.04</v>
      </c>
      <c r="I72" s="12">
        <f t="shared" si="41"/>
        <v>0.04</v>
      </c>
      <c r="J72" s="12">
        <f t="shared" si="41"/>
        <v>0.04</v>
      </c>
      <c r="K72" s="12">
        <f t="shared" si="41"/>
        <v>0.04</v>
      </c>
      <c r="L72" s="12">
        <f t="shared" si="41"/>
        <v>0.04</v>
      </c>
      <c r="M72" s="12">
        <f t="shared" si="41"/>
        <v>0.04</v>
      </c>
      <c r="N72" s="12">
        <f t="shared" si="41"/>
        <v>0.04</v>
      </c>
      <c r="O72" s="12">
        <f t="shared" si="41"/>
        <v>0.04</v>
      </c>
    </row>
    <row r="73" spans="3:17">
      <c r="C73" s="8" t="s">
        <v>69</v>
      </c>
      <c r="D73" s="1" t="s">
        <v>27</v>
      </c>
      <c r="E73" s="14">
        <v>0</v>
      </c>
      <c r="F73" s="12">
        <f t="shared" si="41"/>
        <v>0</v>
      </c>
      <c r="G73" s="12">
        <f t="shared" si="41"/>
        <v>0</v>
      </c>
      <c r="H73" s="12">
        <f t="shared" si="41"/>
        <v>0</v>
      </c>
      <c r="I73" s="12">
        <f t="shared" si="41"/>
        <v>0</v>
      </c>
      <c r="J73" s="12">
        <f t="shared" si="41"/>
        <v>0</v>
      </c>
      <c r="K73" s="12">
        <f t="shared" si="41"/>
        <v>0</v>
      </c>
      <c r="L73" s="12">
        <f t="shared" si="41"/>
        <v>0</v>
      </c>
      <c r="M73" s="12">
        <f t="shared" si="41"/>
        <v>0</v>
      </c>
      <c r="N73" s="12">
        <f t="shared" si="41"/>
        <v>0</v>
      </c>
      <c r="O73" s="12">
        <f t="shared" si="41"/>
        <v>0</v>
      </c>
      <c r="Q73" s="1">
        <v>148425</v>
      </c>
    </row>
    <row r="74" spans="3:17">
      <c r="C74" s="8" t="s">
        <v>69</v>
      </c>
      <c r="D74" s="1" t="s">
        <v>61</v>
      </c>
      <c r="E74" s="14">
        <v>0</v>
      </c>
      <c r="F74" s="12">
        <f t="shared" si="41"/>
        <v>0</v>
      </c>
      <c r="G74" s="12">
        <f t="shared" si="41"/>
        <v>0</v>
      </c>
      <c r="H74" s="12">
        <f t="shared" si="41"/>
        <v>0</v>
      </c>
      <c r="I74" s="12">
        <f t="shared" si="41"/>
        <v>0</v>
      </c>
      <c r="J74" s="12">
        <f t="shared" si="41"/>
        <v>0</v>
      </c>
      <c r="K74" s="12">
        <f t="shared" si="41"/>
        <v>0</v>
      </c>
      <c r="L74" s="12">
        <f t="shared" si="41"/>
        <v>0</v>
      </c>
      <c r="M74" s="12">
        <f t="shared" si="41"/>
        <v>0</v>
      </c>
      <c r="N74" s="12">
        <f t="shared" si="41"/>
        <v>0</v>
      </c>
      <c r="O74" s="12">
        <f t="shared" si="41"/>
        <v>0</v>
      </c>
      <c r="Q74" s="4">
        <f>Q73*400*12</f>
        <v>712440000</v>
      </c>
    </row>
    <row r="75" spans="3:17">
      <c r="C75" s="8" t="s">
        <v>69</v>
      </c>
      <c r="D75" s="1" t="s">
        <v>29</v>
      </c>
      <c r="E75" s="14">
        <v>0</v>
      </c>
      <c r="F75" s="12">
        <f t="shared" si="41"/>
        <v>0</v>
      </c>
      <c r="G75" s="12">
        <f t="shared" si="41"/>
        <v>0</v>
      </c>
      <c r="H75" s="12">
        <f t="shared" si="41"/>
        <v>0</v>
      </c>
      <c r="I75" s="12">
        <f t="shared" si="41"/>
        <v>0</v>
      </c>
      <c r="J75" s="12">
        <f t="shared" si="41"/>
        <v>0</v>
      </c>
      <c r="K75" s="12">
        <f t="shared" si="41"/>
        <v>0</v>
      </c>
      <c r="L75" s="12">
        <f t="shared" si="41"/>
        <v>0</v>
      </c>
      <c r="M75" s="12">
        <f t="shared" si="41"/>
        <v>0</v>
      </c>
      <c r="N75" s="12">
        <f t="shared" si="41"/>
        <v>0</v>
      </c>
      <c r="O75" s="12">
        <f t="shared" si="41"/>
        <v>0</v>
      </c>
    </row>
    <row r="76" spans="3:17">
      <c r="C76" s="8" t="s">
        <v>69</v>
      </c>
      <c r="D76" s="1" t="s">
        <v>30</v>
      </c>
      <c r="E76" s="14">
        <v>0</v>
      </c>
      <c r="F76" s="12">
        <f t="shared" si="41"/>
        <v>0</v>
      </c>
      <c r="G76" s="12">
        <f t="shared" si="41"/>
        <v>0</v>
      </c>
      <c r="H76" s="12">
        <f t="shared" si="41"/>
        <v>0</v>
      </c>
      <c r="I76" s="12">
        <f t="shared" si="41"/>
        <v>0</v>
      </c>
      <c r="J76" s="12">
        <f t="shared" si="41"/>
        <v>0</v>
      </c>
      <c r="K76" s="12">
        <f t="shared" si="41"/>
        <v>0</v>
      </c>
      <c r="L76" s="12">
        <f t="shared" si="41"/>
        <v>0</v>
      </c>
      <c r="M76" s="12">
        <f t="shared" si="41"/>
        <v>0</v>
      </c>
      <c r="N76" s="12">
        <f t="shared" si="41"/>
        <v>0</v>
      </c>
      <c r="O76" s="12">
        <f t="shared" si="41"/>
        <v>0</v>
      </c>
    </row>
    <row r="77" spans="3:17">
      <c r="C77" s="1" t="s">
        <v>70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3:17">
      <c r="C78" s="8" t="s">
        <v>70</v>
      </c>
      <c r="D78" s="1" t="s">
        <v>21</v>
      </c>
      <c r="E78" s="14">
        <v>0</v>
      </c>
      <c r="F78" s="12">
        <f>E78</f>
        <v>0</v>
      </c>
      <c r="G78" s="12">
        <f t="shared" ref="G78:O78" si="42">F78</f>
        <v>0</v>
      </c>
      <c r="H78" s="12">
        <f t="shared" si="42"/>
        <v>0</v>
      </c>
      <c r="I78" s="12">
        <f t="shared" si="42"/>
        <v>0</v>
      </c>
      <c r="J78" s="12">
        <f t="shared" si="42"/>
        <v>0</v>
      </c>
      <c r="K78" s="12">
        <f t="shared" si="42"/>
        <v>0</v>
      </c>
      <c r="L78" s="12">
        <f t="shared" si="42"/>
        <v>0</v>
      </c>
      <c r="M78" s="12">
        <f t="shared" si="42"/>
        <v>0</v>
      </c>
      <c r="N78" s="12">
        <f t="shared" si="42"/>
        <v>0</v>
      </c>
      <c r="O78" s="12">
        <f t="shared" si="42"/>
        <v>0</v>
      </c>
    </row>
    <row r="79" spans="3:17">
      <c r="C79" s="8" t="s">
        <v>70</v>
      </c>
      <c r="D79" s="1" t="s">
        <v>24</v>
      </c>
      <c r="E79" s="14">
        <v>0</v>
      </c>
      <c r="F79" s="12">
        <f t="shared" ref="F79:O85" si="43">E79</f>
        <v>0</v>
      </c>
      <c r="G79" s="12">
        <f t="shared" si="43"/>
        <v>0</v>
      </c>
      <c r="H79" s="12">
        <f t="shared" si="43"/>
        <v>0</v>
      </c>
      <c r="I79" s="12">
        <f t="shared" si="43"/>
        <v>0</v>
      </c>
      <c r="J79" s="12">
        <f t="shared" si="43"/>
        <v>0</v>
      </c>
      <c r="K79" s="12">
        <f t="shared" si="43"/>
        <v>0</v>
      </c>
      <c r="L79" s="12">
        <f t="shared" si="43"/>
        <v>0</v>
      </c>
      <c r="M79" s="12">
        <f t="shared" si="43"/>
        <v>0</v>
      </c>
      <c r="N79" s="12">
        <f t="shared" si="43"/>
        <v>0</v>
      </c>
      <c r="O79" s="12">
        <f t="shared" si="43"/>
        <v>0</v>
      </c>
    </row>
    <row r="80" spans="3:17">
      <c r="C80" s="8" t="s">
        <v>70</v>
      </c>
      <c r="D80" s="1" t="s">
        <v>25</v>
      </c>
      <c r="E80" s="14">
        <v>0</v>
      </c>
      <c r="F80" s="12">
        <f t="shared" ref="F80:O80" si="44">E80</f>
        <v>0</v>
      </c>
      <c r="G80" s="12">
        <f t="shared" si="44"/>
        <v>0</v>
      </c>
      <c r="H80" s="12">
        <f t="shared" si="44"/>
        <v>0</v>
      </c>
      <c r="I80" s="12">
        <f t="shared" si="44"/>
        <v>0</v>
      </c>
      <c r="J80" s="12">
        <f t="shared" si="44"/>
        <v>0</v>
      </c>
      <c r="K80" s="12">
        <f t="shared" si="44"/>
        <v>0</v>
      </c>
      <c r="L80" s="12">
        <f t="shared" si="44"/>
        <v>0</v>
      </c>
      <c r="M80" s="12">
        <f t="shared" si="44"/>
        <v>0</v>
      </c>
      <c r="N80" s="12">
        <f t="shared" si="44"/>
        <v>0</v>
      </c>
      <c r="O80" s="12">
        <f t="shared" si="44"/>
        <v>0</v>
      </c>
    </row>
    <row r="81" spans="2:18">
      <c r="C81" s="8" t="s">
        <v>70</v>
      </c>
      <c r="D81" s="1" t="s">
        <v>26</v>
      </c>
      <c r="E81" s="14">
        <v>0</v>
      </c>
      <c r="F81" s="12">
        <f t="shared" ref="F81:O81" si="45">E81</f>
        <v>0</v>
      </c>
      <c r="G81" s="12">
        <f t="shared" si="45"/>
        <v>0</v>
      </c>
      <c r="H81" s="12">
        <f t="shared" si="45"/>
        <v>0</v>
      </c>
      <c r="I81" s="12">
        <f t="shared" si="45"/>
        <v>0</v>
      </c>
      <c r="J81" s="12">
        <f t="shared" si="45"/>
        <v>0</v>
      </c>
      <c r="K81" s="12">
        <f t="shared" si="45"/>
        <v>0</v>
      </c>
      <c r="L81" s="12">
        <f t="shared" si="45"/>
        <v>0</v>
      </c>
      <c r="M81" s="12">
        <f t="shared" si="45"/>
        <v>0</v>
      </c>
      <c r="N81" s="12">
        <f t="shared" si="45"/>
        <v>0</v>
      </c>
      <c r="O81" s="12">
        <f t="shared" si="45"/>
        <v>0</v>
      </c>
    </row>
    <row r="82" spans="2:18">
      <c r="C82" s="8" t="s">
        <v>70</v>
      </c>
      <c r="D82" s="1" t="s">
        <v>27</v>
      </c>
      <c r="E82" s="14">
        <v>0.50629999999999997</v>
      </c>
      <c r="F82" s="12">
        <f t="shared" si="43"/>
        <v>0.50629999999999997</v>
      </c>
      <c r="G82" s="12">
        <f t="shared" si="43"/>
        <v>0.50629999999999997</v>
      </c>
      <c r="H82" s="12">
        <f t="shared" si="43"/>
        <v>0.50629999999999997</v>
      </c>
      <c r="I82" s="12">
        <f t="shared" si="43"/>
        <v>0.50629999999999997</v>
      </c>
      <c r="J82" s="12">
        <f t="shared" si="43"/>
        <v>0.50629999999999997</v>
      </c>
      <c r="K82" s="12">
        <f t="shared" si="43"/>
        <v>0.50629999999999997</v>
      </c>
      <c r="L82" s="12">
        <f t="shared" si="43"/>
        <v>0.50629999999999997</v>
      </c>
      <c r="M82" s="12">
        <f t="shared" si="43"/>
        <v>0.50629999999999997</v>
      </c>
      <c r="N82" s="12">
        <f t="shared" si="43"/>
        <v>0.50629999999999997</v>
      </c>
      <c r="O82" s="12">
        <f t="shared" si="43"/>
        <v>0.50629999999999997</v>
      </c>
    </row>
    <row r="83" spans="2:18">
      <c r="C83" s="8" t="s">
        <v>70</v>
      </c>
      <c r="D83" s="1" t="s">
        <v>61</v>
      </c>
      <c r="E83" s="14">
        <v>0</v>
      </c>
      <c r="F83" s="12">
        <f t="shared" si="43"/>
        <v>0</v>
      </c>
      <c r="G83" s="12">
        <f t="shared" si="43"/>
        <v>0</v>
      </c>
      <c r="H83" s="12">
        <f t="shared" si="43"/>
        <v>0</v>
      </c>
      <c r="I83" s="12">
        <f t="shared" si="43"/>
        <v>0</v>
      </c>
      <c r="J83" s="12">
        <f t="shared" si="43"/>
        <v>0</v>
      </c>
      <c r="K83" s="12">
        <f t="shared" si="43"/>
        <v>0</v>
      </c>
      <c r="L83" s="12">
        <f t="shared" si="43"/>
        <v>0</v>
      </c>
      <c r="M83" s="12">
        <f t="shared" si="43"/>
        <v>0</v>
      </c>
      <c r="N83" s="12">
        <f t="shared" si="43"/>
        <v>0</v>
      </c>
      <c r="O83" s="12">
        <f t="shared" si="43"/>
        <v>0</v>
      </c>
    </row>
    <row r="84" spans="2:18">
      <c r="C84" s="8" t="s">
        <v>70</v>
      </c>
      <c r="D84" s="1" t="s">
        <v>29</v>
      </c>
      <c r="E84" s="14">
        <v>0</v>
      </c>
      <c r="F84" s="12">
        <f t="shared" si="43"/>
        <v>0</v>
      </c>
      <c r="G84" s="12">
        <f t="shared" si="43"/>
        <v>0</v>
      </c>
      <c r="H84" s="12">
        <f t="shared" si="43"/>
        <v>0</v>
      </c>
      <c r="I84" s="12">
        <f t="shared" si="43"/>
        <v>0</v>
      </c>
      <c r="J84" s="12">
        <f t="shared" si="43"/>
        <v>0</v>
      </c>
      <c r="K84" s="12">
        <f t="shared" si="43"/>
        <v>0</v>
      </c>
      <c r="L84" s="12">
        <f t="shared" si="43"/>
        <v>0</v>
      </c>
      <c r="M84" s="12">
        <f t="shared" si="43"/>
        <v>0</v>
      </c>
      <c r="N84" s="12">
        <f t="shared" si="43"/>
        <v>0</v>
      </c>
      <c r="O84" s="12">
        <f t="shared" si="43"/>
        <v>0</v>
      </c>
    </row>
    <row r="85" spans="2:18">
      <c r="C85" s="8" t="s">
        <v>70</v>
      </c>
      <c r="D85" s="1" t="s">
        <v>30</v>
      </c>
      <c r="E85" s="14">
        <v>0</v>
      </c>
      <c r="F85" s="12">
        <f t="shared" si="43"/>
        <v>0</v>
      </c>
      <c r="G85" s="12">
        <f t="shared" si="43"/>
        <v>0</v>
      </c>
      <c r="H85" s="12">
        <f t="shared" si="43"/>
        <v>0</v>
      </c>
      <c r="I85" s="12">
        <f t="shared" si="43"/>
        <v>0</v>
      </c>
      <c r="J85" s="12">
        <f t="shared" si="43"/>
        <v>0</v>
      </c>
      <c r="K85" s="12">
        <f t="shared" si="43"/>
        <v>0</v>
      </c>
      <c r="L85" s="12">
        <f t="shared" si="43"/>
        <v>0</v>
      </c>
      <c r="M85" s="12">
        <f t="shared" si="43"/>
        <v>0</v>
      </c>
      <c r="N85" s="12">
        <f t="shared" si="43"/>
        <v>0</v>
      </c>
      <c r="O85" s="12">
        <f t="shared" si="43"/>
        <v>0</v>
      </c>
    </row>
    <row r="86" spans="2:18">
      <c r="C86" s="1" t="s">
        <v>71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8">
      <c r="C87" s="8" t="s">
        <v>71</v>
      </c>
      <c r="D87" s="1" t="s">
        <v>21</v>
      </c>
      <c r="E87" s="14">
        <v>0</v>
      </c>
      <c r="F87" s="12">
        <f>E87</f>
        <v>0</v>
      </c>
      <c r="G87" s="12">
        <f t="shared" ref="G87:O87" si="46">F87</f>
        <v>0</v>
      </c>
      <c r="H87" s="12">
        <f t="shared" si="46"/>
        <v>0</v>
      </c>
      <c r="I87" s="12">
        <f t="shared" si="46"/>
        <v>0</v>
      </c>
      <c r="J87" s="12">
        <f t="shared" si="46"/>
        <v>0</v>
      </c>
      <c r="K87" s="12">
        <f t="shared" si="46"/>
        <v>0</v>
      </c>
      <c r="L87" s="12">
        <f t="shared" si="46"/>
        <v>0</v>
      </c>
      <c r="M87" s="12">
        <f t="shared" si="46"/>
        <v>0</v>
      </c>
      <c r="N87" s="12">
        <f t="shared" si="46"/>
        <v>0</v>
      </c>
      <c r="O87" s="12">
        <f t="shared" si="46"/>
        <v>0</v>
      </c>
    </row>
    <row r="88" spans="2:18">
      <c r="C88" s="8" t="s">
        <v>71</v>
      </c>
      <c r="D88" s="1" t="s">
        <v>24</v>
      </c>
      <c r="E88" s="14">
        <v>0</v>
      </c>
      <c r="F88" s="12">
        <f t="shared" ref="F88:O94" si="47">E88</f>
        <v>0</v>
      </c>
      <c r="G88" s="12">
        <f t="shared" si="47"/>
        <v>0</v>
      </c>
      <c r="H88" s="12">
        <f t="shared" si="47"/>
        <v>0</v>
      </c>
      <c r="I88" s="12">
        <f t="shared" si="47"/>
        <v>0</v>
      </c>
      <c r="J88" s="12">
        <f t="shared" si="47"/>
        <v>0</v>
      </c>
      <c r="K88" s="12">
        <f t="shared" si="47"/>
        <v>0</v>
      </c>
      <c r="L88" s="12">
        <f t="shared" si="47"/>
        <v>0</v>
      </c>
      <c r="M88" s="12">
        <f t="shared" si="47"/>
        <v>0</v>
      </c>
      <c r="N88" s="12">
        <f t="shared" si="47"/>
        <v>0</v>
      </c>
      <c r="O88" s="12">
        <f t="shared" si="47"/>
        <v>0</v>
      </c>
    </row>
    <row r="89" spans="2:18">
      <c r="C89" s="8" t="s">
        <v>71</v>
      </c>
      <c r="D89" s="1" t="s">
        <v>25</v>
      </c>
      <c r="E89" s="14">
        <v>0</v>
      </c>
      <c r="F89" s="12">
        <f t="shared" si="47"/>
        <v>0</v>
      </c>
      <c r="G89" s="12">
        <f t="shared" si="47"/>
        <v>0</v>
      </c>
      <c r="H89" s="12">
        <f t="shared" si="47"/>
        <v>0</v>
      </c>
      <c r="I89" s="12">
        <f t="shared" si="47"/>
        <v>0</v>
      </c>
      <c r="J89" s="12">
        <f t="shared" si="47"/>
        <v>0</v>
      </c>
      <c r="K89" s="12">
        <f t="shared" si="47"/>
        <v>0</v>
      </c>
      <c r="L89" s="12">
        <f t="shared" si="47"/>
        <v>0</v>
      </c>
      <c r="M89" s="12">
        <f t="shared" si="47"/>
        <v>0</v>
      </c>
      <c r="N89" s="12">
        <f t="shared" si="47"/>
        <v>0</v>
      </c>
      <c r="O89" s="12">
        <f t="shared" si="47"/>
        <v>0</v>
      </c>
    </row>
    <row r="90" spans="2:18">
      <c r="C90" s="8" t="s">
        <v>71</v>
      </c>
      <c r="D90" s="1" t="s">
        <v>26</v>
      </c>
      <c r="E90" s="14">
        <v>0.8</v>
      </c>
      <c r="F90" s="12">
        <f t="shared" si="47"/>
        <v>0.8</v>
      </c>
      <c r="G90" s="12">
        <f t="shared" si="47"/>
        <v>0.8</v>
      </c>
      <c r="H90" s="12">
        <f t="shared" si="47"/>
        <v>0.8</v>
      </c>
      <c r="I90" s="12">
        <f t="shared" si="47"/>
        <v>0.8</v>
      </c>
      <c r="J90" s="12">
        <f t="shared" si="47"/>
        <v>0.8</v>
      </c>
      <c r="K90" s="12">
        <f t="shared" si="47"/>
        <v>0.8</v>
      </c>
      <c r="L90" s="12">
        <f t="shared" si="47"/>
        <v>0.8</v>
      </c>
      <c r="M90" s="12">
        <f t="shared" si="47"/>
        <v>0.8</v>
      </c>
      <c r="N90" s="12">
        <f t="shared" si="47"/>
        <v>0.8</v>
      </c>
      <c r="O90" s="12">
        <f t="shared" si="47"/>
        <v>0.8</v>
      </c>
    </row>
    <row r="91" spans="2:18">
      <c r="C91" s="8" t="s">
        <v>71</v>
      </c>
      <c r="D91" s="1" t="s">
        <v>27</v>
      </c>
      <c r="E91" s="14">
        <v>0</v>
      </c>
      <c r="F91" s="12">
        <f t="shared" si="47"/>
        <v>0</v>
      </c>
      <c r="G91" s="12">
        <f t="shared" si="47"/>
        <v>0</v>
      </c>
      <c r="H91" s="12">
        <f t="shared" si="47"/>
        <v>0</v>
      </c>
      <c r="I91" s="12">
        <f t="shared" si="47"/>
        <v>0</v>
      </c>
      <c r="J91" s="12">
        <f t="shared" si="47"/>
        <v>0</v>
      </c>
      <c r="K91" s="12">
        <f t="shared" si="47"/>
        <v>0</v>
      </c>
      <c r="L91" s="12">
        <f t="shared" si="47"/>
        <v>0</v>
      </c>
      <c r="M91" s="12">
        <f t="shared" si="47"/>
        <v>0</v>
      </c>
      <c r="N91" s="12">
        <f t="shared" si="47"/>
        <v>0</v>
      </c>
      <c r="O91" s="12">
        <f t="shared" si="47"/>
        <v>0</v>
      </c>
    </row>
    <row r="92" spans="2:18">
      <c r="C92" s="8" t="s">
        <v>71</v>
      </c>
      <c r="D92" s="1" t="s">
        <v>61</v>
      </c>
      <c r="E92" s="14">
        <v>0</v>
      </c>
      <c r="F92" s="12">
        <f t="shared" si="47"/>
        <v>0</v>
      </c>
      <c r="G92" s="12">
        <f t="shared" si="47"/>
        <v>0</v>
      </c>
      <c r="H92" s="12">
        <f t="shared" si="47"/>
        <v>0</v>
      </c>
      <c r="I92" s="12">
        <f t="shared" si="47"/>
        <v>0</v>
      </c>
      <c r="J92" s="12">
        <f t="shared" si="47"/>
        <v>0</v>
      </c>
      <c r="K92" s="12">
        <f t="shared" si="47"/>
        <v>0</v>
      </c>
      <c r="L92" s="12">
        <f t="shared" si="47"/>
        <v>0</v>
      </c>
      <c r="M92" s="12">
        <f t="shared" si="47"/>
        <v>0</v>
      </c>
      <c r="N92" s="12">
        <f t="shared" si="47"/>
        <v>0</v>
      </c>
      <c r="O92" s="12">
        <f t="shared" si="47"/>
        <v>0</v>
      </c>
    </row>
    <row r="93" spans="2:18">
      <c r="C93" s="8" t="s">
        <v>71</v>
      </c>
      <c r="D93" s="1" t="s">
        <v>29</v>
      </c>
      <c r="E93" s="14">
        <v>0</v>
      </c>
      <c r="F93" s="12">
        <f t="shared" si="47"/>
        <v>0</v>
      </c>
      <c r="G93" s="12">
        <f t="shared" si="47"/>
        <v>0</v>
      </c>
      <c r="H93" s="12">
        <f t="shared" si="47"/>
        <v>0</v>
      </c>
      <c r="I93" s="12">
        <f t="shared" si="47"/>
        <v>0</v>
      </c>
      <c r="J93" s="12">
        <f t="shared" si="47"/>
        <v>0</v>
      </c>
      <c r="K93" s="12">
        <f t="shared" si="47"/>
        <v>0</v>
      </c>
      <c r="L93" s="12">
        <f t="shared" si="47"/>
        <v>0</v>
      </c>
      <c r="M93" s="12">
        <f t="shared" si="47"/>
        <v>0</v>
      </c>
      <c r="N93" s="12">
        <f t="shared" si="47"/>
        <v>0</v>
      </c>
      <c r="O93" s="12">
        <f t="shared" si="47"/>
        <v>0</v>
      </c>
    </row>
    <row r="94" spans="2:18">
      <c r="C94" s="8" t="s">
        <v>71</v>
      </c>
      <c r="D94" s="1" t="s">
        <v>30</v>
      </c>
      <c r="E94" s="14">
        <v>0</v>
      </c>
      <c r="F94" s="12">
        <f t="shared" si="47"/>
        <v>0</v>
      </c>
      <c r="G94" s="12">
        <f t="shared" si="47"/>
        <v>0</v>
      </c>
      <c r="H94" s="12">
        <f t="shared" si="47"/>
        <v>0</v>
      </c>
      <c r="I94" s="12">
        <f t="shared" si="47"/>
        <v>0</v>
      </c>
      <c r="J94" s="12">
        <f t="shared" si="47"/>
        <v>0</v>
      </c>
      <c r="K94" s="12">
        <f t="shared" si="47"/>
        <v>0</v>
      </c>
      <c r="L94" s="12">
        <f t="shared" si="47"/>
        <v>0</v>
      </c>
      <c r="M94" s="12">
        <f t="shared" si="47"/>
        <v>0</v>
      </c>
      <c r="N94" s="12">
        <f t="shared" si="47"/>
        <v>0</v>
      </c>
      <c r="O94" s="12">
        <f t="shared" si="47"/>
        <v>0</v>
      </c>
    </row>
    <row r="95" spans="2:18">
      <c r="B95" s="9"/>
      <c r="C95" s="1" t="s">
        <v>72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8">
      <c r="B96" s="9"/>
      <c r="C96" s="8" t="s">
        <v>71</v>
      </c>
      <c r="D96" s="1" t="s">
        <v>21</v>
      </c>
      <c r="E96" s="14">
        <f>R101</f>
        <v>0.31937500000000002</v>
      </c>
      <c r="F96" s="12">
        <f>E96</f>
        <v>0.31937500000000002</v>
      </c>
      <c r="G96" s="12">
        <f t="shared" ref="G96:O96" si="48">F96</f>
        <v>0.31937500000000002</v>
      </c>
      <c r="H96" s="12">
        <f t="shared" si="48"/>
        <v>0.31937500000000002</v>
      </c>
      <c r="I96" s="12">
        <f t="shared" si="48"/>
        <v>0.31937500000000002</v>
      </c>
      <c r="J96" s="12">
        <f t="shared" si="48"/>
        <v>0.31937500000000002</v>
      </c>
      <c r="K96" s="12">
        <f t="shared" si="48"/>
        <v>0.31937500000000002</v>
      </c>
      <c r="L96" s="12">
        <f t="shared" si="48"/>
        <v>0.31937500000000002</v>
      </c>
      <c r="M96" s="12">
        <f t="shared" si="48"/>
        <v>0.31937500000000002</v>
      </c>
      <c r="N96" s="12">
        <f t="shared" si="48"/>
        <v>0.31937500000000002</v>
      </c>
      <c r="O96" s="12">
        <f t="shared" si="48"/>
        <v>0.31937500000000002</v>
      </c>
      <c r="Q96" s="1" t="s">
        <v>73</v>
      </c>
      <c r="R96" s="5">
        <f>15*365</f>
        <v>5475</v>
      </c>
    </row>
    <row r="97" spans="2:18">
      <c r="B97" s="9"/>
      <c r="C97" s="8" t="s">
        <v>71</v>
      </c>
      <c r="D97" s="1" t="s">
        <v>24</v>
      </c>
      <c r="E97" s="14">
        <v>0</v>
      </c>
      <c r="F97" s="12">
        <f t="shared" ref="F97:O97" si="49">E97</f>
        <v>0</v>
      </c>
      <c r="G97" s="12">
        <f t="shared" si="49"/>
        <v>0</v>
      </c>
      <c r="H97" s="12">
        <f t="shared" si="49"/>
        <v>0</v>
      </c>
      <c r="I97" s="12">
        <f t="shared" si="49"/>
        <v>0</v>
      </c>
      <c r="J97" s="12">
        <f t="shared" si="49"/>
        <v>0</v>
      </c>
      <c r="K97" s="12">
        <f t="shared" si="49"/>
        <v>0</v>
      </c>
      <c r="L97" s="12">
        <f t="shared" si="49"/>
        <v>0</v>
      </c>
      <c r="M97" s="12">
        <f t="shared" si="49"/>
        <v>0</v>
      </c>
      <c r="N97" s="12">
        <f t="shared" si="49"/>
        <v>0</v>
      </c>
      <c r="O97" s="12">
        <f t="shared" si="49"/>
        <v>0</v>
      </c>
      <c r="Q97" s="1" t="s">
        <v>74</v>
      </c>
      <c r="R97" s="37">
        <v>0.4</v>
      </c>
    </row>
    <row r="98" spans="2:18">
      <c r="B98" s="9"/>
      <c r="C98" s="8" t="s">
        <v>71</v>
      </c>
      <c r="D98" s="1" t="s">
        <v>25</v>
      </c>
      <c r="E98" s="14">
        <v>0</v>
      </c>
      <c r="F98" s="12">
        <f t="shared" ref="F98:O98" si="50">E98</f>
        <v>0</v>
      </c>
      <c r="G98" s="12">
        <f t="shared" si="50"/>
        <v>0</v>
      </c>
      <c r="H98" s="12">
        <f t="shared" si="50"/>
        <v>0</v>
      </c>
      <c r="I98" s="12">
        <f t="shared" si="50"/>
        <v>0</v>
      </c>
      <c r="J98" s="12">
        <f t="shared" si="50"/>
        <v>0</v>
      </c>
      <c r="K98" s="12">
        <f t="shared" si="50"/>
        <v>0</v>
      </c>
      <c r="L98" s="12">
        <f t="shared" si="50"/>
        <v>0</v>
      </c>
      <c r="M98" s="12">
        <f t="shared" si="50"/>
        <v>0</v>
      </c>
      <c r="N98" s="12">
        <f t="shared" si="50"/>
        <v>0</v>
      </c>
      <c r="O98" s="12">
        <f t="shared" si="50"/>
        <v>0</v>
      </c>
      <c r="Q98" s="1" t="s">
        <v>75</v>
      </c>
      <c r="R98" s="37">
        <v>0.7</v>
      </c>
    </row>
    <row r="99" spans="2:18">
      <c r="B99" s="9"/>
      <c r="C99" s="8" t="s">
        <v>71</v>
      </c>
      <c r="D99" s="1" t="s">
        <v>26</v>
      </c>
      <c r="E99" s="14">
        <v>0</v>
      </c>
      <c r="F99" s="12">
        <f t="shared" ref="F99:O99" si="51">E99</f>
        <v>0</v>
      </c>
      <c r="G99" s="12">
        <f t="shared" si="51"/>
        <v>0</v>
      </c>
      <c r="H99" s="12">
        <f t="shared" si="51"/>
        <v>0</v>
      </c>
      <c r="I99" s="12">
        <f t="shared" si="51"/>
        <v>0</v>
      </c>
      <c r="J99" s="12">
        <f t="shared" si="51"/>
        <v>0</v>
      </c>
      <c r="K99" s="12">
        <f t="shared" si="51"/>
        <v>0</v>
      </c>
      <c r="L99" s="12">
        <f t="shared" si="51"/>
        <v>0</v>
      </c>
      <c r="M99" s="12">
        <f t="shared" si="51"/>
        <v>0</v>
      </c>
      <c r="N99" s="12">
        <f t="shared" si="51"/>
        <v>0</v>
      </c>
      <c r="O99" s="12">
        <f t="shared" si="51"/>
        <v>0</v>
      </c>
      <c r="Q99" s="1" t="s">
        <v>76</v>
      </c>
      <c r="R99" s="4">
        <f>R96*R97*R98</f>
        <v>1533</v>
      </c>
    </row>
    <row r="100" spans="2:18">
      <c r="B100" s="9"/>
      <c r="C100" s="8" t="s">
        <v>71</v>
      </c>
      <c r="D100" s="1" t="s">
        <v>27</v>
      </c>
      <c r="E100" s="14">
        <v>0</v>
      </c>
      <c r="F100" s="12">
        <f t="shared" ref="F100:O100" si="52">E100</f>
        <v>0</v>
      </c>
      <c r="G100" s="12">
        <f t="shared" si="52"/>
        <v>0</v>
      </c>
      <c r="H100" s="12">
        <f t="shared" si="52"/>
        <v>0</v>
      </c>
      <c r="I100" s="12">
        <f t="shared" si="52"/>
        <v>0</v>
      </c>
      <c r="J100" s="12">
        <f t="shared" si="52"/>
        <v>0</v>
      </c>
      <c r="K100" s="12">
        <f t="shared" si="52"/>
        <v>0</v>
      </c>
      <c r="L100" s="12">
        <f t="shared" si="52"/>
        <v>0</v>
      </c>
      <c r="M100" s="12">
        <f t="shared" si="52"/>
        <v>0</v>
      </c>
      <c r="N100" s="12">
        <f t="shared" si="52"/>
        <v>0</v>
      </c>
      <c r="O100" s="12">
        <f t="shared" si="52"/>
        <v>0</v>
      </c>
      <c r="Q100" s="1" t="s">
        <v>77</v>
      </c>
      <c r="R100" s="2">
        <f>400*12</f>
        <v>4800</v>
      </c>
    </row>
    <row r="101" spans="2:18">
      <c r="B101" s="9"/>
      <c r="C101" s="8" t="s">
        <v>71</v>
      </c>
      <c r="D101" s="1" t="s">
        <v>61</v>
      </c>
      <c r="E101" s="14">
        <v>0</v>
      </c>
      <c r="F101" s="12">
        <f t="shared" ref="F101:O101" si="53">E101</f>
        <v>0</v>
      </c>
      <c r="G101" s="12">
        <f t="shared" si="53"/>
        <v>0</v>
      </c>
      <c r="H101" s="12">
        <f t="shared" si="53"/>
        <v>0</v>
      </c>
      <c r="I101" s="12">
        <f t="shared" si="53"/>
        <v>0</v>
      </c>
      <c r="J101" s="12">
        <f t="shared" si="53"/>
        <v>0</v>
      </c>
      <c r="K101" s="12">
        <f t="shared" si="53"/>
        <v>0</v>
      </c>
      <c r="L101" s="12">
        <f t="shared" si="53"/>
        <v>0</v>
      </c>
      <c r="M101" s="12">
        <f t="shared" si="53"/>
        <v>0</v>
      </c>
      <c r="N101" s="12">
        <f t="shared" si="53"/>
        <v>0</v>
      </c>
      <c r="O101" s="12">
        <f t="shared" si="53"/>
        <v>0</v>
      </c>
      <c r="Q101" s="1" t="s">
        <v>78</v>
      </c>
      <c r="R101" s="35">
        <f>R99/R100</f>
        <v>0.31937500000000002</v>
      </c>
    </row>
    <row r="102" spans="2:18">
      <c r="B102" s="9"/>
      <c r="C102" s="8" t="s">
        <v>71</v>
      </c>
      <c r="D102" s="1" t="s">
        <v>29</v>
      </c>
      <c r="E102" s="14">
        <v>0</v>
      </c>
      <c r="F102" s="12">
        <f t="shared" ref="F102:O102" si="54">E102</f>
        <v>0</v>
      </c>
      <c r="G102" s="12">
        <f t="shared" si="54"/>
        <v>0</v>
      </c>
      <c r="H102" s="12">
        <f t="shared" si="54"/>
        <v>0</v>
      </c>
      <c r="I102" s="12">
        <f t="shared" si="54"/>
        <v>0</v>
      </c>
      <c r="J102" s="12">
        <f t="shared" si="54"/>
        <v>0</v>
      </c>
      <c r="K102" s="12">
        <f t="shared" si="54"/>
        <v>0</v>
      </c>
      <c r="L102" s="12">
        <f t="shared" si="54"/>
        <v>0</v>
      </c>
      <c r="M102" s="12">
        <f t="shared" si="54"/>
        <v>0</v>
      </c>
      <c r="N102" s="12">
        <f t="shared" si="54"/>
        <v>0</v>
      </c>
      <c r="O102" s="12">
        <f t="shared" si="54"/>
        <v>0</v>
      </c>
    </row>
    <row r="103" spans="2:18">
      <c r="B103" s="9"/>
      <c r="C103" s="8" t="s">
        <v>71</v>
      </c>
      <c r="D103" s="1" t="s">
        <v>30</v>
      </c>
      <c r="E103" s="14">
        <v>0</v>
      </c>
      <c r="F103" s="12">
        <f t="shared" ref="F103:O103" si="55">E103</f>
        <v>0</v>
      </c>
      <c r="G103" s="12">
        <f t="shared" si="55"/>
        <v>0</v>
      </c>
      <c r="H103" s="12">
        <f t="shared" si="55"/>
        <v>0</v>
      </c>
      <c r="I103" s="12">
        <f t="shared" si="55"/>
        <v>0</v>
      </c>
      <c r="J103" s="12">
        <f t="shared" si="55"/>
        <v>0</v>
      </c>
      <c r="K103" s="12">
        <f t="shared" si="55"/>
        <v>0</v>
      </c>
      <c r="L103" s="12">
        <f t="shared" si="55"/>
        <v>0</v>
      </c>
      <c r="M103" s="12">
        <f t="shared" si="55"/>
        <v>0</v>
      </c>
      <c r="N103" s="12">
        <f t="shared" si="55"/>
        <v>0</v>
      </c>
      <c r="O103" s="12">
        <f t="shared" si="55"/>
        <v>0</v>
      </c>
    </row>
    <row r="104" spans="2:18">
      <c r="B104" s="9"/>
      <c r="C104" s="1" t="s">
        <v>79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2:18">
      <c r="B105" s="9"/>
      <c r="C105" s="8" t="s">
        <v>71</v>
      </c>
      <c r="D105" s="1" t="s">
        <v>21</v>
      </c>
      <c r="E105" s="14">
        <f>R107</f>
        <v>0.13307291666666668</v>
      </c>
      <c r="F105" s="12">
        <f>E105</f>
        <v>0.13307291666666668</v>
      </c>
      <c r="G105" s="12">
        <f t="shared" ref="G105:G112" si="56">F105</f>
        <v>0.13307291666666668</v>
      </c>
      <c r="H105" s="12">
        <f t="shared" ref="H105:H112" si="57">G105</f>
        <v>0.13307291666666668</v>
      </c>
      <c r="I105" s="12">
        <f t="shared" ref="I105:I112" si="58">H105</f>
        <v>0.13307291666666668</v>
      </c>
      <c r="J105" s="12">
        <f t="shared" ref="J105:J112" si="59">I105</f>
        <v>0.13307291666666668</v>
      </c>
      <c r="K105" s="12">
        <f t="shared" ref="K105:K112" si="60">J105</f>
        <v>0.13307291666666668</v>
      </c>
      <c r="L105" s="12">
        <f t="shared" ref="L105:L112" si="61">K105</f>
        <v>0.13307291666666668</v>
      </c>
      <c r="M105" s="12">
        <f t="shared" ref="M105:M112" si="62">L105</f>
        <v>0.13307291666666668</v>
      </c>
      <c r="N105" s="12">
        <f t="shared" ref="N105:N112" si="63">M105</f>
        <v>0.13307291666666668</v>
      </c>
      <c r="O105" s="12">
        <f t="shared" ref="O105:O112" si="64">N105</f>
        <v>0.13307291666666668</v>
      </c>
      <c r="Q105" s="1" t="s">
        <v>80</v>
      </c>
      <c r="R105" s="36">
        <f>R99/(24*100)</f>
        <v>0.63875000000000004</v>
      </c>
    </row>
    <row r="106" spans="2:18">
      <c r="B106" s="9"/>
      <c r="C106" s="8" t="s">
        <v>71</v>
      </c>
      <c r="D106" s="1" t="s">
        <v>24</v>
      </c>
      <c r="E106" s="14">
        <v>0</v>
      </c>
      <c r="F106" s="12">
        <f t="shared" ref="F106:F112" si="65">E106</f>
        <v>0</v>
      </c>
      <c r="G106" s="12">
        <f t="shared" si="56"/>
        <v>0</v>
      </c>
      <c r="H106" s="12">
        <f t="shared" si="57"/>
        <v>0</v>
      </c>
      <c r="I106" s="12">
        <f t="shared" si="58"/>
        <v>0</v>
      </c>
      <c r="J106" s="12">
        <f t="shared" si="59"/>
        <v>0</v>
      </c>
      <c r="K106" s="12">
        <f t="shared" si="60"/>
        <v>0</v>
      </c>
      <c r="L106" s="12">
        <f t="shared" si="61"/>
        <v>0</v>
      </c>
      <c r="M106" s="12">
        <f t="shared" si="62"/>
        <v>0</v>
      </c>
      <c r="N106" s="12">
        <f t="shared" si="63"/>
        <v>0</v>
      </c>
      <c r="O106" s="12">
        <f t="shared" si="64"/>
        <v>0</v>
      </c>
      <c r="Q106" s="1" t="s">
        <v>81</v>
      </c>
      <c r="R106" s="36">
        <f>R105*1000</f>
        <v>638.75</v>
      </c>
    </row>
    <row r="107" spans="2:18">
      <c r="B107" s="9"/>
      <c r="C107" s="8" t="s">
        <v>71</v>
      </c>
      <c r="D107" s="1" t="s">
        <v>25</v>
      </c>
      <c r="E107" s="14">
        <v>0</v>
      </c>
      <c r="F107" s="12">
        <f t="shared" si="65"/>
        <v>0</v>
      </c>
      <c r="G107" s="12">
        <f t="shared" si="56"/>
        <v>0</v>
      </c>
      <c r="H107" s="12">
        <f t="shared" si="57"/>
        <v>0</v>
      </c>
      <c r="I107" s="12">
        <f t="shared" si="58"/>
        <v>0</v>
      </c>
      <c r="J107" s="12">
        <f t="shared" si="59"/>
        <v>0</v>
      </c>
      <c r="K107" s="12">
        <f t="shared" si="60"/>
        <v>0</v>
      </c>
      <c r="L107" s="12">
        <f t="shared" si="61"/>
        <v>0</v>
      </c>
      <c r="M107" s="12">
        <f t="shared" si="62"/>
        <v>0</v>
      </c>
      <c r="N107" s="12">
        <f t="shared" si="63"/>
        <v>0</v>
      </c>
      <c r="O107" s="12">
        <f t="shared" si="64"/>
        <v>0</v>
      </c>
      <c r="Q107" s="1" t="s">
        <v>82</v>
      </c>
      <c r="R107" s="35">
        <f>R106/R100</f>
        <v>0.13307291666666668</v>
      </c>
    </row>
    <row r="108" spans="2:18">
      <c r="B108" s="9"/>
      <c r="C108" s="8" t="s">
        <v>71</v>
      </c>
      <c r="D108" s="1" t="s">
        <v>26</v>
      </c>
      <c r="E108" s="14">
        <v>0</v>
      </c>
      <c r="F108" s="12">
        <f t="shared" si="65"/>
        <v>0</v>
      </c>
      <c r="G108" s="12">
        <f t="shared" si="56"/>
        <v>0</v>
      </c>
      <c r="H108" s="12">
        <f t="shared" si="57"/>
        <v>0</v>
      </c>
      <c r="I108" s="12">
        <f t="shared" si="58"/>
        <v>0</v>
      </c>
      <c r="J108" s="12">
        <f t="shared" si="59"/>
        <v>0</v>
      </c>
      <c r="K108" s="12">
        <f t="shared" si="60"/>
        <v>0</v>
      </c>
      <c r="L108" s="12">
        <f t="shared" si="61"/>
        <v>0</v>
      </c>
      <c r="M108" s="12">
        <f t="shared" si="62"/>
        <v>0</v>
      </c>
      <c r="N108" s="12">
        <f t="shared" si="63"/>
        <v>0</v>
      </c>
      <c r="O108" s="12">
        <f t="shared" si="64"/>
        <v>0</v>
      </c>
      <c r="R108" s="4"/>
    </row>
    <row r="109" spans="2:18">
      <c r="B109" s="9"/>
      <c r="C109" s="8" t="s">
        <v>71</v>
      </c>
      <c r="D109" s="1" t="s">
        <v>27</v>
      </c>
      <c r="E109" s="14">
        <v>0</v>
      </c>
      <c r="F109" s="12">
        <f t="shared" si="65"/>
        <v>0</v>
      </c>
      <c r="G109" s="12">
        <f t="shared" si="56"/>
        <v>0</v>
      </c>
      <c r="H109" s="12">
        <f t="shared" si="57"/>
        <v>0</v>
      </c>
      <c r="I109" s="12">
        <f t="shared" si="58"/>
        <v>0</v>
      </c>
      <c r="J109" s="12">
        <f t="shared" si="59"/>
        <v>0</v>
      </c>
      <c r="K109" s="12">
        <f t="shared" si="60"/>
        <v>0</v>
      </c>
      <c r="L109" s="12">
        <f t="shared" si="61"/>
        <v>0</v>
      </c>
      <c r="M109" s="12">
        <f t="shared" si="62"/>
        <v>0</v>
      </c>
      <c r="N109" s="12">
        <f t="shared" si="63"/>
        <v>0</v>
      </c>
      <c r="O109" s="12">
        <f t="shared" si="64"/>
        <v>0</v>
      </c>
    </row>
    <row r="110" spans="2:18">
      <c r="B110" s="9"/>
      <c r="C110" s="8" t="s">
        <v>71</v>
      </c>
      <c r="D110" s="1" t="s">
        <v>61</v>
      </c>
      <c r="E110" s="14">
        <v>0</v>
      </c>
      <c r="F110" s="12">
        <f t="shared" si="65"/>
        <v>0</v>
      </c>
      <c r="G110" s="12">
        <f t="shared" si="56"/>
        <v>0</v>
      </c>
      <c r="H110" s="12">
        <f t="shared" si="57"/>
        <v>0</v>
      </c>
      <c r="I110" s="12">
        <f t="shared" si="58"/>
        <v>0</v>
      </c>
      <c r="J110" s="12">
        <f t="shared" si="59"/>
        <v>0</v>
      </c>
      <c r="K110" s="12">
        <f t="shared" si="60"/>
        <v>0</v>
      </c>
      <c r="L110" s="12">
        <f t="shared" si="61"/>
        <v>0</v>
      </c>
      <c r="M110" s="12">
        <f t="shared" si="62"/>
        <v>0</v>
      </c>
      <c r="N110" s="12">
        <f t="shared" si="63"/>
        <v>0</v>
      </c>
      <c r="O110" s="12">
        <f t="shared" si="64"/>
        <v>0</v>
      </c>
      <c r="R110" s="35"/>
    </row>
    <row r="111" spans="2:18">
      <c r="B111" s="9"/>
      <c r="C111" s="8" t="s">
        <v>71</v>
      </c>
      <c r="D111" s="1" t="s">
        <v>29</v>
      </c>
      <c r="E111" s="14">
        <v>0</v>
      </c>
      <c r="F111" s="12">
        <f t="shared" si="65"/>
        <v>0</v>
      </c>
      <c r="G111" s="12">
        <f t="shared" si="56"/>
        <v>0</v>
      </c>
      <c r="H111" s="12">
        <f t="shared" si="57"/>
        <v>0</v>
      </c>
      <c r="I111" s="12">
        <f t="shared" si="58"/>
        <v>0</v>
      </c>
      <c r="J111" s="12">
        <f t="shared" si="59"/>
        <v>0</v>
      </c>
      <c r="K111" s="12">
        <f t="shared" si="60"/>
        <v>0</v>
      </c>
      <c r="L111" s="12">
        <f t="shared" si="61"/>
        <v>0</v>
      </c>
      <c r="M111" s="12">
        <f t="shared" si="62"/>
        <v>0</v>
      </c>
      <c r="N111" s="12">
        <f t="shared" si="63"/>
        <v>0</v>
      </c>
      <c r="O111" s="12">
        <f t="shared" si="64"/>
        <v>0</v>
      </c>
    </row>
    <row r="112" spans="2:18">
      <c r="B112" s="9"/>
      <c r="C112" s="8" t="s">
        <v>71</v>
      </c>
      <c r="D112" s="1" t="s">
        <v>30</v>
      </c>
      <c r="E112" s="14">
        <v>0</v>
      </c>
      <c r="F112" s="12">
        <f t="shared" si="65"/>
        <v>0</v>
      </c>
      <c r="G112" s="12">
        <f t="shared" si="56"/>
        <v>0</v>
      </c>
      <c r="H112" s="12">
        <f t="shared" si="57"/>
        <v>0</v>
      </c>
      <c r="I112" s="12">
        <f t="shared" si="58"/>
        <v>0</v>
      </c>
      <c r="J112" s="12">
        <f t="shared" si="59"/>
        <v>0</v>
      </c>
      <c r="K112" s="12">
        <f t="shared" si="60"/>
        <v>0</v>
      </c>
      <c r="L112" s="12">
        <f t="shared" si="61"/>
        <v>0</v>
      </c>
      <c r="M112" s="12">
        <f t="shared" si="62"/>
        <v>0</v>
      </c>
      <c r="N112" s="12">
        <f t="shared" si="63"/>
        <v>0</v>
      </c>
      <c r="O112" s="12">
        <f t="shared" si="64"/>
        <v>0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F9A0-6E39-47E5-B6F8-9A6DB799884C}">
  <dimension ref="A1:S230"/>
  <sheetViews>
    <sheetView zoomScale="90" zoomScaleNormal="90" workbookViewId="0">
      <selection activeCell="E9" sqref="E9"/>
    </sheetView>
  </sheetViews>
  <sheetFormatPr defaultRowHeight="12"/>
  <cols>
    <col min="1" max="1" width="9.140625" style="1"/>
    <col min="2" max="2" width="5.7109375" style="1" customWidth="1"/>
    <col min="3" max="3" width="4.140625" style="1" customWidth="1"/>
    <col min="4" max="4" width="13.5703125" style="1" bestFit="1" customWidth="1"/>
    <col min="5" max="15" width="9.7109375" style="4" customWidth="1"/>
    <col min="16" max="17" width="9.140625" style="1"/>
    <col min="18" max="18" width="10.140625" style="1" bestFit="1" customWidth="1"/>
    <col min="19" max="16384" width="9.140625" style="1"/>
  </cols>
  <sheetData>
    <row r="1" spans="1:17">
      <c r="A1" s="1" t="s">
        <v>35</v>
      </c>
    </row>
    <row r="3" spans="1:17"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Q3" s="1" t="s">
        <v>55</v>
      </c>
    </row>
    <row r="4" spans="1:17">
      <c r="B4" s="1" t="s">
        <v>83</v>
      </c>
    </row>
    <row r="5" spans="1:17">
      <c r="C5" s="63" t="s">
        <v>84</v>
      </c>
      <c r="D5" s="63"/>
      <c r="E5" s="64">
        <f>E15+E24+E33+E42+E51+E60+E69+E78+E87+E96+E105+E114+E123+E132+E141+E150+E159+E168+E177+E186+E195+E204+E213+E222</f>
        <v>29706.329600000001</v>
      </c>
      <c r="F5" s="64">
        <f t="shared" ref="F5:O5" si="0">F15+F24+F33+F42+F51+F60+F69+F78+F87+F96+F105+F114+F123+F132+F141+F150+F159+F168+F177+F186+F195+F204+F213+F222</f>
        <v>146632.60519999999</v>
      </c>
      <c r="G5" s="64">
        <f t="shared" si="0"/>
        <v>201652.67670000001</v>
      </c>
      <c r="H5" s="64">
        <f t="shared" si="0"/>
        <v>233796.94093499999</v>
      </c>
      <c r="I5" s="64">
        <f t="shared" si="0"/>
        <v>262370.77013355005</v>
      </c>
      <c r="J5" s="64">
        <f t="shared" si="0"/>
        <v>290061.15416820149</v>
      </c>
      <c r="K5" s="64">
        <f t="shared" si="0"/>
        <v>316929.93420042738</v>
      </c>
      <c r="L5" s="64">
        <f t="shared" si="0"/>
        <v>343034.62251039746</v>
      </c>
      <c r="M5" s="64">
        <f t="shared" si="0"/>
        <v>368428.70551866968</v>
      </c>
      <c r="N5" s="64">
        <f t="shared" si="0"/>
        <v>393161.92559636279</v>
      </c>
      <c r="O5" s="64">
        <f t="shared" si="0"/>
        <v>417280.54314861738</v>
      </c>
    </row>
    <row r="6" spans="1:17">
      <c r="C6" s="8" t="s">
        <v>85</v>
      </c>
      <c r="D6" s="1" t="s">
        <v>21</v>
      </c>
      <c r="E6" s="7">
        <f t="shared" ref="E6:O13" si="1">E16+E25+E34+E43+E52+E61+E70+E79+E88+E97+E106+E115+E124+E133+E142+E151+E160+E169+E178+E187+E196+E205+E214+E223</f>
        <v>7538</v>
      </c>
      <c r="F6" s="7">
        <f t="shared" si="1"/>
        <v>67754.248330131959</v>
      </c>
      <c r="G6" s="7">
        <f t="shared" si="1"/>
        <v>109417.67107755612</v>
      </c>
      <c r="H6" s="7">
        <f t="shared" si="1"/>
        <v>123529.04998267659</v>
      </c>
      <c r="I6" s="7">
        <f t="shared" si="1"/>
        <v>138958.79308646655</v>
      </c>
      <c r="J6" s="7">
        <f t="shared" si="1"/>
        <v>152009.70547947483</v>
      </c>
      <c r="K6" s="7">
        <f t="shared" si="1"/>
        <v>163666.35245654004</v>
      </c>
      <c r="L6" s="7">
        <f t="shared" si="1"/>
        <v>174273.9965384916</v>
      </c>
      <c r="M6" s="7">
        <f t="shared" si="1"/>
        <v>184005.24776038635</v>
      </c>
      <c r="N6" s="7">
        <f t="shared" si="1"/>
        <v>192968.32204254848</v>
      </c>
      <c r="O6" s="7">
        <f t="shared" si="1"/>
        <v>201241.72393898395</v>
      </c>
    </row>
    <row r="7" spans="1:17">
      <c r="C7" s="8" t="s">
        <v>85</v>
      </c>
      <c r="D7" s="1" t="s">
        <v>24</v>
      </c>
      <c r="E7" s="7">
        <f t="shared" si="1"/>
        <v>7621</v>
      </c>
      <c r="F7" s="7">
        <f t="shared" si="1"/>
        <v>11911.5113648562</v>
      </c>
      <c r="G7" s="7">
        <f t="shared" si="1"/>
        <v>7402.1227459216452</v>
      </c>
      <c r="H7" s="7">
        <f t="shared" si="1"/>
        <v>3800.0636733123188</v>
      </c>
      <c r="I7" s="7">
        <f t="shared" si="1"/>
        <v>2895.4217763091019</v>
      </c>
      <c r="J7" s="7">
        <f t="shared" si="1"/>
        <v>2473.4421805818756</v>
      </c>
      <c r="K7" s="7">
        <f t="shared" si="1"/>
        <v>2232.5199271166412</v>
      </c>
      <c r="L7" s="7">
        <f t="shared" si="1"/>
        <v>2078.7944180591057</v>
      </c>
      <c r="M7" s="7">
        <f t="shared" si="1"/>
        <v>1973.5710157959884</v>
      </c>
      <c r="N7" s="7">
        <f t="shared" si="1"/>
        <v>1897.993124435071</v>
      </c>
      <c r="O7" s="7">
        <f t="shared" si="1"/>
        <v>1841.7800898087448</v>
      </c>
    </row>
    <row r="8" spans="1:17">
      <c r="C8" s="8" t="s">
        <v>85</v>
      </c>
      <c r="D8" s="1" t="s">
        <v>25</v>
      </c>
      <c r="E8" s="7">
        <f t="shared" si="1"/>
        <v>703.5</v>
      </c>
      <c r="F8" s="7">
        <f t="shared" si="1"/>
        <v>22608.877827640496</v>
      </c>
      <c r="G8" s="7">
        <f t="shared" si="1"/>
        <v>37678.948228019646</v>
      </c>
      <c r="H8" s="7">
        <f t="shared" si="1"/>
        <v>50387.347017989814</v>
      </c>
      <c r="I8" s="7">
        <f t="shared" si="1"/>
        <v>50460.984349494662</v>
      </c>
      <c r="J8" s="7">
        <f t="shared" si="1"/>
        <v>50355.396849560617</v>
      </c>
      <c r="K8" s="7">
        <f t="shared" si="1"/>
        <v>50190.864009901903</v>
      </c>
      <c r="L8" s="7">
        <f t="shared" si="1"/>
        <v>50004.387865237288</v>
      </c>
      <c r="M8" s="7">
        <f t="shared" si="1"/>
        <v>49810.868414478209</v>
      </c>
      <c r="N8" s="7">
        <f t="shared" si="1"/>
        <v>49617.268906408703</v>
      </c>
      <c r="O8" s="7">
        <f t="shared" si="1"/>
        <v>49427.132077650072</v>
      </c>
    </row>
    <row r="9" spans="1:17">
      <c r="C9" s="8" t="s">
        <v>85</v>
      </c>
      <c r="D9" s="1" t="s">
        <v>26</v>
      </c>
      <c r="E9" s="7">
        <f t="shared" si="1"/>
        <v>398.82960000000003</v>
      </c>
      <c r="F9" s="7">
        <f t="shared" si="1"/>
        <v>8867.3625764440185</v>
      </c>
      <c r="G9" s="7">
        <f t="shared" si="1"/>
        <v>21330.94989102727</v>
      </c>
      <c r="H9" s="7">
        <f t="shared" si="1"/>
        <v>35640.8526416081</v>
      </c>
      <c r="I9" s="7">
        <f t="shared" si="1"/>
        <v>51945.364790138643</v>
      </c>
      <c r="J9" s="7">
        <f t="shared" si="1"/>
        <v>68216.578502598946</v>
      </c>
      <c r="K9" s="7">
        <f t="shared" si="1"/>
        <v>84477.682801839648</v>
      </c>
      <c r="L9" s="7">
        <f t="shared" si="1"/>
        <v>100735.78255707482</v>
      </c>
      <c r="M9" s="7">
        <f t="shared" si="1"/>
        <v>116993.70895046955</v>
      </c>
      <c r="N9" s="7">
        <f t="shared" si="1"/>
        <v>133252.75443484669</v>
      </c>
      <c r="O9" s="7">
        <f t="shared" si="1"/>
        <v>149513.54493358626</v>
      </c>
    </row>
    <row r="10" spans="1:17">
      <c r="C10" s="8" t="s">
        <v>85</v>
      </c>
      <c r="D10" s="1" t="s">
        <v>27</v>
      </c>
      <c r="E10" s="7">
        <f t="shared" si="1"/>
        <v>12245</v>
      </c>
      <c r="F10" s="7">
        <f t="shared" si="1"/>
        <v>19940.56308530235</v>
      </c>
      <c r="G10" s="7">
        <f t="shared" si="1"/>
        <v>16565.841371056555</v>
      </c>
      <c r="H10" s="7">
        <f t="shared" si="1"/>
        <v>14686.647569071632</v>
      </c>
      <c r="I10" s="7">
        <f t="shared" si="1"/>
        <v>13873.505451484529</v>
      </c>
      <c r="J10" s="7">
        <f t="shared" si="1"/>
        <v>13488.065898357167</v>
      </c>
      <c r="K10" s="7">
        <f t="shared" si="1"/>
        <v>13263.430688145363</v>
      </c>
      <c r="L10" s="7">
        <f t="shared" si="1"/>
        <v>13116.521246633385</v>
      </c>
      <c r="M10" s="7">
        <f t="shared" si="1"/>
        <v>13013.072345690616</v>
      </c>
      <c r="N10" s="7">
        <f t="shared" si="1"/>
        <v>12936.372852449</v>
      </c>
      <c r="O10" s="7">
        <f t="shared" si="1"/>
        <v>12877.30069272999</v>
      </c>
    </row>
    <row r="11" spans="1:17">
      <c r="C11" s="8" t="s">
        <v>85</v>
      </c>
      <c r="D11" s="1" t="s">
        <v>61</v>
      </c>
      <c r="E11" s="7">
        <f t="shared" si="1"/>
        <v>1200</v>
      </c>
      <c r="F11" s="7">
        <f t="shared" si="1"/>
        <v>1359.8125578663187</v>
      </c>
      <c r="G11" s="7">
        <f t="shared" si="1"/>
        <v>1289.7302385789005</v>
      </c>
      <c r="H11" s="7">
        <f t="shared" si="1"/>
        <v>1250.7053141006231</v>
      </c>
      <c r="I11" s="7">
        <f t="shared" si="1"/>
        <v>1233.81891861793</v>
      </c>
      <c r="J11" s="7">
        <f t="shared" si="1"/>
        <v>1225.8145555576389</v>
      </c>
      <c r="K11" s="7">
        <f t="shared" si="1"/>
        <v>1221.1495911966358</v>
      </c>
      <c r="L11" s="7">
        <f t="shared" si="1"/>
        <v>1218.098745746797</v>
      </c>
      <c r="M11" s="7">
        <f t="shared" si="1"/>
        <v>1215.9504385618818</v>
      </c>
      <c r="N11" s="7">
        <f t="shared" si="1"/>
        <v>1214.35763215303</v>
      </c>
      <c r="O11" s="7">
        <f t="shared" si="1"/>
        <v>1213.1308898290781</v>
      </c>
    </row>
    <row r="12" spans="1:17">
      <c r="C12" s="8" t="s">
        <v>85</v>
      </c>
      <c r="D12" s="1" t="s">
        <v>29</v>
      </c>
      <c r="E12" s="7">
        <f t="shared" si="1"/>
        <v>0</v>
      </c>
      <c r="F12" s="7">
        <f t="shared" si="1"/>
        <v>8459.32043228781</v>
      </c>
      <c r="G12" s="7">
        <f t="shared" si="1"/>
        <v>4749.6695550013974</v>
      </c>
      <c r="H12" s="7">
        <f t="shared" si="1"/>
        <v>2683.9724319772813</v>
      </c>
      <c r="I12" s="7">
        <f t="shared" si="1"/>
        <v>1790.128842702341</v>
      </c>
      <c r="J12" s="7">
        <f t="shared" si="1"/>
        <v>1366.4357807340134</v>
      </c>
      <c r="K12" s="7">
        <f t="shared" si="1"/>
        <v>1119.5063224874493</v>
      </c>
      <c r="L12" s="7">
        <f t="shared" si="1"/>
        <v>958.01663986087283</v>
      </c>
      <c r="M12" s="7">
        <f t="shared" si="1"/>
        <v>844.30080233960894</v>
      </c>
      <c r="N12" s="7">
        <f t="shared" si="1"/>
        <v>759.98915637778077</v>
      </c>
      <c r="O12" s="7">
        <f t="shared" si="1"/>
        <v>695.05429428240313</v>
      </c>
    </row>
    <row r="13" spans="1:17">
      <c r="C13" s="8" t="s">
        <v>85</v>
      </c>
      <c r="D13" s="1" t="s">
        <v>30</v>
      </c>
      <c r="E13" s="7">
        <f t="shared" si="1"/>
        <v>0</v>
      </c>
      <c r="F13" s="7">
        <f t="shared" si="1"/>
        <v>5730.9090254708399</v>
      </c>
      <c r="G13" s="7">
        <f t="shared" si="1"/>
        <v>3217.7435928384598</v>
      </c>
      <c r="H13" s="7">
        <f t="shared" si="1"/>
        <v>1818.3023042636523</v>
      </c>
      <c r="I13" s="7">
        <f t="shared" si="1"/>
        <v>1212.7529183362508</v>
      </c>
      <c r="J13" s="7">
        <f t="shared" si="1"/>
        <v>925.71492133641652</v>
      </c>
      <c r="K13" s="7">
        <f t="shared" si="1"/>
        <v>758.42840319974152</v>
      </c>
      <c r="L13" s="7">
        <f t="shared" si="1"/>
        <v>649.02449929362456</v>
      </c>
      <c r="M13" s="7">
        <f t="shared" si="1"/>
        <v>571.98579094748175</v>
      </c>
      <c r="N13" s="7">
        <f t="shared" si="1"/>
        <v>514.86744714403426</v>
      </c>
      <c r="O13" s="7">
        <f t="shared" si="1"/>
        <v>470.87623174690566</v>
      </c>
    </row>
    <row r="14" spans="1:17">
      <c r="B14" s="1" t="s">
        <v>83</v>
      </c>
    </row>
    <row r="15" spans="1:17">
      <c r="C15" s="61" t="s">
        <v>85</v>
      </c>
      <c r="D15" s="61"/>
      <c r="E15" s="62">
        <f>SUM(E16:E23)</f>
        <v>4929</v>
      </c>
      <c r="F15" s="62">
        <f t="shared" ref="F15:O15" si="2">SUM(F16:F23)</f>
        <v>14973</v>
      </c>
      <c r="G15" s="62">
        <f t="shared" si="2"/>
        <v>24180</v>
      </c>
      <c r="H15" s="62">
        <f t="shared" si="2"/>
        <v>34410</v>
      </c>
      <c r="I15" s="62">
        <f t="shared" si="2"/>
        <v>34410</v>
      </c>
      <c r="J15" s="62">
        <f t="shared" si="2"/>
        <v>34410</v>
      </c>
      <c r="K15" s="62">
        <f t="shared" si="2"/>
        <v>34410</v>
      </c>
      <c r="L15" s="62">
        <f t="shared" si="2"/>
        <v>34410</v>
      </c>
      <c r="M15" s="62">
        <f t="shared" si="2"/>
        <v>34410</v>
      </c>
      <c r="N15" s="62">
        <f t="shared" si="2"/>
        <v>34410</v>
      </c>
      <c r="O15" s="62">
        <f t="shared" si="2"/>
        <v>34410</v>
      </c>
    </row>
    <row r="16" spans="1:17">
      <c r="C16" s="8" t="s">
        <v>85</v>
      </c>
      <c r="D16" s="1" t="s">
        <v>21</v>
      </c>
      <c r="E16" s="7"/>
    </row>
    <row r="17" spans="3:18">
      <c r="C17" s="8" t="s">
        <v>85</v>
      </c>
      <c r="D17" s="1" t="s">
        <v>24</v>
      </c>
      <c r="E17" s="7">
        <f>$Q$17*契約数!E35</f>
        <v>4278</v>
      </c>
      <c r="F17" s="7">
        <f>$Q$17*契約数!F35</f>
        <v>0</v>
      </c>
      <c r="G17" s="7">
        <f>$Q$17*契約数!G35</f>
        <v>0</v>
      </c>
      <c r="H17" s="7">
        <f>$Q$17*契約数!H35</f>
        <v>0</v>
      </c>
      <c r="I17" s="7">
        <f>$Q$17*契約数!I35</f>
        <v>0</v>
      </c>
      <c r="J17" s="7">
        <f>$Q$17*契約数!J35</f>
        <v>0</v>
      </c>
      <c r="K17" s="7">
        <f>$Q$17*契約数!K35</f>
        <v>0</v>
      </c>
      <c r="L17" s="7">
        <f>$Q$17*契約数!L35</f>
        <v>0</v>
      </c>
      <c r="M17" s="7">
        <f>$Q$17*契約数!M35</f>
        <v>0</v>
      </c>
      <c r="N17" s="7">
        <f>$Q$17*契約数!N35</f>
        <v>0</v>
      </c>
      <c r="O17" s="7">
        <f>$Q$17*契約数!O35</f>
        <v>0</v>
      </c>
      <c r="Q17" s="2">
        <v>93</v>
      </c>
      <c r="R17" s="1" t="s">
        <v>86</v>
      </c>
    </row>
    <row r="18" spans="3:18">
      <c r="C18" s="8" t="s">
        <v>85</v>
      </c>
      <c r="D18" s="1" t="s">
        <v>25</v>
      </c>
      <c r="E18" s="7">
        <f>$Q$18*契約数!E36</f>
        <v>651</v>
      </c>
      <c r="F18" s="7">
        <f>$Q$18*契約数!F31</f>
        <v>14973</v>
      </c>
      <c r="G18" s="7">
        <f>$Q$18*契約数!G31</f>
        <v>24180</v>
      </c>
      <c r="H18" s="7">
        <f>$Q$18*契約数!H31</f>
        <v>34410</v>
      </c>
      <c r="I18" s="7">
        <f>$Q$18*契約数!I31</f>
        <v>34410</v>
      </c>
      <c r="J18" s="7">
        <f>$Q$18*契約数!J31</f>
        <v>34410</v>
      </c>
      <c r="K18" s="7">
        <f>$Q$18*契約数!K31</f>
        <v>34410</v>
      </c>
      <c r="L18" s="7">
        <f>$Q$18*契約数!L31</f>
        <v>34410</v>
      </c>
      <c r="M18" s="7">
        <f>$Q$18*契約数!M31</f>
        <v>34410</v>
      </c>
      <c r="N18" s="7">
        <f>$Q$18*契約数!N31</f>
        <v>34410</v>
      </c>
      <c r="O18" s="7">
        <f>$Q$18*契約数!O31</f>
        <v>34410</v>
      </c>
      <c r="Q18" s="2">
        <v>93</v>
      </c>
      <c r="R18" s="1" t="s">
        <v>86</v>
      </c>
    </row>
    <row r="19" spans="3:18">
      <c r="C19" s="8" t="s">
        <v>85</v>
      </c>
      <c r="D19" s="1" t="s">
        <v>26</v>
      </c>
      <c r="E19" s="7"/>
    </row>
    <row r="20" spans="3:18">
      <c r="C20" s="8" t="s">
        <v>85</v>
      </c>
      <c r="D20" s="1" t="s">
        <v>27</v>
      </c>
      <c r="E20" s="7"/>
    </row>
    <row r="21" spans="3:18">
      <c r="C21" s="8" t="s">
        <v>85</v>
      </c>
      <c r="D21" s="1" t="s">
        <v>61</v>
      </c>
      <c r="E21" s="7"/>
    </row>
    <row r="22" spans="3:18">
      <c r="C22" s="8" t="s">
        <v>85</v>
      </c>
      <c r="D22" s="1" t="s">
        <v>29</v>
      </c>
      <c r="E22" s="7"/>
    </row>
    <row r="23" spans="3:18">
      <c r="C23" s="8" t="s">
        <v>85</v>
      </c>
      <c r="D23" s="1" t="s">
        <v>30</v>
      </c>
      <c r="E23" s="7"/>
    </row>
    <row r="24" spans="3:18">
      <c r="C24" s="61" t="s">
        <v>87</v>
      </c>
      <c r="D24" s="61"/>
      <c r="E24" s="62">
        <f>SUM(E25:E32)</f>
        <v>212</v>
      </c>
      <c r="F24" s="62">
        <f t="shared" ref="F24" si="3">SUM(F25:F32)</f>
        <v>644</v>
      </c>
      <c r="G24" s="62">
        <f t="shared" ref="G24" si="4">SUM(G25:G32)</f>
        <v>1040</v>
      </c>
      <c r="H24" s="62">
        <f t="shared" ref="H24" si="5">SUM(H25:H32)</f>
        <v>1480</v>
      </c>
      <c r="I24" s="62">
        <f t="shared" ref="I24" si="6">SUM(I25:I32)</f>
        <v>1480</v>
      </c>
      <c r="J24" s="62">
        <f t="shared" ref="J24" si="7">SUM(J25:J32)</f>
        <v>1480</v>
      </c>
      <c r="K24" s="62">
        <f t="shared" ref="K24" si="8">SUM(K25:K32)</f>
        <v>1480</v>
      </c>
      <c r="L24" s="62">
        <f t="shared" ref="L24" si="9">SUM(L25:L32)</f>
        <v>1480</v>
      </c>
      <c r="M24" s="62">
        <f t="shared" ref="M24" si="10">SUM(M25:M32)</f>
        <v>1480</v>
      </c>
      <c r="N24" s="62">
        <f t="shared" ref="N24" si="11">SUM(N25:N32)</f>
        <v>1480</v>
      </c>
      <c r="O24" s="62">
        <f t="shared" ref="O24" si="12">SUM(O25:O32)</f>
        <v>1480</v>
      </c>
    </row>
    <row r="25" spans="3:18">
      <c r="C25" s="8" t="s">
        <v>87</v>
      </c>
      <c r="D25" s="1" t="s">
        <v>21</v>
      </c>
      <c r="E25" s="7"/>
    </row>
    <row r="26" spans="3:18">
      <c r="C26" s="8" t="s">
        <v>87</v>
      </c>
      <c r="D26" s="1" t="s">
        <v>24</v>
      </c>
      <c r="E26" s="7">
        <f>$Q$26*契約数!E35</f>
        <v>184</v>
      </c>
      <c r="F26" s="7">
        <f>$Q$26*契約数!F35</f>
        <v>0</v>
      </c>
      <c r="G26" s="7">
        <f>$Q$26*契約数!G35</f>
        <v>0</v>
      </c>
      <c r="H26" s="7">
        <f>$Q$26*契約数!H35</f>
        <v>0</v>
      </c>
      <c r="I26" s="7">
        <f>$Q$26*契約数!I35</f>
        <v>0</v>
      </c>
      <c r="J26" s="7">
        <f>$Q$26*契約数!J35</f>
        <v>0</v>
      </c>
      <c r="K26" s="7">
        <f>$Q$26*契約数!K35</f>
        <v>0</v>
      </c>
      <c r="L26" s="7">
        <f>$Q$26*契約数!L35</f>
        <v>0</v>
      </c>
      <c r="M26" s="7">
        <f>$Q$26*契約数!M35</f>
        <v>0</v>
      </c>
      <c r="N26" s="7">
        <f>$Q$26*契約数!N35</f>
        <v>0</v>
      </c>
      <c r="O26" s="7">
        <f>$Q$26*契約数!O35</f>
        <v>0</v>
      </c>
      <c r="Q26" s="2">
        <v>4</v>
      </c>
      <c r="R26" s="1" t="s">
        <v>86</v>
      </c>
    </row>
    <row r="27" spans="3:18">
      <c r="C27" s="8" t="s">
        <v>87</v>
      </c>
      <c r="D27" s="1" t="s">
        <v>25</v>
      </c>
      <c r="E27" s="7">
        <f>$Q$26*契約数!E36</f>
        <v>28</v>
      </c>
      <c r="F27" s="7">
        <f>$Q$26*契約数!F31</f>
        <v>644</v>
      </c>
      <c r="G27" s="7">
        <f>$Q$26*契約数!G31</f>
        <v>1040</v>
      </c>
      <c r="H27" s="7">
        <f>$Q$26*契約数!H31</f>
        <v>1480</v>
      </c>
      <c r="I27" s="7">
        <f>$Q$26*契約数!I31</f>
        <v>1480</v>
      </c>
      <c r="J27" s="7">
        <f>$Q$26*契約数!J31</f>
        <v>1480</v>
      </c>
      <c r="K27" s="7">
        <f>$Q$26*契約数!K31</f>
        <v>1480</v>
      </c>
      <c r="L27" s="7">
        <f>$Q$26*契約数!L31</f>
        <v>1480</v>
      </c>
      <c r="M27" s="7">
        <f>$Q$26*契約数!M31</f>
        <v>1480</v>
      </c>
      <c r="N27" s="7">
        <f>$Q$26*契約数!N31</f>
        <v>1480</v>
      </c>
      <c r="O27" s="7">
        <f>$Q$26*契約数!O31</f>
        <v>1480</v>
      </c>
      <c r="Q27" s="2">
        <v>4</v>
      </c>
      <c r="R27" s="1" t="s">
        <v>86</v>
      </c>
    </row>
    <row r="28" spans="3:18">
      <c r="C28" s="8" t="s">
        <v>87</v>
      </c>
      <c r="D28" s="1" t="s">
        <v>26</v>
      </c>
      <c r="E28" s="7"/>
    </row>
    <row r="29" spans="3:18">
      <c r="C29" s="8" t="s">
        <v>87</v>
      </c>
      <c r="D29" s="1" t="s">
        <v>27</v>
      </c>
      <c r="E29" s="7"/>
    </row>
    <row r="30" spans="3:18">
      <c r="C30" s="8" t="s">
        <v>87</v>
      </c>
      <c r="D30" s="1" t="s">
        <v>61</v>
      </c>
      <c r="E30" s="7"/>
    </row>
    <row r="31" spans="3:18">
      <c r="C31" s="8" t="s">
        <v>87</v>
      </c>
      <c r="D31" s="1" t="s">
        <v>29</v>
      </c>
      <c r="E31" s="7"/>
    </row>
    <row r="32" spans="3:18">
      <c r="C32" s="8" t="s">
        <v>87</v>
      </c>
      <c r="D32" s="1" t="s">
        <v>30</v>
      </c>
      <c r="E32" s="7"/>
    </row>
    <row r="33" spans="3:18">
      <c r="C33" s="61" t="s">
        <v>88</v>
      </c>
      <c r="D33" s="61"/>
      <c r="E33" s="62">
        <f>SUM(E34:E41)</f>
        <v>79.5</v>
      </c>
      <c r="F33" s="62">
        <f t="shared" ref="F33" si="13">SUM(F34:F41)</f>
        <v>241.5</v>
      </c>
      <c r="G33" s="62">
        <f t="shared" ref="G33" si="14">SUM(G34:G41)</f>
        <v>390</v>
      </c>
      <c r="H33" s="62">
        <f t="shared" ref="H33" si="15">SUM(H34:H41)</f>
        <v>555</v>
      </c>
      <c r="I33" s="62">
        <f t="shared" ref="I33" si="16">SUM(I34:I41)</f>
        <v>555</v>
      </c>
      <c r="J33" s="62">
        <f t="shared" ref="J33" si="17">SUM(J34:J41)</f>
        <v>555</v>
      </c>
      <c r="K33" s="62">
        <f t="shared" ref="K33" si="18">SUM(K34:K41)</f>
        <v>555</v>
      </c>
      <c r="L33" s="62">
        <f t="shared" ref="L33" si="19">SUM(L34:L41)</f>
        <v>555</v>
      </c>
      <c r="M33" s="62">
        <f t="shared" ref="M33" si="20">SUM(M34:M41)</f>
        <v>555</v>
      </c>
      <c r="N33" s="62">
        <f t="shared" ref="N33" si="21">SUM(N34:N41)</f>
        <v>555</v>
      </c>
      <c r="O33" s="62">
        <f t="shared" ref="O33" si="22">SUM(O34:O41)</f>
        <v>555</v>
      </c>
    </row>
    <row r="34" spans="3:18">
      <c r="C34" s="8" t="s">
        <v>88</v>
      </c>
      <c r="D34" s="1" t="s">
        <v>21</v>
      </c>
      <c r="E34" s="7"/>
    </row>
    <row r="35" spans="3:18">
      <c r="C35" s="8" t="s">
        <v>88</v>
      </c>
      <c r="D35" s="1" t="s">
        <v>24</v>
      </c>
      <c r="E35" s="7">
        <f>$Q$35*契約数!E35</f>
        <v>69</v>
      </c>
      <c r="F35" s="7">
        <f>$Q$35*契約数!F35</f>
        <v>0</v>
      </c>
      <c r="G35" s="7">
        <f>$Q$35*契約数!G35</f>
        <v>0</v>
      </c>
      <c r="H35" s="7">
        <f>$Q$35*契約数!H35</f>
        <v>0</v>
      </c>
      <c r="I35" s="7">
        <f>$Q$35*契約数!I35</f>
        <v>0</v>
      </c>
      <c r="J35" s="7">
        <f>$Q$35*契約数!J35</f>
        <v>0</v>
      </c>
      <c r="K35" s="7">
        <f>$Q$35*契約数!K35</f>
        <v>0</v>
      </c>
      <c r="L35" s="7">
        <f>$Q$35*契約数!L35</f>
        <v>0</v>
      </c>
      <c r="M35" s="7">
        <f>$Q$35*契約数!M35</f>
        <v>0</v>
      </c>
      <c r="N35" s="7">
        <f>$Q$35*契約数!N35</f>
        <v>0</v>
      </c>
      <c r="O35" s="7">
        <f>$Q$35*契約数!O35</f>
        <v>0</v>
      </c>
      <c r="Q35" s="2">
        <v>1.5</v>
      </c>
      <c r="R35" s="1" t="s">
        <v>86</v>
      </c>
    </row>
    <row r="36" spans="3:18">
      <c r="C36" s="8" t="s">
        <v>88</v>
      </c>
      <c r="D36" s="1" t="s">
        <v>25</v>
      </c>
      <c r="E36" s="7">
        <f>$Q$36*契約数!E36</f>
        <v>10.5</v>
      </c>
      <c r="F36" s="7">
        <f>$Q$36*契約数!F31</f>
        <v>241.5</v>
      </c>
      <c r="G36" s="7">
        <f>$Q$36*契約数!G31</f>
        <v>390</v>
      </c>
      <c r="H36" s="7">
        <f>$Q$36*契約数!H31</f>
        <v>555</v>
      </c>
      <c r="I36" s="7">
        <f>$Q$36*契約数!I31</f>
        <v>555</v>
      </c>
      <c r="J36" s="7">
        <f>$Q$36*契約数!J31</f>
        <v>555</v>
      </c>
      <c r="K36" s="7">
        <f>$Q$36*契約数!K31</f>
        <v>555</v>
      </c>
      <c r="L36" s="7">
        <f>$Q$36*契約数!L31</f>
        <v>555</v>
      </c>
      <c r="M36" s="7">
        <f>$Q$36*契約数!M31</f>
        <v>555</v>
      </c>
      <c r="N36" s="7">
        <f>$Q$36*契約数!N31</f>
        <v>555</v>
      </c>
      <c r="O36" s="7">
        <f>$Q$36*契約数!O31</f>
        <v>555</v>
      </c>
      <c r="Q36" s="2">
        <v>1.5</v>
      </c>
      <c r="R36" s="1" t="s">
        <v>86</v>
      </c>
    </row>
    <row r="37" spans="3:18">
      <c r="C37" s="8" t="s">
        <v>88</v>
      </c>
      <c r="D37" s="1" t="s">
        <v>26</v>
      </c>
      <c r="E37" s="7"/>
    </row>
    <row r="38" spans="3:18">
      <c r="C38" s="8" t="s">
        <v>88</v>
      </c>
      <c r="D38" s="1" t="s">
        <v>27</v>
      </c>
      <c r="E38" s="7"/>
    </row>
    <row r="39" spans="3:18">
      <c r="C39" s="8" t="s">
        <v>88</v>
      </c>
      <c r="D39" s="1" t="s">
        <v>61</v>
      </c>
      <c r="E39" s="7"/>
    </row>
    <row r="40" spans="3:18">
      <c r="C40" s="8" t="s">
        <v>88</v>
      </c>
      <c r="D40" s="1" t="s">
        <v>29</v>
      </c>
      <c r="E40" s="7"/>
    </row>
    <row r="41" spans="3:18">
      <c r="C41" s="8" t="s">
        <v>88</v>
      </c>
      <c r="D41" s="1" t="s">
        <v>30</v>
      </c>
      <c r="E41" s="7"/>
    </row>
    <row r="42" spans="3:18">
      <c r="C42" s="61" t="s">
        <v>89</v>
      </c>
      <c r="D42" s="61"/>
      <c r="E42" s="62">
        <f>SUM(E43:E50)</f>
        <v>106</v>
      </c>
      <c r="F42" s="62">
        <f t="shared" ref="F42" si="23">SUM(F43:F50)</f>
        <v>322</v>
      </c>
      <c r="G42" s="62">
        <f t="shared" ref="G42" si="24">SUM(G43:G50)</f>
        <v>520</v>
      </c>
      <c r="H42" s="62">
        <f t="shared" ref="H42" si="25">SUM(H43:H50)</f>
        <v>740</v>
      </c>
      <c r="I42" s="62">
        <f t="shared" ref="I42" si="26">SUM(I43:I50)</f>
        <v>740</v>
      </c>
      <c r="J42" s="62">
        <f t="shared" ref="J42" si="27">SUM(J43:J50)</f>
        <v>740</v>
      </c>
      <c r="K42" s="62">
        <f t="shared" ref="K42" si="28">SUM(K43:K50)</f>
        <v>740</v>
      </c>
      <c r="L42" s="62">
        <f t="shared" ref="L42" si="29">SUM(L43:L50)</f>
        <v>740</v>
      </c>
      <c r="M42" s="62">
        <f t="shared" ref="M42" si="30">SUM(M43:M50)</f>
        <v>740</v>
      </c>
      <c r="N42" s="62">
        <f t="shared" ref="N42" si="31">SUM(N43:N50)</f>
        <v>740</v>
      </c>
      <c r="O42" s="62">
        <f t="shared" ref="O42" si="32">SUM(O43:O50)</f>
        <v>740</v>
      </c>
    </row>
    <row r="43" spans="3:18">
      <c r="C43" s="8" t="s">
        <v>89</v>
      </c>
      <c r="D43" s="1" t="s">
        <v>21</v>
      </c>
      <c r="E43" s="7"/>
    </row>
    <row r="44" spans="3:18">
      <c r="C44" s="8" t="s">
        <v>89</v>
      </c>
      <c r="D44" s="1" t="s">
        <v>24</v>
      </c>
      <c r="E44" s="7">
        <f>$Q$44*契約数!E35</f>
        <v>92</v>
      </c>
      <c r="F44" s="7">
        <f>$Q$44*契約数!F35</f>
        <v>0</v>
      </c>
      <c r="G44" s="7">
        <f>$Q$44*契約数!G35</f>
        <v>0</v>
      </c>
      <c r="H44" s="7">
        <f>$Q$44*契約数!H35</f>
        <v>0</v>
      </c>
      <c r="I44" s="7">
        <f>$Q$44*契約数!I35</f>
        <v>0</v>
      </c>
      <c r="J44" s="7">
        <f>$Q$44*契約数!J35</f>
        <v>0</v>
      </c>
      <c r="K44" s="7">
        <f>$Q$44*契約数!K35</f>
        <v>0</v>
      </c>
      <c r="L44" s="7">
        <f>$Q$44*契約数!L35</f>
        <v>0</v>
      </c>
      <c r="M44" s="7">
        <f>$Q$44*契約数!M35</f>
        <v>0</v>
      </c>
      <c r="N44" s="7">
        <f>$Q$44*契約数!N35</f>
        <v>0</v>
      </c>
      <c r="O44" s="7">
        <f>$Q$44*契約数!O35</f>
        <v>0</v>
      </c>
      <c r="Q44" s="2">
        <v>2</v>
      </c>
      <c r="R44" s="1" t="s">
        <v>86</v>
      </c>
    </row>
    <row r="45" spans="3:18">
      <c r="C45" s="8" t="s">
        <v>89</v>
      </c>
      <c r="D45" s="1" t="s">
        <v>25</v>
      </c>
      <c r="E45" s="7">
        <f>$Q$45*契約数!E36</f>
        <v>14</v>
      </c>
      <c r="F45" s="7">
        <f>$Q$45*契約数!F31</f>
        <v>322</v>
      </c>
      <c r="G45" s="7">
        <f>$Q$45*契約数!G31</f>
        <v>520</v>
      </c>
      <c r="H45" s="7">
        <f>$Q$45*契約数!H31</f>
        <v>740</v>
      </c>
      <c r="I45" s="7">
        <f>$Q$45*契約数!I31</f>
        <v>740</v>
      </c>
      <c r="J45" s="7">
        <f>$Q$45*契約数!J31</f>
        <v>740</v>
      </c>
      <c r="K45" s="7">
        <f>$Q$45*契約数!K31</f>
        <v>740</v>
      </c>
      <c r="L45" s="7">
        <f>$Q$45*契約数!L31</f>
        <v>740</v>
      </c>
      <c r="M45" s="7">
        <f>$Q$45*契約数!M31</f>
        <v>740</v>
      </c>
      <c r="N45" s="7">
        <f>$Q$45*契約数!N31</f>
        <v>740</v>
      </c>
      <c r="O45" s="7">
        <f>$Q$45*契約数!O31</f>
        <v>740</v>
      </c>
      <c r="Q45" s="2">
        <v>2</v>
      </c>
      <c r="R45" s="1" t="s">
        <v>86</v>
      </c>
    </row>
    <row r="46" spans="3:18">
      <c r="C46" s="8" t="s">
        <v>89</v>
      </c>
      <c r="D46" s="1" t="s">
        <v>26</v>
      </c>
      <c r="E46" s="7"/>
    </row>
    <row r="47" spans="3:18">
      <c r="C47" s="8" t="s">
        <v>89</v>
      </c>
      <c r="D47" s="1" t="s">
        <v>27</v>
      </c>
      <c r="E47" s="7"/>
    </row>
    <row r="48" spans="3:18">
      <c r="C48" s="8" t="s">
        <v>89</v>
      </c>
      <c r="D48" s="1" t="s">
        <v>61</v>
      </c>
      <c r="E48" s="7"/>
    </row>
    <row r="49" spans="3:17">
      <c r="C49" s="8" t="s">
        <v>89</v>
      </c>
      <c r="D49" s="1" t="s">
        <v>29</v>
      </c>
      <c r="E49" s="7"/>
    </row>
    <row r="50" spans="3:17">
      <c r="C50" s="8" t="s">
        <v>89</v>
      </c>
      <c r="D50" s="1" t="s">
        <v>30</v>
      </c>
      <c r="E50" s="7"/>
    </row>
    <row r="51" spans="3:17">
      <c r="C51" s="61" t="s">
        <v>90</v>
      </c>
      <c r="D51" s="61"/>
      <c r="E51" s="62">
        <f>SUM(E52:E59)</f>
        <v>1388</v>
      </c>
      <c r="F51" s="62">
        <f t="shared" ref="F51" si="33">SUM(F52:F59)</f>
        <v>1388</v>
      </c>
      <c r="G51" s="62">
        <f t="shared" ref="G51" si="34">SUM(G52:G59)</f>
        <v>1388</v>
      </c>
      <c r="H51" s="62">
        <f t="shared" ref="H51" si="35">SUM(H52:H59)</f>
        <v>0</v>
      </c>
      <c r="I51" s="62">
        <f t="shared" ref="I51" si="36">SUM(I52:I59)</f>
        <v>0</v>
      </c>
      <c r="J51" s="62">
        <f t="shared" ref="J51" si="37">SUM(J52:J59)</f>
        <v>0</v>
      </c>
      <c r="K51" s="62">
        <f t="shared" ref="K51" si="38">SUM(K52:K59)</f>
        <v>0</v>
      </c>
      <c r="L51" s="62">
        <f t="shared" ref="L51" si="39">SUM(L52:L59)</f>
        <v>0</v>
      </c>
      <c r="M51" s="62">
        <f t="shared" ref="M51" si="40">SUM(M52:M59)</f>
        <v>0</v>
      </c>
      <c r="N51" s="62">
        <f t="shared" ref="N51" si="41">SUM(N52:N59)</f>
        <v>0</v>
      </c>
      <c r="O51" s="62">
        <f t="shared" ref="O51" si="42">SUM(O52:O59)</f>
        <v>0</v>
      </c>
    </row>
    <row r="52" spans="3:17">
      <c r="C52" s="8" t="s">
        <v>90</v>
      </c>
      <c r="D52" s="1" t="s">
        <v>21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3:17">
      <c r="C53" s="8" t="s">
        <v>90</v>
      </c>
      <c r="D53" s="1" t="s">
        <v>24</v>
      </c>
      <c r="E53" s="5">
        <v>1388</v>
      </c>
      <c r="F53" s="5">
        <v>1388</v>
      </c>
      <c r="G53" s="5">
        <v>1388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Q53" s="1" t="s">
        <v>91</v>
      </c>
    </row>
    <row r="54" spans="3:17">
      <c r="C54" s="8" t="s">
        <v>90</v>
      </c>
      <c r="D54" s="1" t="s">
        <v>25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7">
      <c r="C55" s="8" t="s">
        <v>90</v>
      </c>
      <c r="D55" s="1" t="s">
        <v>26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7">
      <c r="C56" s="8" t="s">
        <v>90</v>
      </c>
      <c r="D56" s="1" t="s">
        <v>27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3:17">
      <c r="C57" s="8" t="s">
        <v>90</v>
      </c>
      <c r="D57" s="1" t="s">
        <v>61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3:17">
      <c r="C58" s="8" t="s">
        <v>90</v>
      </c>
      <c r="D58" s="1" t="s">
        <v>29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3:17">
      <c r="C59" s="8" t="s">
        <v>90</v>
      </c>
      <c r="D59" s="1" t="s">
        <v>30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3:17">
      <c r="C60" s="61" t="s">
        <v>92</v>
      </c>
      <c r="D60" s="61"/>
      <c r="E60" s="62">
        <f>SUM(E61:E68)</f>
        <v>1610</v>
      </c>
      <c r="F60" s="62">
        <f t="shared" ref="F60" si="43">SUM(F61:F68)</f>
        <v>1610</v>
      </c>
      <c r="G60" s="62">
        <f t="shared" ref="G60" si="44">SUM(G61:G68)</f>
        <v>1610</v>
      </c>
      <c r="H60" s="62">
        <f t="shared" ref="H60" si="45">SUM(H61:H68)</f>
        <v>1610</v>
      </c>
      <c r="I60" s="62">
        <f t="shared" ref="I60" si="46">SUM(I61:I68)</f>
        <v>1610</v>
      </c>
      <c r="J60" s="62">
        <f t="shared" ref="J60" si="47">SUM(J61:J68)</f>
        <v>1610</v>
      </c>
      <c r="K60" s="62">
        <f t="shared" ref="K60" si="48">SUM(K61:K68)</f>
        <v>1610</v>
      </c>
      <c r="L60" s="62">
        <f t="shared" ref="L60" si="49">SUM(L61:L68)</f>
        <v>1610</v>
      </c>
      <c r="M60" s="62">
        <f t="shared" ref="M60" si="50">SUM(M61:M68)</f>
        <v>1610</v>
      </c>
      <c r="N60" s="62">
        <f t="shared" ref="N60" si="51">SUM(N61:N68)</f>
        <v>1610</v>
      </c>
      <c r="O60" s="62">
        <f t="shared" ref="O60" si="52">SUM(O61:O68)</f>
        <v>1610</v>
      </c>
    </row>
    <row r="61" spans="3:17">
      <c r="C61" s="8" t="s">
        <v>92</v>
      </c>
      <c r="D61" s="1" t="s">
        <v>21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3:17">
      <c r="C62" s="8" t="s">
        <v>92</v>
      </c>
      <c r="D62" s="1" t="s">
        <v>24</v>
      </c>
      <c r="E62" s="5">
        <v>1610</v>
      </c>
      <c r="F62" s="4">
        <f t="shared" ref="F62:O62" si="53">E62</f>
        <v>1610</v>
      </c>
      <c r="G62" s="4">
        <f t="shared" si="53"/>
        <v>1610</v>
      </c>
      <c r="H62" s="4">
        <f t="shared" si="53"/>
        <v>1610</v>
      </c>
      <c r="I62" s="4">
        <f t="shared" si="53"/>
        <v>1610</v>
      </c>
      <c r="J62" s="4">
        <f t="shared" si="53"/>
        <v>1610</v>
      </c>
      <c r="K62" s="4">
        <f t="shared" si="53"/>
        <v>1610</v>
      </c>
      <c r="L62" s="4">
        <f t="shared" si="53"/>
        <v>1610</v>
      </c>
      <c r="M62" s="4">
        <f t="shared" si="53"/>
        <v>1610</v>
      </c>
      <c r="N62" s="4">
        <f t="shared" si="53"/>
        <v>1610</v>
      </c>
      <c r="O62" s="4">
        <f t="shared" si="53"/>
        <v>1610</v>
      </c>
    </row>
    <row r="63" spans="3:17">
      <c r="C63" s="8" t="s">
        <v>92</v>
      </c>
      <c r="D63" s="1" t="s">
        <v>25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3:17">
      <c r="C64" s="8" t="s">
        <v>92</v>
      </c>
      <c r="D64" s="1" t="s">
        <v>26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3:15">
      <c r="C65" s="8" t="s">
        <v>92</v>
      </c>
      <c r="D65" s="1" t="s">
        <v>27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3:15">
      <c r="C66" s="8" t="s">
        <v>92</v>
      </c>
      <c r="D66" s="1" t="s">
        <v>61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>
      <c r="C67" s="8" t="s">
        <v>92</v>
      </c>
      <c r="D67" s="1" t="s">
        <v>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3:15">
      <c r="C68" s="8" t="s">
        <v>92</v>
      </c>
      <c r="D68" s="1" t="s">
        <v>30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3:15">
      <c r="C69" s="61" t="s">
        <v>93</v>
      </c>
      <c r="D69" s="61"/>
      <c r="E69" s="62">
        <f>SUM(E70:E77)</f>
        <v>1200</v>
      </c>
      <c r="F69" s="62">
        <f t="shared" ref="F69" si="54">SUM(F70:F77)</f>
        <v>1200</v>
      </c>
      <c r="G69" s="62">
        <f t="shared" ref="G69" si="55">SUM(G70:G77)</f>
        <v>1200</v>
      </c>
      <c r="H69" s="62">
        <f t="shared" ref="H69" si="56">SUM(H70:H77)</f>
        <v>1200</v>
      </c>
      <c r="I69" s="62">
        <f t="shared" ref="I69" si="57">SUM(I70:I77)</f>
        <v>1200</v>
      </c>
      <c r="J69" s="62">
        <f t="shared" ref="J69" si="58">SUM(J70:J77)</f>
        <v>1200</v>
      </c>
      <c r="K69" s="62">
        <f t="shared" ref="K69" si="59">SUM(K70:K77)</f>
        <v>1200</v>
      </c>
      <c r="L69" s="62">
        <f t="shared" ref="L69" si="60">SUM(L70:L77)</f>
        <v>1200</v>
      </c>
      <c r="M69" s="62">
        <f t="shared" ref="M69" si="61">SUM(M70:M77)</f>
        <v>1200</v>
      </c>
      <c r="N69" s="62">
        <f t="shared" ref="N69" si="62">SUM(N70:N77)</f>
        <v>1200</v>
      </c>
      <c r="O69" s="62">
        <f t="shared" ref="O69" si="63">SUM(O70:O77)</f>
        <v>1200</v>
      </c>
    </row>
    <row r="70" spans="3:15">
      <c r="C70" s="8" t="s">
        <v>93</v>
      </c>
      <c r="D70" s="1" t="s">
        <v>21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3:15">
      <c r="C71" s="8" t="s">
        <v>93</v>
      </c>
      <c r="D71" s="1" t="s">
        <v>24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3:15">
      <c r="C72" s="8" t="s">
        <v>93</v>
      </c>
      <c r="D72" s="1" t="s">
        <v>25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3:15">
      <c r="C73" s="8" t="s">
        <v>93</v>
      </c>
      <c r="D73" s="1" t="s">
        <v>26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3:15">
      <c r="C74" s="8" t="s">
        <v>93</v>
      </c>
      <c r="D74" s="1" t="s">
        <v>27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3:15">
      <c r="C75" s="8" t="s">
        <v>93</v>
      </c>
      <c r="D75" s="1" t="s">
        <v>61</v>
      </c>
      <c r="E75" s="5">
        <v>1200</v>
      </c>
      <c r="F75" s="4">
        <f t="shared" ref="F75:O75" si="64">E75</f>
        <v>1200</v>
      </c>
      <c r="G75" s="4">
        <f t="shared" si="64"/>
        <v>1200</v>
      </c>
      <c r="H75" s="4">
        <f t="shared" si="64"/>
        <v>1200</v>
      </c>
      <c r="I75" s="4">
        <f t="shared" si="64"/>
        <v>1200</v>
      </c>
      <c r="J75" s="4">
        <f t="shared" si="64"/>
        <v>1200</v>
      </c>
      <c r="K75" s="4">
        <f t="shared" si="64"/>
        <v>1200</v>
      </c>
      <c r="L75" s="4">
        <f t="shared" si="64"/>
        <v>1200</v>
      </c>
      <c r="M75" s="4">
        <f t="shared" si="64"/>
        <v>1200</v>
      </c>
      <c r="N75" s="4">
        <f t="shared" si="64"/>
        <v>1200</v>
      </c>
      <c r="O75" s="4">
        <f t="shared" si="64"/>
        <v>1200</v>
      </c>
    </row>
    <row r="76" spans="3:15">
      <c r="C76" s="8" t="s">
        <v>93</v>
      </c>
      <c r="D76" s="1" t="s">
        <v>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3:15">
      <c r="C77" s="8" t="s">
        <v>93</v>
      </c>
      <c r="D77" s="1" t="s">
        <v>30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3:15">
      <c r="C78" s="61" t="s">
        <v>94</v>
      </c>
      <c r="D78" s="61"/>
      <c r="E78" s="62">
        <f>SUM(E79:E86)</f>
        <v>6938</v>
      </c>
      <c r="F78" s="62">
        <f t="shared" ref="F78" si="65">SUM(F79:F86)</f>
        <v>6938</v>
      </c>
      <c r="G78" s="62">
        <f t="shared" ref="G78" si="66">SUM(G79:G86)</f>
        <v>6938</v>
      </c>
      <c r="H78" s="62">
        <f t="shared" ref="H78" si="67">SUM(H79:H86)</f>
        <v>6938</v>
      </c>
      <c r="I78" s="62">
        <f t="shared" ref="I78" si="68">SUM(I79:I86)</f>
        <v>6938</v>
      </c>
      <c r="J78" s="62">
        <f t="shared" ref="J78" si="69">SUM(J79:J86)</f>
        <v>6938</v>
      </c>
      <c r="K78" s="62">
        <f t="shared" ref="K78" si="70">SUM(K79:K86)</f>
        <v>6938</v>
      </c>
      <c r="L78" s="62">
        <f t="shared" ref="L78" si="71">SUM(L79:L86)</f>
        <v>6938</v>
      </c>
      <c r="M78" s="62">
        <f t="shared" ref="M78" si="72">SUM(M79:M86)</f>
        <v>6938</v>
      </c>
      <c r="N78" s="62">
        <f t="shared" ref="N78" si="73">SUM(N79:N86)</f>
        <v>6938</v>
      </c>
      <c r="O78" s="62">
        <f t="shared" ref="O78" si="74">SUM(O79:O86)</f>
        <v>6938</v>
      </c>
    </row>
    <row r="79" spans="3:15">
      <c r="C79" s="8" t="s">
        <v>94</v>
      </c>
      <c r="D79" s="1" t="s">
        <v>21</v>
      </c>
      <c r="E79" s="5">
        <v>6938</v>
      </c>
      <c r="F79" s="4">
        <f>E79</f>
        <v>6938</v>
      </c>
      <c r="G79" s="4">
        <f t="shared" ref="G79:O79" si="75">F79</f>
        <v>6938</v>
      </c>
      <c r="H79" s="4">
        <f t="shared" si="75"/>
        <v>6938</v>
      </c>
      <c r="I79" s="4">
        <f t="shared" si="75"/>
        <v>6938</v>
      </c>
      <c r="J79" s="4">
        <f t="shared" si="75"/>
        <v>6938</v>
      </c>
      <c r="K79" s="4">
        <f t="shared" si="75"/>
        <v>6938</v>
      </c>
      <c r="L79" s="4">
        <f t="shared" si="75"/>
        <v>6938</v>
      </c>
      <c r="M79" s="4">
        <f t="shared" si="75"/>
        <v>6938</v>
      </c>
      <c r="N79" s="4">
        <f t="shared" si="75"/>
        <v>6938</v>
      </c>
      <c r="O79" s="4">
        <f t="shared" si="75"/>
        <v>6938</v>
      </c>
    </row>
    <row r="80" spans="3:15">
      <c r="C80" s="8" t="s">
        <v>94</v>
      </c>
      <c r="D80" s="1" t="s">
        <v>24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3:15">
      <c r="C81" s="8" t="s">
        <v>94</v>
      </c>
      <c r="D81" s="1" t="s">
        <v>25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3:15">
      <c r="C82" s="8" t="s">
        <v>94</v>
      </c>
      <c r="D82" s="1" t="s">
        <v>26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3:15">
      <c r="C83" s="8" t="s">
        <v>94</v>
      </c>
      <c r="D83" s="1" t="s">
        <v>27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3:15">
      <c r="C84" s="8" t="s">
        <v>94</v>
      </c>
      <c r="D84" s="1" t="s">
        <v>61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3:15">
      <c r="C85" s="8" t="s">
        <v>94</v>
      </c>
      <c r="D85" s="1" t="s">
        <v>29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3:15">
      <c r="C86" s="8" t="s">
        <v>94</v>
      </c>
      <c r="D86" s="1" t="s">
        <v>30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3:15">
      <c r="C87" s="61" t="s">
        <v>95</v>
      </c>
      <c r="D87" s="61"/>
      <c r="E87" s="62">
        <f>SUM(E88:E95)</f>
        <v>600</v>
      </c>
      <c r="F87" s="62">
        <f t="shared" ref="F87" si="76">SUM(F88:F95)</f>
        <v>600</v>
      </c>
      <c r="G87" s="62">
        <f t="shared" ref="G87" si="77">SUM(G88:G95)</f>
        <v>600</v>
      </c>
      <c r="H87" s="62">
        <f t="shared" ref="H87" si="78">SUM(H88:H95)</f>
        <v>600</v>
      </c>
      <c r="I87" s="62">
        <f t="shared" ref="I87" si="79">SUM(I88:I95)</f>
        <v>600</v>
      </c>
      <c r="J87" s="62">
        <f t="shared" ref="J87" si="80">SUM(J88:J95)</f>
        <v>600</v>
      </c>
      <c r="K87" s="62">
        <f t="shared" ref="K87" si="81">SUM(K88:K95)</f>
        <v>600</v>
      </c>
      <c r="L87" s="62">
        <f t="shared" ref="L87" si="82">SUM(L88:L95)</f>
        <v>600</v>
      </c>
      <c r="M87" s="62">
        <f t="shared" ref="M87" si="83">SUM(M88:M95)</f>
        <v>600</v>
      </c>
      <c r="N87" s="62">
        <f t="shared" ref="N87" si="84">SUM(N88:N95)</f>
        <v>600</v>
      </c>
      <c r="O87" s="62">
        <f t="shared" ref="O87" si="85">SUM(O88:O95)</f>
        <v>600</v>
      </c>
    </row>
    <row r="88" spans="3:15">
      <c r="C88" s="8" t="s">
        <v>95</v>
      </c>
      <c r="D88" s="1" t="s">
        <v>21</v>
      </c>
      <c r="E88" s="5">
        <v>600</v>
      </c>
      <c r="F88" s="4">
        <f>E88</f>
        <v>600</v>
      </c>
      <c r="G88" s="4">
        <f t="shared" ref="G88:O88" si="86">F88</f>
        <v>600</v>
      </c>
      <c r="H88" s="4">
        <f t="shared" si="86"/>
        <v>600</v>
      </c>
      <c r="I88" s="4">
        <f t="shared" si="86"/>
        <v>600</v>
      </c>
      <c r="J88" s="4">
        <f t="shared" si="86"/>
        <v>600</v>
      </c>
      <c r="K88" s="4">
        <f t="shared" si="86"/>
        <v>600</v>
      </c>
      <c r="L88" s="4">
        <f t="shared" si="86"/>
        <v>600</v>
      </c>
      <c r="M88" s="4">
        <f t="shared" si="86"/>
        <v>600</v>
      </c>
      <c r="N88" s="4">
        <f t="shared" si="86"/>
        <v>600</v>
      </c>
      <c r="O88" s="4">
        <f t="shared" si="86"/>
        <v>600</v>
      </c>
    </row>
    <row r="89" spans="3:15">
      <c r="C89" s="8" t="s">
        <v>95</v>
      </c>
      <c r="D89" s="1" t="s">
        <v>24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3:15">
      <c r="C90" s="8" t="s">
        <v>95</v>
      </c>
      <c r="D90" s="1" t="s">
        <v>25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3:15">
      <c r="C91" s="8" t="s">
        <v>95</v>
      </c>
      <c r="D91" s="1" t="s">
        <v>26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3:15">
      <c r="C92" s="8" t="s">
        <v>95</v>
      </c>
      <c r="D92" s="1" t="s">
        <v>27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3:15">
      <c r="C93" s="8" t="s">
        <v>95</v>
      </c>
      <c r="D93" s="1" t="s">
        <v>61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3:15">
      <c r="C94" s="8" t="s">
        <v>95</v>
      </c>
      <c r="D94" s="1" t="s">
        <v>29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3:15">
      <c r="C95" s="8" t="s">
        <v>95</v>
      </c>
      <c r="D95" s="1" t="s">
        <v>30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3:15">
      <c r="C96" s="61" t="s">
        <v>96</v>
      </c>
      <c r="D96" s="61"/>
      <c r="E96" s="62">
        <f>SUM(E97:E104)</f>
        <v>3600</v>
      </c>
      <c r="F96" s="62">
        <f t="shared" ref="F96" si="87">SUM(F97:F104)</f>
        <v>3600</v>
      </c>
      <c r="G96" s="62">
        <f t="shared" ref="G96" si="88">SUM(G97:G104)</f>
        <v>3600</v>
      </c>
      <c r="H96" s="62">
        <f t="shared" ref="H96" si="89">SUM(H97:H104)</f>
        <v>3600</v>
      </c>
      <c r="I96" s="62">
        <f t="shared" ref="I96" si="90">SUM(I97:I104)</f>
        <v>3600</v>
      </c>
      <c r="J96" s="62">
        <f t="shared" ref="J96" si="91">SUM(J97:J104)</f>
        <v>3600</v>
      </c>
      <c r="K96" s="62">
        <f t="shared" ref="K96" si="92">SUM(K97:K104)</f>
        <v>3600</v>
      </c>
      <c r="L96" s="62">
        <f t="shared" ref="L96" si="93">SUM(L97:L104)</f>
        <v>3600</v>
      </c>
      <c r="M96" s="62">
        <f t="shared" ref="M96" si="94">SUM(M97:M104)</f>
        <v>3600</v>
      </c>
      <c r="N96" s="62">
        <f t="shared" ref="N96" si="95">SUM(N97:N104)</f>
        <v>3600</v>
      </c>
      <c r="O96" s="62">
        <f t="shared" ref="O96" si="96">SUM(O97:O104)</f>
        <v>3600</v>
      </c>
    </row>
    <row r="97" spans="3:15">
      <c r="C97" s="8" t="s">
        <v>96</v>
      </c>
      <c r="D97" s="1" t="s">
        <v>21</v>
      </c>
    </row>
    <row r="98" spans="3:15">
      <c r="C98" s="8" t="s">
        <v>96</v>
      </c>
      <c r="D98" s="1" t="s">
        <v>24</v>
      </c>
    </row>
    <row r="99" spans="3:15">
      <c r="C99" s="8" t="s">
        <v>96</v>
      </c>
      <c r="D99" s="1" t="s">
        <v>25</v>
      </c>
    </row>
    <row r="100" spans="3:15">
      <c r="C100" s="8" t="s">
        <v>96</v>
      </c>
      <c r="D100" s="1" t="s">
        <v>26</v>
      </c>
    </row>
    <row r="101" spans="3:15">
      <c r="C101" s="8" t="s">
        <v>96</v>
      </c>
      <c r="D101" s="1" t="s">
        <v>27</v>
      </c>
      <c r="E101" s="5">
        <v>3600</v>
      </c>
      <c r="F101" s="4">
        <f>E101</f>
        <v>3600</v>
      </c>
      <c r="G101" s="4">
        <f t="shared" ref="G101:O101" si="97">F101</f>
        <v>3600</v>
      </c>
      <c r="H101" s="4">
        <f t="shared" si="97"/>
        <v>3600</v>
      </c>
      <c r="I101" s="4">
        <f t="shared" si="97"/>
        <v>3600</v>
      </c>
      <c r="J101" s="4">
        <f t="shared" si="97"/>
        <v>3600</v>
      </c>
      <c r="K101" s="4">
        <f t="shared" si="97"/>
        <v>3600</v>
      </c>
      <c r="L101" s="4">
        <f t="shared" si="97"/>
        <v>3600</v>
      </c>
      <c r="M101" s="4">
        <f t="shared" si="97"/>
        <v>3600</v>
      </c>
      <c r="N101" s="4">
        <f t="shared" si="97"/>
        <v>3600</v>
      </c>
      <c r="O101" s="4">
        <f t="shared" si="97"/>
        <v>3600</v>
      </c>
    </row>
    <row r="102" spans="3:15">
      <c r="C102" s="8" t="s">
        <v>96</v>
      </c>
      <c r="D102" s="1" t="s">
        <v>61</v>
      </c>
    </row>
    <row r="103" spans="3:15">
      <c r="C103" s="8" t="s">
        <v>96</v>
      </c>
      <c r="D103" s="1" t="s">
        <v>29</v>
      </c>
    </row>
    <row r="104" spans="3:15">
      <c r="C104" s="8" t="s">
        <v>96</v>
      </c>
      <c r="D104" s="1" t="s">
        <v>30</v>
      </c>
    </row>
    <row r="105" spans="3:15">
      <c r="C105" s="61" t="s">
        <v>97</v>
      </c>
      <c r="D105" s="61"/>
      <c r="E105" s="62">
        <f>SUM(E106:E113)</f>
        <v>7200</v>
      </c>
      <c r="F105" s="62">
        <f t="shared" ref="F105" si="98">SUM(F106:F113)</f>
        <v>7200</v>
      </c>
      <c r="G105" s="62">
        <f t="shared" ref="G105" si="99">SUM(G106:G113)</f>
        <v>7200</v>
      </c>
      <c r="H105" s="62">
        <f t="shared" ref="H105" si="100">SUM(H106:H113)</f>
        <v>7200</v>
      </c>
      <c r="I105" s="62">
        <f t="shared" ref="I105" si="101">SUM(I106:I113)</f>
        <v>7200</v>
      </c>
      <c r="J105" s="62">
        <f t="shared" ref="J105" si="102">SUM(J106:J113)</f>
        <v>7200</v>
      </c>
      <c r="K105" s="62">
        <f t="shared" ref="K105" si="103">SUM(K106:K113)</f>
        <v>7200</v>
      </c>
      <c r="L105" s="62">
        <f t="shared" ref="L105" si="104">SUM(L106:L113)</f>
        <v>7200</v>
      </c>
      <c r="M105" s="62">
        <f t="shared" ref="M105" si="105">SUM(M106:M113)</f>
        <v>7200</v>
      </c>
      <c r="N105" s="62">
        <f t="shared" ref="N105" si="106">SUM(N106:N113)</f>
        <v>7200</v>
      </c>
      <c r="O105" s="62">
        <f t="shared" ref="O105" si="107">SUM(O106:O113)</f>
        <v>7200</v>
      </c>
    </row>
    <row r="106" spans="3:15">
      <c r="C106" s="8" t="s">
        <v>97</v>
      </c>
      <c r="D106" s="1" t="s">
        <v>21</v>
      </c>
    </row>
    <row r="107" spans="3:15">
      <c r="C107" s="8" t="s">
        <v>97</v>
      </c>
      <c r="D107" s="1" t="s">
        <v>24</v>
      </c>
    </row>
    <row r="108" spans="3:15">
      <c r="C108" s="8" t="s">
        <v>97</v>
      </c>
      <c r="D108" s="1" t="s">
        <v>25</v>
      </c>
    </row>
    <row r="109" spans="3:15">
      <c r="C109" s="8" t="s">
        <v>97</v>
      </c>
      <c r="D109" s="1" t="s">
        <v>26</v>
      </c>
    </row>
    <row r="110" spans="3:15">
      <c r="C110" s="8" t="s">
        <v>97</v>
      </c>
      <c r="D110" s="1" t="s">
        <v>27</v>
      </c>
      <c r="E110" s="5">
        <v>7200</v>
      </c>
      <c r="F110" s="4">
        <f>E110</f>
        <v>7200</v>
      </c>
      <c r="G110" s="4">
        <f t="shared" ref="G110:O110" si="108">F110</f>
        <v>7200</v>
      </c>
      <c r="H110" s="4">
        <f t="shared" si="108"/>
        <v>7200</v>
      </c>
      <c r="I110" s="4">
        <f t="shared" si="108"/>
        <v>7200</v>
      </c>
      <c r="J110" s="4">
        <f t="shared" si="108"/>
        <v>7200</v>
      </c>
      <c r="K110" s="4">
        <f t="shared" si="108"/>
        <v>7200</v>
      </c>
      <c r="L110" s="4">
        <f t="shared" si="108"/>
        <v>7200</v>
      </c>
      <c r="M110" s="4">
        <f t="shared" si="108"/>
        <v>7200</v>
      </c>
      <c r="N110" s="4">
        <f t="shared" si="108"/>
        <v>7200</v>
      </c>
      <c r="O110" s="4">
        <f t="shared" si="108"/>
        <v>7200</v>
      </c>
    </row>
    <row r="111" spans="3:15">
      <c r="C111" s="8" t="s">
        <v>97</v>
      </c>
      <c r="D111" s="1" t="s">
        <v>61</v>
      </c>
    </row>
    <row r="112" spans="3:15">
      <c r="C112" s="8" t="s">
        <v>97</v>
      </c>
      <c r="D112" s="1" t="s">
        <v>29</v>
      </c>
    </row>
    <row r="113" spans="3:15">
      <c r="C113" s="8" t="s">
        <v>97</v>
      </c>
      <c r="D113" s="1" t="s">
        <v>30</v>
      </c>
    </row>
    <row r="114" spans="3:15">
      <c r="C114" s="61" t="s">
        <v>98</v>
      </c>
      <c r="D114" s="61"/>
      <c r="E114" s="62">
        <f>SUM(E115:E122)</f>
        <v>480</v>
      </c>
      <c r="F114" s="62">
        <f t="shared" ref="F114" si="109">SUM(F115:F122)</f>
        <v>480</v>
      </c>
      <c r="G114" s="62">
        <f t="shared" ref="G114" si="110">SUM(G115:G122)</f>
        <v>480</v>
      </c>
      <c r="H114" s="62">
        <f t="shared" ref="H114" si="111">SUM(H115:H122)</f>
        <v>480</v>
      </c>
      <c r="I114" s="62">
        <f t="shared" ref="I114" si="112">SUM(I115:I122)</f>
        <v>480</v>
      </c>
      <c r="J114" s="62">
        <f t="shared" ref="J114" si="113">SUM(J115:J122)</f>
        <v>480</v>
      </c>
      <c r="K114" s="62">
        <f t="shared" ref="K114" si="114">SUM(K115:K122)</f>
        <v>480</v>
      </c>
      <c r="L114" s="62">
        <f t="shared" ref="L114" si="115">SUM(L115:L122)</f>
        <v>480</v>
      </c>
      <c r="M114" s="62">
        <f t="shared" ref="M114" si="116">SUM(M115:M122)</f>
        <v>480</v>
      </c>
      <c r="N114" s="62">
        <f t="shared" ref="N114" si="117">SUM(N115:N122)</f>
        <v>480</v>
      </c>
      <c r="O114" s="62">
        <f t="shared" ref="O114" si="118">SUM(O115:O122)</f>
        <v>480</v>
      </c>
    </row>
    <row r="115" spans="3:15">
      <c r="C115" s="8" t="s">
        <v>98</v>
      </c>
      <c r="D115" s="1" t="s">
        <v>21</v>
      </c>
    </row>
    <row r="116" spans="3:15">
      <c r="C116" s="8" t="s">
        <v>98</v>
      </c>
      <c r="D116" s="1" t="s">
        <v>24</v>
      </c>
    </row>
    <row r="117" spans="3:15">
      <c r="C117" s="8" t="s">
        <v>98</v>
      </c>
      <c r="D117" s="1" t="s">
        <v>25</v>
      </c>
    </row>
    <row r="118" spans="3:15">
      <c r="C118" s="8" t="s">
        <v>98</v>
      </c>
      <c r="D118" s="1" t="s">
        <v>26</v>
      </c>
    </row>
    <row r="119" spans="3:15">
      <c r="C119" s="8" t="s">
        <v>98</v>
      </c>
      <c r="D119" s="1" t="s">
        <v>27</v>
      </c>
      <c r="E119" s="5">
        <v>480</v>
      </c>
      <c r="F119" s="4">
        <f>E119</f>
        <v>480</v>
      </c>
      <c r="G119" s="4">
        <f t="shared" ref="G119:O119" si="119">F119</f>
        <v>480</v>
      </c>
      <c r="H119" s="4">
        <f t="shared" si="119"/>
        <v>480</v>
      </c>
      <c r="I119" s="4">
        <f t="shared" si="119"/>
        <v>480</v>
      </c>
      <c r="J119" s="4">
        <f t="shared" si="119"/>
        <v>480</v>
      </c>
      <c r="K119" s="4">
        <f t="shared" si="119"/>
        <v>480</v>
      </c>
      <c r="L119" s="4">
        <f t="shared" si="119"/>
        <v>480</v>
      </c>
      <c r="M119" s="4">
        <f t="shared" si="119"/>
        <v>480</v>
      </c>
      <c r="N119" s="4">
        <f t="shared" si="119"/>
        <v>480</v>
      </c>
      <c r="O119" s="4">
        <f t="shared" si="119"/>
        <v>480</v>
      </c>
    </row>
    <row r="120" spans="3:15">
      <c r="C120" s="8" t="s">
        <v>98</v>
      </c>
      <c r="D120" s="1" t="s">
        <v>61</v>
      </c>
    </row>
    <row r="121" spans="3:15">
      <c r="C121" s="8" t="s">
        <v>98</v>
      </c>
      <c r="D121" s="1" t="s">
        <v>29</v>
      </c>
    </row>
    <row r="122" spans="3:15">
      <c r="C122" s="8" t="s">
        <v>98</v>
      </c>
      <c r="D122" s="1" t="s">
        <v>30</v>
      </c>
    </row>
    <row r="123" spans="3:15">
      <c r="C123" s="61" t="s">
        <v>99</v>
      </c>
      <c r="D123" s="61"/>
      <c r="E123" s="62">
        <f>SUM(E124:E131)</f>
        <v>960</v>
      </c>
      <c r="F123" s="62">
        <f t="shared" ref="F123" si="120">SUM(F124:F131)</f>
        <v>960</v>
      </c>
      <c r="G123" s="62">
        <f t="shared" ref="G123" si="121">SUM(G124:G131)</f>
        <v>960</v>
      </c>
      <c r="H123" s="62">
        <f t="shared" ref="H123" si="122">SUM(H124:H131)</f>
        <v>960</v>
      </c>
      <c r="I123" s="62">
        <f t="shared" ref="I123" si="123">SUM(I124:I131)</f>
        <v>960</v>
      </c>
      <c r="J123" s="62">
        <f t="shared" ref="J123" si="124">SUM(J124:J131)</f>
        <v>960</v>
      </c>
      <c r="K123" s="62">
        <f t="shared" ref="K123" si="125">SUM(K124:K131)</f>
        <v>960</v>
      </c>
      <c r="L123" s="62">
        <f t="shared" ref="L123" si="126">SUM(L124:L131)</f>
        <v>960</v>
      </c>
      <c r="M123" s="62">
        <f t="shared" ref="M123" si="127">SUM(M124:M131)</f>
        <v>960</v>
      </c>
      <c r="N123" s="62">
        <f t="shared" ref="N123" si="128">SUM(N124:N131)</f>
        <v>960</v>
      </c>
      <c r="O123" s="62">
        <f t="shared" ref="O123" si="129">SUM(O124:O131)</f>
        <v>960</v>
      </c>
    </row>
    <row r="124" spans="3:15">
      <c r="C124" s="8" t="s">
        <v>99</v>
      </c>
      <c r="D124" s="1" t="s">
        <v>21</v>
      </c>
    </row>
    <row r="125" spans="3:15">
      <c r="C125" s="8" t="s">
        <v>99</v>
      </c>
      <c r="D125" s="1" t="s">
        <v>24</v>
      </c>
    </row>
    <row r="126" spans="3:15">
      <c r="C126" s="8" t="s">
        <v>99</v>
      </c>
      <c r="D126" s="1" t="s">
        <v>25</v>
      </c>
    </row>
    <row r="127" spans="3:15">
      <c r="C127" s="8" t="s">
        <v>99</v>
      </c>
      <c r="D127" s="1" t="s">
        <v>26</v>
      </c>
    </row>
    <row r="128" spans="3:15">
      <c r="C128" s="8" t="s">
        <v>99</v>
      </c>
      <c r="D128" s="1" t="s">
        <v>27</v>
      </c>
      <c r="E128" s="5">
        <v>960</v>
      </c>
      <c r="F128" s="4">
        <f>E128</f>
        <v>960</v>
      </c>
      <c r="G128" s="4">
        <f t="shared" ref="G128:O128" si="130">F128</f>
        <v>960</v>
      </c>
      <c r="H128" s="4">
        <f t="shared" si="130"/>
        <v>960</v>
      </c>
      <c r="I128" s="4">
        <f t="shared" si="130"/>
        <v>960</v>
      </c>
      <c r="J128" s="4">
        <f t="shared" si="130"/>
        <v>960</v>
      </c>
      <c r="K128" s="4">
        <f t="shared" si="130"/>
        <v>960</v>
      </c>
      <c r="L128" s="4">
        <f t="shared" si="130"/>
        <v>960</v>
      </c>
      <c r="M128" s="4">
        <f t="shared" si="130"/>
        <v>960</v>
      </c>
      <c r="N128" s="4">
        <f t="shared" si="130"/>
        <v>960</v>
      </c>
      <c r="O128" s="4">
        <f t="shared" si="130"/>
        <v>960</v>
      </c>
    </row>
    <row r="129" spans="3:18">
      <c r="C129" s="8" t="s">
        <v>99</v>
      </c>
      <c r="D129" s="1" t="s">
        <v>61</v>
      </c>
    </row>
    <row r="130" spans="3:18">
      <c r="C130" s="8" t="s">
        <v>99</v>
      </c>
      <c r="D130" s="1" t="s">
        <v>29</v>
      </c>
    </row>
    <row r="131" spans="3:18">
      <c r="C131" s="8" t="s">
        <v>99</v>
      </c>
      <c r="D131" s="1" t="s">
        <v>30</v>
      </c>
    </row>
    <row r="132" spans="3:18">
      <c r="C132" s="61" t="s">
        <v>100</v>
      </c>
      <c r="D132" s="61"/>
      <c r="E132" s="62">
        <f>SUM(E133:E140)</f>
        <v>0</v>
      </c>
      <c r="F132" s="62">
        <f t="shared" ref="F132" si="131">SUM(F133:F140)</f>
        <v>8040.1500000000005</v>
      </c>
      <c r="G132" s="62">
        <f t="shared" ref="G132" si="132">SUM(G133:G140)</f>
        <v>18277.339499999998</v>
      </c>
      <c r="H132" s="62">
        <f t="shared" ref="H132" si="133">SUM(H133:H140)</f>
        <v>31847.925734999997</v>
      </c>
      <c r="I132" s="62">
        <f t="shared" ref="I132" si="134">SUM(I133:I140)</f>
        <v>44468.57093355</v>
      </c>
      <c r="J132" s="62">
        <f t="shared" ref="J132" si="135">SUM(J133:J140)</f>
        <v>56205.770968201497</v>
      </c>
      <c r="K132" s="62">
        <f t="shared" ref="K132" si="136">SUM(K133:K140)</f>
        <v>67121.367000427388</v>
      </c>
      <c r="L132" s="62">
        <f t="shared" ref="L132" si="137">SUM(L133:L140)</f>
        <v>77272.871310397473</v>
      </c>
      <c r="M132" s="62">
        <f t="shared" ref="M132" si="138">SUM(M133:M140)</f>
        <v>86713.77031866966</v>
      </c>
      <c r="N132" s="62">
        <f t="shared" ref="N132" si="139">SUM(N133:N140)</f>
        <v>95493.806396362779</v>
      </c>
      <c r="O132" s="62">
        <f t="shared" ref="O132" si="140">SUM(O133:O140)</f>
        <v>103659.23994861741</v>
      </c>
    </row>
    <row r="133" spans="3:18">
      <c r="C133" s="8" t="s">
        <v>100</v>
      </c>
      <c r="D133" s="1" t="s">
        <v>21</v>
      </c>
      <c r="E133" s="7"/>
      <c r="F133" s="7">
        <f>(契約数!F8+契約数!F29)/2*固定費!$Q$133</f>
        <v>8040.1500000000005</v>
      </c>
      <c r="G133" s="7">
        <f>(契約数!G8+契約数!G29)/2*固定費!$Q$133</f>
        <v>18277.339499999998</v>
      </c>
      <c r="H133" s="7">
        <f>(契約数!H8+契約数!H29)/2*固定費!$Q$133</f>
        <v>31847.925734999997</v>
      </c>
      <c r="I133" s="7">
        <f>(契約数!I8+契約数!I29)/2*固定費!$Q$133</f>
        <v>44468.57093355</v>
      </c>
      <c r="J133" s="7">
        <f>(契約数!J8+契約数!J29)/2*固定費!$Q$133</f>
        <v>56205.770968201497</v>
      </c>
      <c r="K133" s="7">
        <f>(契約数!K8+契約数!K29)/2*固定費!$Q$133</f>
        <v>67121.367000427388</v>
      </c>
      <c r="L133" s="7">
        <f>(契約数!L8+契約数!L29)/2*固定費!$Q$133</f>
        <v>77272.871310397473</v>
      </c>
      <c r="M133" s="7">
        <f>(契約数!M8+契約数!M29)/2*固定費!$Q$133</f>
        <v>86713.77031866966</v>
      </c>
      <c r="N133" s="7">
        <f>(契約数!N8+契約数!N29)/2*固定費!$Q$133</f>
        <v>95493.806396362779</v>
      </c>
      <c r="O133" s="7">
        <f>(契約数!O8+契約数!O29)/2*固定費!$Q$133</f>
        <v>103659.23994861741</v>
      </c>
      <c r="Q133" s="2">
        <v>90</v>
      </c>
      <c r="R133" s="1" t="s">
        <v>86</v>
      </c>
    </row>
    <row r="134" spans="3:18">
      <c r="C134" s="8" t="s">
        <v>100</v>
      </c>
      <c r="D134" s="1" t="s">
        <v>24</v>
      </c>
    </row>
    <row r="135" spans="3:18">
      <c r="C135" s="8" t="s">
        <v>100</v>
      </c>
      <c r="D135" s="1" t="s">
        <v>25</v>
      </c>
    </row>
    <row r="136" spans="3:18">
      <c r="C136" s="8" t="s">
        <v>100</v>
      </c>
      <c r="D136" s="1" t="s">
        <v>26</v>
      </c>
    </row>
    <row r="137" spans="3:18">
      <c r="C137" s="8" t="s">
        <v>100</v>
      </c>
      <c r="D137" s="1" t="s">
        <v>27</v>
      </c>
    </row>
    <row r="138" spans="3:18">
      <c r="C138" s="8" t="s">
        <v>100</v>
      </c>
      <c r="D138" s="1" t="s">
        <v>61</v>
      </c>
    </row>
    <row r="139" spans="3:18">
      <c r="C139" s="8" t="s">
        <v>100</v>
      </c>
      <c r="D139" s="1" t="s">
        <v>29</v>
      </c>
    </row>
    <row r="140" spans="3:18">
      <c r="C140" s="8" t="s">
        <v>100</v>
      </c>
      <c r="D140" s="1" t="s">
        <v>30</v>
      </c>
    </row>
    <row r="141" spans="3:18">
      <c r="C141" s="61" t="s">
        <v>101</v>
      </c>
      <c r="D141" s="61"/>
      <c r="E141" s="62">
        <f>SUM(E142:E149)</f>
        <v>5</v>
      </c>
      <c r="F141" s="62">
        <f t="shared" ref="F141" si="141">SUM(F142:F149)</f>
        <v>5</v>
      </c>
      <c r="G141" s="62">
        <f t="shared" ref="G141" si="142">SUM(G142:G149)</f>
        <v>5</v>
      </c>
      <c r="H141" s="62">
        <f t="shared" ref="H141" si="143">SUM(H142:H149)</f>
        <v>5</v>
      </c>
      <c r="I141" s="62">
        <f t="shared" ref="I141" si="144">SUM(I142:I149)</f>
        <v>5</v>
      </c>
      <c r="J141" s="62">
        <f t="shared" ref="J141" si="145">SUM(J142:J149)</f>
        <v>5</v>
      </c>
      <c r="K141" s="62">
        <f t="shared" ref="K141" si="146">SUM(K142:K149)</f>
        <v>5</v>
      </c>
      <c r="L141" s="62">
        <f t="shared" ref="L141" si="147">SUM(L142:L149)</f>
        <v>5</v>
      </c>
      <c r="M141" s="62">
        <f t="shared" ref="M141" si="148">SUM(M142:M149)</f>
        <v>5</v>
      </c>
      <c r="N141" s="62">
        <f t="shared" ref="N141" si="149">SUM(N142:N149)</f>
        <v>5</v>
      </c>
      <c r="O141" s="62">
        <f t="shared" ref="O141" si="150">SUM(O142:O149)</f>
        <v>5</v>
      </c>
    </row>
    <row r="142" spans="3:18">
      <c r="C142" s="8" t="s">
        <v>101</v>
      </c>
      <c r="D142" s="1" t="s">
        <v>21</v>
      </c>
    </row>
    <row r="143" spans="3:18">
      <c r="C143" s="8" t="s">
        <v>101</v>
      </c>
      <c r="D143" s="1" t="s">
        <v>24</v>
      </c>
    </row>
    <row r="144" spans="3:18">
      <c r="C144" s="8" t="s">
        <v>101</v>
      </c>
      <c r="D144" s="1" t="s">
        <v>25</v>
      </c>
    </row>
    <row r="145" spans="3:15">
      <c r="C145" s="8" t="s">
        <v>101</v>
      </c>
      <c r="D145" s="1" t="s">
        <v>26</v>
      </c>
    </row>
    <row r="146" spans="3:15">
      <c r="C146" s="8" t="s">
        <v>101</v>
      </c>
      <c r="D146" s="1" t="s">
        <v>27</v>
      </c>
      <c r="E146" s="5">
        <v>5</v>
      </c>
      <c r="F146" s="4">
        <f>E146</f>
        <v>5</v>
      </c>
      <c r="G146" s="4">
        <f t="shared" ref="G146:O146" si="151">F146</f>
        <v>5</v>
      </c>
      <c r="H146" s="4">
        <f t="shared" si="151"/>
        <v>5</v>
      </c>
      <c r="I146" s="4">
        <f t="shared" si="151"/>
        <v>5</v>
      </c>
      <c r="J146" s="4">
        <f t="shared" si="151"/>
        <v>5</v>
      </c>
      <c r="K146" s="4">
        <f t="shared" si="151"/>
        <v>5</v>
      </c>
      <c r="L146" s="4">
        <f t="shared" si="151"/>
        <v>5</v>
      </c>
      <c r="M146" s="4">
        <f t="shared" si="151"/>
        <v>5</v>
      </c>
      <c r="N146" s="4">
        <f t="shared" si="151"/>
        <v>5</v>
      </c>
      <c r="O146" s="4">
        <f t="shared" si="151"/>
        <v>5</v>
      </c>
    </row>
    <row r="147" spans="3:15">
      <c r="C147" s="8" t="s">
        <v>101</v>
      </c>
      <c r="D147" s="1" t="s">
        <v>61</v>
      </c>
    </row>
    <row r="148" spans="3:15">
      <c r="C148" s="8" t="s">
        <v>101</v>
      </c>
      <c r="D148" s="1" t="s">
        <v>29</v>
      </c>
    </row>
    <row r="149" spans="3:15">
      <c r="C149" s="8" t="s">
        <v>101</v>
      </c>
      <c r="D149" s="1" t="s">
        <v>30</v>
      </c>
    </row>
    <row r="150" spans="3:15">
      <c r="C150" s="61" t="s">
        <v>102</v>
      </c>
      <c r="D150" s="61"/>
      <c r="E150" s="62">
        <f>SUM(E151:E158)</f>
        <v>0</v>
      </c>
      <c r="F150" s="62">
        <v>12280</v>
      </c>
      <c r="G150" s="62">
        <v>16000</v>
      </c>
      <c r="H150" s="62">
        <f>G150</f>
        <v>16000</v>
      </c>
      <c r="I150" s="62">
        <f t="shared" ref="I150:O150" si="152">H150</f>
        <v>16000</v>
      </c>
      <c r="J150" s="62">
        <f t="shared" si="152"/>
        <v>16000</v>
      </c>
      <c r="K150" s="62">
        <f t="shared" si="152"/>
        <v>16000</v>
      </c>
      <c r="L150" s="62">
        <f t="shared" si="152"/>
        <v>16000</v>
      </c>
      <c r="M150" s="62">
        <f t="shared" si="152"/>
        <v>16000</v>
      </c>
      <c r="N150" s="62">
        <f t="shared" si="152"/>
        <v>16000</v>
      </c>
      <c r="O150" s="62">
        <f t="shared" si="152"/>
        <v>16000</v>
      </c>
    </row>
    <row r="151" spans="3:15">
      <c r="C151" s="8" t="s">
        <v>102</v>
      </c>
      <c r="D151" s="1" t="s">
        <v>21</v>
      </c>
      <c r="F151" s="4">
        <f>F150*売上高!F5/売上高!F4</f>
        <v>4935.9385527817167</v>
      </c>
      <c r="G151" s="4">
        <f>G150*売上高!G5/売上高!G4</f>
        <v>9705.8506498929182</v>
      </c>
      <c r="H151" s="4">
        <f>H150*売上高!H5/売上高!H4</f>
        <v>10846.705740739122</v>
      </c>
      <c r="I151" s="4">
        <f>I150*売上高!I5/売上高!I4</f>
        <v>11375.477111137232</v>
      </c>
      <c r="J151" s="4">
        <f>J150*売上高!J5/売上高!J4</f>
        <v>11622.764143298511</v>
      </c>
      <c r="K151" s="4">
        <f>K150*売上高!K5/売上高!K4</f>
        <v>11762.256085856498</v>
      </c>
      <c r="L151" s="4">
        <f>L150*売上高!L5/売上高!L4</f>
        <v>11848.117689994189</v>
      </c>
      <c r="M151" s="4">
        <f>M150*売上高!M5/売上高!M4</f>
        <v>11902.772224323138</v>
      </c>
      <c r="N151" s="4">
        <f>N150*売上高!N5/売上高!N4</f>
        <v>11937.226474576128</v>
      </c>
      <c r="O151" s="4">
        <f>O150*売上高!O5/売上高!O4</f>
        <v>11957.549927598409</v>
      </c>
    </row>
    <row r="152" spans="3:15">
      <c r="C152" s="8" t="s">
        <v>102</v>
      </c>
      <c r="D152" s="1" t="s">
        <v>24</v>
      </c>
      <c r="F152" s="4">
        <f>F150*売上高!F6/売上高!F4</f>
        <v>1610.4094449003828</v>
      </c>
      <c r="G152" s="4">
        <f>G150*売上高!G6/売上高!G4</f>
        <v>829.01134040878026</v>
      </c>
      <c r="H152" s="4">
        <f>H150*売上高!H6/売上高!H4</f>
        <v>412.24727968231889</v>
      </c>
      <c r="I152" s="4">
        <f>I150*売上高!I6/売上高!I4</f>
        <v>241.96174612877206</v>
      </c>
      <c r="J152" s="4">
        <f>J150*売上高!J6/売上高!J4</f>
        <v>162.53029281541185</v>
      </c>
      <c r="K152" s="4">
        <f>K150*売上高!K6/売上高!K4</f>
        <v>117.1802215748971</v>
      </c>
      <c r="L152" s="4">
        <f>L150*売上高!L6/売上高!L4</f>
        <v>88.243655164066965</v>
      </c>
      <c r="M152" s="4">
        <f>M150*売上高!M6/売上高!M4</f>
        <v>68.43689709100957</v>
      </c>
      <c r="N152" s="4">
        <f>N150*売上高!N6/売上高!N4</f>
        <v>54.210470481895719</v>
      </c>
      <c r="O152" s="4">
        <f>O150*売上高!O6/売上高!O4</f>
        <v>43.629193375763741</v>
      </c>
    </row>
    <row r="153" spans="3:15">
      <c r="C153" s="8" t="s">
        <v>102</v>
      </c>
      <c r="D153" s="1" t="s">
        <v>25</v>
      </c>
      <c r="F153" s="4">
        <f>F150*売上高!F7/売上高!F4</f>
        <v>1013.2689862058486</v>
      </c>
      <c r="G153" s="4">
        <f>G150*売上高!G7/売上高!G4</f>
        <v>1835.0961370389921</v>
      </c>
      <c r="H153" s="4">
        <f>H150*売上高!H7/売上高!H4</f>
        <v>1995.7359092686711</v>
      </c>
      <c r="I153" s="4">
        <f>I150*売上高!I7/売上高!I4</f>
        <v>2009.5970540225251</v>
      </c>
      <c r="J153" s="4">
        <f>J150*売上高!J7/売上高!J4</f>
        <v>1989.7217599172918</v>
      </c>
      <c r="K153" s="4">
        <f>K150*売上高!K7/売上高!K4</f>
        <v>1958.7508724521231</v>
      </c>
      <c r="L153" s="4">
        <f>L150*売上高!L7/売上高!L4</f>
        <v>1923.6494805152543</v>
      </c>
      <c r="M153" s="4">
        <f>M150*売上高!M7/売上高!M4</f>
        <v>1887.2222897841332</v>
      </c>
      <c r="N153" s="4">
        <f>N150*売上高!N7/売上高!N4</f>
        <v>1850.7800294416384</v>
      </c>
      <c r="O153" s="4">
        <f>O150*売上高!O7/売上高!O4</f>
        <v>1814.9895675576602</v>
      </c>
    </row>
    <row r="154" spans="3:15">
      <c r="C154" s="8" t="s">
        <v>102</v>
      </c>
      <c r="D154" s="1" t="s">
        <v>26</v>
      </c>
      <c r="F154" s="4">
        <f>F150*売上高!F8/売上高!F4</f>
        <v>737.39031886201872</v>
      </c>
      <c r="G154" s="4">
        <f>G150*売上高!G8/売上高!G4</f>
        <v>1300.0682712521918</v>
      </c>
      <c r="H154" s="4">
        <f>H150*売上高!H8/売上高!H4</f>
        <v>1428.6752831262299</v>
      </c>
      <c r="I154" s="4">
        <f>I150*売上高!I8/売上高!I4</f>
        <v>1494.8076404966857</v>
      </c>
      <c r="J154" s="4">
        <f>J150*売上高!J8/売上高!J4</f>
        <v>1554.6720569598001</v>
      </c>
      <c r="K154" s="4">
        <f>K150*売上高!K8/売上高!K4</f>
        <v>1612.6335250521656</v>
      </c>
      <c r="L154" s="4">
        <f>L150*売上高!L8/売上高!L4</f>
        <v>1670.0294319199634</v>
      </c>
      <c r="M154" s="4">
        <f>M150*売上高!M8/売上高!M4</f>
        <v>1727.3927059707364</v>
      </c>
      <c r="N154" s="4">
        <f>N150*売上高!N8/売上高!N4</f>
        <v>1784.9666324417321</v>
      </c>
      <c r="O154" s="4">
        <f>O150*売上高!O8/売上高!O4</f>
        <v>1842.869032204472</v>
      </c>
    </row>
    <row r="155" spans="3:15">
      <c r="C155" s="8" t="s">
        <v>102</v>
      </c>
      <c r="D155" s="1" t="s">
        <v>27</v>
      </c>
      <c r="F155" s="4">
        <f>F150*売上高!F9/売上高!F4</f>
        <v>1390.3619986686999</v>
      </c>
      <c r="G155" s="4">
        <f>G150*売上高!G9/売上高!G4</f>
        <v>813.334846316528</v>
      </c>
      <c r="H155" s="4">
        <f>H150*売上高!H9/売上高!H4</f>
        <v>459.60424829583707</v>
      </c>
      <c r="I155" s="4">
        <f>I150*売上高!I9/売上高!I4</f>
        <v>306.54220263238176</v>
      </c>
      <c r="J155" s="4">
        <f>J150*売上高!J9/売上高!J4</f>
        <v>233.98887498487818</v>
      </c>
      <c r="K155" s="4">
        <f>K150*売上高!K9/売上高!K4</f>
        <v>191.70460012148007</v>
      </c>
      <c r="L155" s="4">
        <f>L150*売上高!L9/売上高!L4</f>
        <v>164.05105818981346</v>
      </c>
      <c r="M155" s="4">
        <f>M150*売上高!M9/売上高!M4</f>
        <v>144.57832389470411</v>
      </c>
      <c r="N155" s="4">
        <f>N150*売上高!N9/売上高!N4</f>
        <v>130.14077222569398</v>
      </c>
      <c r="O155" s="4">
        <f>O150*売上高!O9/売上高!O4</f>
        <v>119.02130686682159</v>
      </c>
    </row>
    <row r="156" spans="3:15">
      <c r="C156" s="8" t="s">
        <v>102</v>
      </c>
      <c r="D156" s="1" t="s">
        <v>61</v>
      </c>
      <c r="F156" s="4">
        <f>F150*売上高!F10/売上高!F4</f>
        <v>28.873430690438205</v>
      </c>
      <c r="G156" s="4">
        <f>G150*売上高!G10/売上高!G4</f>
        <v>16.890397850145984</v>
      </c>
      <c r="H156" s="4">
        <f>H150*売上高!H10/売上高!H4</f>
        <v>9.5445297130584965</v>
      </c>
      <c r="I156" s="4">
        <f>I150*売上高!I10/売上高!I4</f>
        <v>6.365914092786829</v>
      </c>
      <c r="J156" s="4">
        <f>J150*売上高!J10/売上高!J4</f>
        <v>4.8592104579084854</v>
      </c>
      <c r="K156" s="4">
        <f>K150*売上高!K10/売上高!K4</f>
        <v>3.9810995193667291</v>
      </c>
      <c r="L156" s="4">
        <f>L150*売上高!L10/売上高!L4</f>
        <v>3.406822728808848</v>
      </c>
      <c r="M156" s="4">
        <f>M150*売上高!M10/売上高!M4</f>
        <v>3.0024354940012801</v>
      </c>
      <c r="N156" s="4">
        <f>N150*売上高!N10/売上高!N4</f>
        <v>2.7026131111585827</v>
      </c>
      <c r="O156" s="4">
        <f>O150*売上高!O10/売上高!O4</f>
        <v>2.4716969090029215</v>
      </c>
    </row>
    <row r="157" spans="3:15">
      <c r="C157" s="8" t="s">
        <v>102</v>
      </c>
      <c r="D157" s="1" t="s">
        <v>29</v>
      </c>
      <c r="F157" s="4">
        <f>F150*売上高!F11/売上高!F4</f>
        <v>1528.350496674871</v>
      </c>
      <c r="G157" s="4">
        <f>G150*売上高!G11/売上高!G4</f>
        <v>894.05544564732179</v>
      </c>
      <c r="H157" s="4">
        <f>H150*売上高!H11/売上高!H4</f>
        <v>505.2183401369</v>
      </c>
      <c r="I157" s="4">
        <f>I150*売上高!I11/売上高!I4</f>
        <v>336.9654292145583</v>
      </c>
      <c r="J157" s="4">
        <f>J150*売上高!J11/売上高!J4</f>
        <v>257.21144107934373</v>
      </c>
      <c r="K157" s="4">
        <f>K150*売上高!K11/売上高!K4</f>
        <v>210.73060187999045</v>
      </c>
      <c r="L157" s="4">
        <f>L150*売上高!L11/売上高!L4</f>
        <v>180.33254397381137</v>
      </c>
      <c r="M157" s="4">
        <f>M150*売上高!M11/売上高!M4</f>
        <v>158.92720985216167</v>
      </c>
      <c r="N157" s="4">
        <f>N150*売上高!N11/売上高!N4</f>
        <v>143.05678237699402</v>
      </c>
      <c r="O157" s="4">
        <f>O150*売上高!O11/売上高!O4</f>
        <v>130.83374951198175</v>
      </c>
    </row>
    <row r="158" spans="3:15">
      <c r="C158" s="8" t="s">
        <v>102</v>
      </c>
      <c r="D158" s="1" t="s">
        <v>30</v>
      </c>
      <c r="F158" s="4">
        <f>F150*売上高!F12/売上高!F4</f>
        <v>1035.4067712160236</v>
      </c>
      <c r="G158" s="4">
        <f>G150*売上高!G12/売上高!G4</f>
        <v>605.69291159312183</v>
      </c>
      <c r="H158" s="4">
        <f>H150*売上高!H12/売上高!H4</f>
        <v>342.26866903786396</v>
      </c>
      <c r="I158" s="4">
        <f>I150*売上高!I12/売上高!I4</f>
        <v>228.28290227505894</v>
      </c>
      <c r="J158" s="4">
        <f>J150*売上高!J12/売上高!J4</f>
        <v>174.25222048685487</v>
      </c>
      <c r="K158" s="4">
        <f>K150*売上高!K12/売上高!K4</f>
        <v>142.76299354348075</v>
      </c>
      <c r="L158" s="4">
        <f>L150*売上高!L12/売上高!L4</f>
        <v>122.16931751409403</v>
      </c>
      <c r="M158" s="4">
        <f>M150*売上高!M12/売上高!M4</f>
        <v>107.66791359011421</v>
      </c>
      <c r="N158" s="4">
        <f>N150*売上高!N12/売上高!N4</f>
        <v>96.916225344759383</v>
      </c>
      <c r="O158" s="4">
        <f>O150*売上高!O12/売上高!O4</f>
        <v>88.635525975888129</v>
      </c>
    </row>
    <row r="159" spans="3:15">
      <c r="C159" s="61" t="s">
        <v>103</v>
      </c>
      <c r="D159" s="61"/>
      <c r="E159" s="62">
        <f>SUM(E160:E167)</f>
        <v>0</v>
      </c>
      <c r="F159" s="62">
        <v>6720</v>
      </c>
      <c r="G159" s="62">
        <v>9000</v>
      </c>
      <c r="H159" s="62">
        <f>G159</f>
        <v>9000</v>
      </c>
      <c r="I159" s="62">
        <f t="shared" ref="I159:O159" si="153">H159</f>
        <v>9000</v>
      </c>
      <c r="J159" s="62">
        <f t="shared" si="153"/>
        <v>9000</v>
      </c>
      <c r="K159" s="62">
        <f t="shared" si="153"/>
        <v>9000</v>
      </c>
      <c r="L159" s="62">
        <f t="shared" si="153"/>
        <v>9000</v>
      </c>
      <c r="M159" s="62">
        <f t="shared" si="153"/>
        <v>9000</v>
      </c>
      <c r="N159" s="62">
        <f t="shared" si="153"/>
        <v>9000</v>
      </c>
      <c r="O159" s="62">
        <f t="shared" si="153"/>
        <v>9000</v>
      </c>
    </row>
    <row r="160" spans="3:15">
      <c r="C160" s="8" t="s">
        <v>103</v>
      </c>
      <c r="D160" s="1" t="s">
        <v>21</v>
      </c>
      <c r="F160" s="4">
        <f>F159*売上高!F5/売上高!F4</f>
        <v>2701.0999246492784</v>
      </c>
      <c r="G160" s="4">
        <f>G159*売上高!G5/売上高!G4</f>
        <v>5459.5409905647666</v>
      </c>
      <c r="H160" s="4">
        <f>H159*売上高!H5/売上高!H4</f>
        <v>6101.2719791657555</v>
      </c>
      <c r="I160" s="4">
        <f>I159*売上高!I5/売上高!I4</f>
        <v>6398.7058750146925</v>
      </c>
      <c r="J160" s="4">
        <f>J159*売上高!J5/売上高!J4</f>
        <v>6537.8048306054116</v>
      </c>
      <c r="K160" s="4">
        <f>K159*売上高!K5/売上高!K4</f>
        <v>6616.2690482942789</v>
      </c>
      <c r="L160" s="4">
        <f>L159*売上高!L5/売上高!L4</f>
        <v>6664.5662006217317</v>
      </c>
      <c r="M160" s="4">
        <f>M159*売上高!M5/売上高!M4</f>
        <v>6695.3093761817654</v>
      </c>
      <c r="N160" s="4">
        <f>N159*売上高!N5/売上高!N4</f>
        <v>6714.6898919490714</v>
      </c>
      <c r="O160" s="4">
        <f>O159*売上高!O5/売上高!O4</f>
        <v>6726.1218342741058</v>
      </c>
    </row>
    <row r="161" spans="3:15">
      <c r="C161" s="8" t="s">
        <v>103</v>
      </c>
      <c r="D161" s="1" t="s">
        <v>24</v>
      </c>
      <c r="F161" s="4">
        <f>F159*売上高!F6/売上高!F4</f>
        <v>881.26640632985129</v>
      </c>
      <c r="G161" s="4">
        <f>G159*売上高!G6/売上高!G4</f>
        <v>466.31887897993886</v>
      </c>
      <c r="H161" s="4">
        <f>H159*売上高!H6/売上高!H4</f>
        <v>231.88909482130435</v>
      </c>
      <c r="I161" s="4">
        <f>I159*売上高!I6/売上高!I4</f>
        <v>136.10348219743429</v>
      </c>
      <c r="J161" s="4">
        <f>J159*売上高!J6/売上高!J4</f>
        <v>91.423289708669174</v>
      </c>
      <c r="K161" s="4">
        <f>K159*売上高!K6/売上高!K4</f>
        <v>65.913874635879623</v>
      </c>
      <c r="L161" s="4">
        <f>L159*売上高!L6/売上高!L4</f>
        <v>49.637056029787672</v>
      </c>
      <c r="M161" s="4">
        <f>M159*売上高!M6/売上高!M4</f>
        <v>38.495754613692881</v>
      </c>
      <c r="N161" s="4">
        <f>N159*売上高!N6/売上高!N4</f>
        <v>30.493389646066341</v>
      </c>
      <c r="O161" s="4">
        <f>O159*売上高!O6/売上高!O4</f>
        <v>24.541421273867105</v>
      </c>
    </row>
    <row r="162" spans="3:15">
      <c r="C162" s="8" t="s">
        <v>103</v>
      </c>
      <c r="D162" s="1" t="s">
        <v>25</v>
      </c>
      <c r="F162" s="4">
        <f>F159*売上高!F7/売上高!F4</f>
        <v>554.49247453609951</v>
      </c>
      <c r="G162" s="4">
        <f>G159*売上高!G7/売上高!G4</f>
        <v>1032.2415770844332</v>
      </c>
      <c r="H162" s="4">
        <f>H159*売上高!H7/売上高!H4</f>
        <v>1122.6014489636273</v>
      </c>
      <c r="I162" s="4">
        <f>I159*売上高!I7/売上高!I4</f>
        <v>1130.3983428876707</v>
      </c>
      <c r="J162" s="4">
        <f>J159*売上高!J7/売上高!J4</f>
        <v>1119.2184899534766</v>
      </c>
      <c r="K162" s="4">
        <f>K159*売上高!K7/売上高!K4</f>
        <v>1101.7973657543191</v>
      </c>
      <c r="L162" s="4">
        <f>L159*売上高!L7/売上高!L4</f>
        <v>1082.0528327898305</v>
      </c>
      <c r="M162" s="4">
        <f>M159*売上高!M7/売上高!M4</f>
        <v>1061.5625380035749</v>
      </c>
      <c r="N162" s="4">
        <f>N159*売上高!N7/売上高!N4</f>
        <v>1041.0637665609215</v>
      </c>
      <c r="O162" s="4">
        <f>O159*売上高!O7/売上高!O4</f>
        <v>1020.9316317511838</v>
      </c>
    </row>
    <row r="163" spans="3:15">
      <c r="C163" s="8" t="s">
        <v>103</v>
      </c>
      <c r="D163" s="1" t="s">
        <v>26</v>
      </c>
      <c r="F163" s="4">
        <f>F159*売上高!F8/売上高!F4</f>
        <v>403.52304094077903</v>
      </c>
      <c r="G163" s="4">
        <f>G159*売上高!G8/売上高!G4</f>
        <v>731.28840257935792</v>
      </c>
      <c r="H163" s="4">
        <f>H159*売上高!H8/売上高!H4</f>
        <v>803.62984675850441</v>
      </c>
      <c r="I163" s="4">
        <f>I159*売上高!I8/売上高!I4</f>
        <v>840.8292977793858</v>
      </c>
      <c r="J163" s="4">
        <f>J159*売上高!J8/売上高!J4</f>
        <v>874.50303203988767</v>
      </c>
      <c r="K163" s="4">
        <f>K159*売上高!K8/売上高!K4</f>
        <v>907.10635784184319</v>
      </c>
      <c r="L163" s="4">
        <f>L159*売上高!L8/売上高!L4</f>
        <v>939.39155545497931</v>
      </c>
      <c r="M163" s="4">
        <f>M159*売上高!M8/売上高!M4</f>
        <v>971.65839710853925</v>
      </c>
      <c r="N163" s="4">
        <f>N159*売上高!N8/売上高!N4</f>
        <v>1004.0437307484743</v>
      </c>
      <c r="O163" s="4">
        <f>O159*売上高!O8/売上高!O4</f>
        <v>1036.6138306150153</v>
      </c>
    </row>
    <row r="164" spans="3:15">
      <c r="C164" s="8" t="s">
        <v>103</v>
      </c>
      <c r="D164" s="1" t="s">
        <v>27</v>
      </c>
      <c r="F164" s="4">
        <f>F159*売上高!F9/売上高!F4</f>
        <v>760.84956278938625</v>
      </c>
      <c r="G164" s="4">
        <f>G159*売上高!G9/売上高!G4</f>
        <v>457.50085105304703</v>
      </c>
      <c r="H164" s="4">
        <f>H159*売上高!H9/売上高!H4</f>
        <v>258.52738966640834</v>
      </c>
      <c r="I164" s="4">
        <f>I159*売上高!I9/売上高!I4</f>
        <v>172.42998898071474</v>
      </c>
      <c r="J164" s="4">
        <f>J159*売上高!J9/売上高!J4</f>
        <v>131.61874217899398</v>
      </c>
      <c r="K164" s="4">
        <f>K159*売上高!K9/売上高!K4</f>
        <v>107.83383756833254</v>
      </c>
      <c r="L164" s="4">
        <f>L159*売上高!L9/売上高!L4</f>
        <v>92.27872023177008</v>
      </c>
      <c r="M164" s="4">
        <f>M159*売上高!M9/売上高!M4</f>
        <v>81.325307190771071</v>
      </c>
      <c r="N164" s="4">
        <f>N159*売上高!N9/売上高!N4</f>
        <v>73.204184376952867</v>
      </c>
      <c r="O164" s="4">
        <f>O159*売上高!O9/売上高!O4</f>
        <v>66.949485112587141</v>
      </c>
    </row>
    <row r="165" spans="3:15">
      <c r="C165" s="8" t="s">
        <v>103</v>
      </c>
      <c r="D165" s="1" t="s">
        <v>61</v>
      </c>
      <c r="F165" s="4">
        <f>F159*売上高!F10/売上高!F4</f>
        <v>15.800444156331006</v>
      </c>
      <c r="G165" s="4">
        <f>G159*売上高!G10/売上高!G4</f>
        <v>9.5008487907071153</v>
      </c>
      <c r="H165" s="4">
        <f>H159*売上高!H10/売上高!H4</f>
        <v>5.3687979635954042</v>
      </c>
      <c r="I165" s="4">
        <f>I159*売上高!I10/売上高!I4</f>
        <v>3.5808266771925914</v>
      </c>
      <c r="J165" s="4">
        <f>J159*売上高!J10/売上高!J4</f>
        <v>2.7333058825735232</v>
      </c>
      <c r="K165" s="4">
        <f>K159*売上高!K10/売上高!K4</f>
        <v>2.2393684796437854</v>
      </c>
      <c r="L165" s="4">
        <f>L159*売上高!L10/売上高!L4</f>
        <v>1.916337784954977</v>
      </c>
      <c r="M165" s="4">
        <f>M159*売上高!M10/売上高!M4</f>
        <v>1.68886996537572</v>
      </c>
      <c r="N165" s="4">
        <f>N159*売上高!N10/売上高!N4</f>
        <v>1.5202198750267029</v>
      </c>
      <c r="O165" s="4">
        <f>O159*売上高!O10/売上高!O4</f>
        <v>1.3903295113141434</v>
      </c>
    </row>
    <row r="166" spans="3:15">
      <c r="C166" s="8" t="s">
        <v>103</v>
      </c>
      <c r="D166" s="1" t="s">
        <v>29</v>
      </c>
      <c r="F166" s="4">
        <f>F159*売上高!F11/売上高!F4</f>
        <v>836.3611838481379</v>
      </c>
      <c r="G166" s="4">
        <f>G159*売上高!G11/売上高!G4</f>
        <v>502.90618817661851</v>
      </c>
      <c r="H166" s="4">
        <f>H159*売上高!H11/売上高!H4</f>
        <v>284.18531632700626</v>
      </c>
      <c r="I166" s="4">
        <f>I159*売上高!I11/売上高!I4</f>
        <v>189.54305393318904</v>
      </c>
      <c r="J166" s="4">
        <f>J159*売上高!J11/売上高!J4</f>
        <v>144.68143560713085</v>
      </c>
      <c r="K166" s="4">
        <f>K159*売上高!K11/売上高!K4</f>
        <v>118.53596355749463</v>
      </c>
      <c r="L166" s="4">
        <f>L159*売上高!L11/売上高!L4</f>
        <v>101.43705598526888</v>
      </c>
      <c r="M166" s="4">
        <f>M159*売上高!M11/売上高!M4</f>
        <v>89.396555541840939</v>
      </c>
      <c r="N166" s="4">
        <f>N159*売上高!N11/売上高!N4</f>
        <v>80.469440087059141</v>
      </c>
      <c r="O166" s="4">
        <f>O159*売上高!O11/売上高!O4</f>
        <v>73.593984100489735</v>
      </c>
    </row>
    <row r="167" spans="3:15">
      <c r="C167" s="8" t="s">
        <v>103</v>
      </c>
      <c r="D167" s="1" t="s">
        <v>30</v>
      </c>
      <c r="F167" s="4">
        <f>F159*売上高!F12/売上高!F4</f>
        <v>566.60696275013674</v>
      </c>
      <c r="G167" s="4">
        <f>G159*売上高!G12/売上高!G4</f>
        <v>340.70226277113107</v>
      </c>
      <c r="H167" s="4">
        <f>H159*売上高!H12/売上高!H4</f>
        <v>192.52612633379849</v>
      </c>
      <c r="I167" s="4">
        <f>I159*売上高!I12/売上高!I4</f>
        <v>128.40913252972067</v>
      </c>
      <c r="J167" s="4">
        <f>J159*売上高!J12/売上高!J4</f>
        <v>98.016874023855863</v>
      </c>
      <c r="K167" s="4">
        <f>K159*売上高!K12/売上高!K4</f>
        <v>80.304183868207929</v>
      </c>
      <c r="L167" s="4">
        <f>L159*売上高!L12/売上高!L4</f>
        <v>68.720241101677885</v>
      </c>
      <c r="M167" s="4">
        <f>M159*売上高!M12/売上高!M4</f>
        <v>60.56320139443924</v>
      </c>
      <c r="N167" s="4">
        <f>N159*売上高!N12/売上高!N4</f>
        <v>54.515376756427152</v>
      </c>
      <c r="O167" s="4">
        <f>O159*売上高!O12/売上高!O4</f>
        <v>49.857483361437069</v>
      </c>
    </row>
    <row r="168" spans="3:15">
      <c r="C168" s="61" t="s">
        <v>104</v>
      </c>
      <c r="D168" s="61"/>
      <c r="E168" s="62">
        <f>SUM(E169:E176)</f>
        <v>0</v>
      </c>
      <c r="F168" s="62">
        <v>48969</v>
      </c>
      <c r="G168" s="62">
        <v>60000</v>
      </c>
      <c r="H168" s="62">
        <f>G168</f>
        <v>60000</v>
      </c>
      <c r="I168" s="62">
        <f t="shared" ref="I168:O168" si="154">H168</f>
        <v>60000</v>
      </c>
      <c r="J168" s="62">
        <f t="shared" si="154"/>
        <v>60000</v>
      </c>
      <c r="K168" s="62">
        <f t="shared" si="154"/>
        <v>60000</v>
      </c>
      <c r="L168" s="62">
        <f t="shared" si="154"/>
        <v>60000</v>
      </c>
      <c r="M168" s="62">
        <f t="shared" si="154"/>
        <v>60000</v>
      </c>
      <c r="N168" s="62">
        <f t="shared" si="154"/>
        <v>60000</v>
      </c>
      <c r="O168" s="62">
        <f t="shared" si="154"/>
        <v>60000</v>
      </c>
    </row>
    <row r="169" spans="3:15">
      <c r="C169" s="8" t="s">
        <v>104</v>
      </c>
      <c r="D169" s="1" t="s">
        <v>21</v>
      </c>
      <c r="F169" s="4">
        <f>F168*売上高!F5/売上高!F4</f>
        <v>19683.059852700968</v>
      </c>
      <c r="G169" s="4">
        <f>G168*売上高!G5/売上高!G4</f>
        <v>36396.939937098447</v>
      </c>
      <c r="H169" s="4">
        <f>H168*売上高!H5/売上高!H4</f>
        <v>40675.146527771707</v>
      </c>
      <c r="I169" s="4">
        <f>I168*売上高!I5/売上高!I4</f>
        <v>42658.039166764618</v>
      </c>
      <c r="J169" s="4">
        <f>J168*売上高!J5/売上高!J4</f>
        <v>43585.365537369413</v>
      </c>
      <c r="K169" s="4">
        <f>K168*売上高!K5/売上高!K4</f>
        <v>44108.460321961858</v>
      </c>
      <c r="L169" s="4">
        <f>L168*売上高!L5/売上高!L4</f>
        <v>44430.441337478209</v>
      </c>
      <c r="M169" s="4">
        <f>M168*売上高!M5/売上高!M4</f>
        <v>44635.395841211772</v>
      </c>
      <c r="N169" s="4">
        <f>N168*売上高!N5/売上高!N4</f>
        <v>44764.599279660477</v>
      </c>
      <c r="O169" s="4">
        <f>O168*売上高!O5/売上高!O4</f>
        <v>44840.812228494033</v>
      </c>
    </row>
    <row r="170" spans="3:15">
      <c r="C170" s="8" t="s">
        <v>104</v>
      </c>
      <c r="D170" s="1" t="s">
        <v>24</v>
      </c>
      <c r="F170" s="4">
        <f>F168*売上高!F6/売上高!F4</f>
        <v>6421.8355136259652</v>
      </c>
      <c r="G170" s="4">
        <f>G168*売上高!G6/売上高!G4</f>
        <v>3108.7925265329259</v>
      </c>
      <c r="H170" s="4">
        <f>H168*売上高!H6/売上高!H4</f>
        <v>1545.9272988086955</v>
      </c>
      <c r="I170" s="4">
        <f>I168*売上高!I6/売上高!I4</f>
        <v>907.35654798289534</v>
      </c>
      <c r="J170" s="4">
        <f>J168*売上高!J6/売上高!J4</f>
        <v>609.48859805779443</v>
      </c>
      <c r="K170" s="4">
        <f>K168*売上高!K6/売上高!K4</f>
        <v>439.42583090586413</v>
      </c>
      <c r="L170" s="4">
        <f>L168*売上高!L6/売上高!L4</f>
        <v>330.91370686525113</v>
      </c>
      <c r="M170" s="4">
        <f>M168*売上高!M6/売上高!M4</f>
        <v>256.63836409128589</v>
      </c>
      <c r="N170" s="4">
        <f>N168*売上高!N6/売上高!N4</f>
        <v>203.28926430710894</v>
      </c>
      <c r="O170" s="4">
        <f>O168*売上高!O6/売上高!O4</f>
        <v>163.60947515911403</v>
      </c>
    </row>
    <row r="171" spans="3:15">
      <c r="C171" s="8" t="s">
        <v>104</v>
      </c>
      <c r="D171" s="1" t="s">
        <v>25</v>
      </c>
      <c r="F171" s="4">
        <f>F168*売上高!F7/売上高!F4</f>
        <v>4040.61636689855</v>
      </c>
      <c r="G171" s="4">
        <f>G168*売上高!G7/売上高!G4</f>
        <v>6881.6105138962203</v>
      </c>
      <c r="H171" s="4">
        <f>H168*売上高!H7/売上高!H4</f>
        <v>7484.0096597575166</v>
      </c>
      <c r="I171" s="4">
        <f>I168*売上高!I7/売上高!I4</f>
        <v>7535.9889525844701</v>
      </c>
      <c r="J171" s="4">
        <f>J168*売上高!J7/売上高!J4</f>
        <v>7461.4565996898446</v>
      </c>
      <c r="K171" s="4">
        <f>K168*売上高!K7/売上高!K4</f>
        <v>7345.315771695462</v>
      </c>
      <c r="L171" s="4">
        <f>L168*売上高!L7/売上高!L4</f>
        <v>7213.6855519322035</v>
      </c>
      <c r="M171" s="4">
        <f>M168*売上高!M7/売上高!M4</f>
        <v>7077.083586690499</v>
      </c>
      <c r="N171" s="4">
        <f>N168*売上高!N7/売上高!N4</f>
        <v>6940.4251104061441</v>
      </c>
      <c r="O171" s="4">
        <f>O168*売上高!O7/売上高!O4</f>
        <v>6806.2108783412259</v>
      </c>
    </row>
    <row r="172" spans="3:15">
      <c r="C172" s="8" t="s">
        <v>104</v>
      </c>
      <c r="D172" s="1" t="s">
        <v>26</v>
      </c>
      <c r="F172" s="4">
        <f>F168*売上高!F8/売上高!F4</f>
        <v>2940.4940166412212</v>
      </c>
      <c r="G172" s="4">
        <f>G168*売上高!G8/売上高!G4</f>
        <v>4875.2560171957193</v>
      </c>
      <c r="H172" s="4">
        <f>H168*売上高!H8/売上高!H4</f>
        <v>5357.5323117233629</v>
      </c>
      <c r="I172" s="4">
        <f>I168*売上高!I8/売上高!I4</f>
        <v>5605.5286518625717</v>
      </c>
      <c r="J172" s="4">
        <f>J168*売上高!J8/売上高!J4</f>
        <v>5830.0202135992504</v>
      </c>
      <c r="K172" s="4">
        <f>K168*売上高!K8/売上高!K4</f>
        <v>6047.375718945621</v>
      </c>
      <c r="L172" s="4">
        <f>L168*売上高!L8/売上高!L4</f>
        <v>6262.6103696998625</v>
      </c>
      <c r="M172" s="4">
        <f>M168*売上高!M8/売上高!M4</f>
        <v>6477.722647390262</v>
      </c>
      <c r="N172" s="4">
        <f>N168*売上高!N8/売上高!N4</f>
        <v>6693.6248716564951</v>
      </c>
      <c r="O172" s="4">
        <f>O168*売上高!O8/売上高!O4</f>
        <v>6910.7588707667701</v>
      </c>
    </row>
    <row r="173" spans="3:15">
      <c r="C173" s="8" t="s">
        <v>104</v>
      </c>
      <c r="D173" s="1" t="s">
        <v>27</v>
      </c>
      <c r="F173" s="4">
        <f>F168*売上高!F9/売上高!F4</f>
        <v>5544.3515238442642</v>
      </c>
      <c r="G173" s="4">
        <f>G168*売上高!G9/売上高!G4</f>
        <v>3050.0056736869801</v>
      </c>
      <c r="H173" s="4">
        <f>H168*売上高!H9/売上高!H4</f>
        <v>1723.5159311093889</v>
      </c>
      <c r="I173" s="4">
        <f>I168*売上高!I9/売上高!I4</f>
        <v>1149.5332598714317</v>
      </c>
      <c r="J173" s="4">
        <f>J168*売上高!J9/売上高!J4</f>
        <v>877.45828119329326</v>
      </c>
      <c r="K173" s="4">
        <f>K168*売上高!K9/売上高!K4</f>
        <v>718.8922504555502</v>
      </c>
      <c r="L173" s="4">
        <f>L168*売上高!L9/売上高!L4</f>
        <v>615.1914682118005</v>
      </c>
      <c r="M173" s="4">
        <f>M168*売上高!M9/売上高!M4</f>
        <v>542.16871460514039</v>
      </c>
      <c r="N173" s="4">
        <f>N168*売上高!N9/売上高!N4</f>
        <v>488.02789584635241</v>
      </c>
      <c r="O173" s="4">
        <f>O168*売上高!O9/売上高!O4</f>
        <v>446.32990075058098</v>
      </c>
    </row>
    <row r="174" spans="3:15">
      <c r="C174" s="8" t="s">
        <v>104</v>
      </c>
      <c r="D174" s="1" t="s">
        <v>61</v>
      </c>
      <c r="F174" s="4">
        <f>F168*売上高!F10/売上高!F4</f>
        <v>115.13868301954955</v>
      </c>
      <c r="G174" s="4">
        <f>G168*売上高!G10/売上高!G4</f>
        <v>63.338991938047442</v>
      </c>
      <c r="H174" s="4">
        <f>H168*売上高!H10/売上高!H4</f>
        <v>35.791986423969362</v>
      </c>
      <c r="I174" s="4">
        <f>I168*売上高!I10/売上高!I4</f>
        <v>23.87217784795061</v>
      </c>
      <c r="J174" s="4">
        <f>J168*売上高!J10/売上高!J4</f>
        <v>18.222039217156819</v>
      </c>
      <c r="K174" s="4">
        <f>K168*売上高!K10/売上高!K4</f>
        <v>14.929123197625234</v>
      </c>
      <c r="L174" s="4">
        <f>L168*売上高!L10/売上高!L4</f>
        <v>12.77558523303318</v>
      </c>
      <c r="M174" s="4">
        <f>M168*売上高!M10/売上高!M4</f>
        <v>11.259133102504801</v>
      </c>
      <c r="N174" s="4">
        <f>N168*売上高!N10/売上高!N4</f>
        <v>10.134799166844687</v>
      </c>
      <c r="O174" s="4">
        <f>O168*売上高!O10/売上高!O4</f>
        <v>9.2688634087609572</v>
      </c>
    </row>
    <row r="175" spans="3:15">
      <c r="C175" s="8" t="s">
        <v>104</v>
      </c>
      <c r="D175" s="1" t="s">
        <v>29</v>
      </c>
      <c r="F175" s="4">
        <f>F168*売上高!F11/売上高!F4</f>
        <v>6094.6087517648011</v>
      </c>
      <c r="G175" s="4">
        <f>G168*売上高!G11/売上高!G4</f>
        <v>3352.7079211774567</v>
      </c>
      <c r="H175" s="4">
        <f>H168*売上高!H11/売上高!H4</f>
        <v>1894.5687755133749</v>
      </c>
      <c r="I175" s="4">
        <f>I168*売上高!I11/売上高!I4</f>
        <v>1263.6203595545937</v>
      </c>
      <c r="J175" s="4">
        <f>J168*売上高!J11/売上高!J4</f>
        <v>964.54290404753897</v>
      </c>
      <c r="K175" s="4">
        <f>K168*売上高!K11/売上高!K4</f>
        <v>790.23975704996417</v>
      </c>
      <c r="L175" s="4">
        <f>L168*売上高!L11/売上高!L4</f>
        <v>676.24703990179262</v>
      </c>
      <c r="M175" s="4">
        <f>M168*売上高!M11/売上高!M4</f>
        <v>595.9770369456063</v>
      </c>
      <c r="N175" s="4">
        <f>N168*売上高!N11/売上高!N4</f>
        <v>536.46293391372762</v>
      </c>
      <c r="O175" s="4">
        <f>O168*売上高!O11/売上高!O4</f>
        <v>490.62656066993162</v>
      </c>
    </row>
    <row r="176" spans="3:15">
      <c r="C176" s="8" t="s">
        <v>104</v>
      </c>
      <c r="D176" s="1" t="s">
        <v>30</v>
      </c>
      <c r="F176" s="4">
        <f>F168*売上高!F12/売上高!F4</f>
        <v>4128.8952915046793</v>
      </c>
      <c r="G176" s="4">
        <f>G168*売上高!G12/売上高!G4</f>
        <v>2271.3484184742069</v>
      </c>
      <c r="H176" s="4">
        <f>H168*売上高!H12/売上高!H4</f>
        <v>1283.5075088919898</v>
      </c>
      <c r="I176" s="4">
        <f>I168*売上高!I12/売上高!I4</f>
        <v>856.06088353147106</v>
      </c>
      <c r="J176" s="4">
        <f>J168*売上高!J12/売上高!J4</f>
        <v>653.44582682570581</v>
      </c>
      <c r="K176" s="4">
        <f>K168*売上高!K12/売上高!K4</f>
        <v>535.36122578805282</v>
      </c>
      <c r="L176" s="4">
        <f>L168*売上高!L12/売上高!L4</f>
        <v>458.13494067785263</v>
      </c>
      <c r="M176" s="4">
        <f>M168*売上高!M12/売上高!M4</f>
        <v>403.75467596292827</v>
      </c>
      <c r="N176" s="4">
        <f>N168*売上高!N12/売上高!N4</f>
        <v>363.43584504284769</v>
      </c>
      <c r="O176" s="4">
        <f>O168*売上高!O12/売上高!O4</f>
        <v>332.38322240958047</v>
      </c>
    </row>
    <row r="177" spans="3:19">
      <c r="C177" s="61" t="s">
        <v>105</v>
      </c>
      <c r="D177" s="61"/>
      <c r="E177" s="62">
        <f>SUM(E178:E185)</f>
        <v>0</v>
      </c>
      <c r="F177" s="62">
        <f t="shared" ref="F177" si="155">SUM(F178:F185)</f>
        <v>4560</v>
      </c>
      <c r="G177" s="62">
        <f t="shared" ref="G177" si="156">SUM(G178:G185)</f>
        <v>4560</v>
      </c>
      <c r="H177" s="62">
        <f t="shared" ref="H177" si="157">SUM(H178:H185)</f>
        <v>4560</v>
      </c>
      <c r="I177" s="62">
        <f t="shared" ref="I177" si="158">SUM(I178:I185)</f>
        <v>4560</v>
      </c>
      <c r="J177" s="62">
        <f t="shared" ref="J177" si="159">SUM(J178:J185)</f>
        <v>4560</v>
      </c>
      <c r="K177" s="62">
        <f t="shared" ref="K177" si="160">SUM(K178:K185)</f>
        <v>4560</v>
      </c>
      <c r="L177" s="62">
        <f t="shared" ref="L177" si="161">SUM(L178:L185)</f>
        <v>4560</v>
      </c>
      <c r="M177" s="62">
        <f t="shared" ref="M177" si="162">SUM(M178:M185)</f>
        <v>4560</v>
      </c>
      <c r="N177" s="62">
        <f t="shared" ref="N177" si="163">SUM(N178:N185)</f>
        <v>4560</v>
      </c>
      <c r="O177" s="62">
        <f t="shared" ref="O177" si="164">SUM(O178:O185)</f>
        <v>4560</v>
      </c>
    </row>
    <row r="178" spans="3:19">
      <c r="C178" s="8" t="s">
        <v>105</v>
      </c>
      <c r="D178" s="1" t="s">
        <v>21</v>
      </c>
      <c r="F178" s="4">
        <f>R178</f>
        <v>4560</v>
      </c>
      <c r="G178" s="4">
        <f>F178</f>
        <v>4560</v>
      </c>
      <c r="H178" s="4">
        <f t="shared" ref="H178:O178" si="165">G178</f>
        <v>4560</v>
      </c>
      <c r="I178" s="4">
        <f t="shared" si="165"/>
        <v>4560</v>
      </c>
      <c r="J178" s="4">
        <f t="shared" si="165"/>
        <v>4560</v>
      </c>
      <c r="K178" s="4">
        <f t="shared" si="165"/>
        <v>4560</v>
      </c>
      <c r="L178" s="4">
        <f t="shared" si="165"/>
        <v>4560</v>
      </c>
      <c r="M178" s="4">
        <f t="shared" si="165"/>
        <v>4560</v>
      </c>
      <c r="N178" s="4">
        <f t="shared" si="165"/>
        <v>4560</v>
      </c>
      <c r="O178" s="4">
        <f t="shared" si="165"/>
        <v>4560</v>
      </c>
      <c r="Q178" s="1" t="s">
        <v>106</v>
      </c>
      <c r="R178" s="5">
        <v>4560</v>
      </c>
      <c r="S178" s="1" t="s">
        <v>86</v>
      </c>
    </row>
    <row r="179" spans="3:19">
      <c r="C179" s="8" t="s">
        <v>105</v>
      </c>
      <c r="D179" s="1" t="s">
        <v>24</v>
      </c>
    </row>
    <row r="180" spans="3:19">
      <c r="C180" s="8" t="s">
        <v>105</v>
      </c>
      <c r="D180" s="1" t="s">
        <v>25</v>
      </c>
      <c r="R180" s="4"/>
    </row>
    <row r="181" spans="3:19">
      <c r="C181" s="8" t="s">
        <v>105</v>
      </c>
      <c r="D181" s="1" t="s">
        <v>26</v>
      </c>
      <c r="R181" s="4"/>
    </row>
    <row r="182" spans="3:19">
      <c r="C182" s="8" t="s">
        <v>105</v>
      </c>
      <c r="D182" s="1" t="s">
        <v>27</v>
      </c>
    </row>
    <row r="183" spans="3:19">
      <c r="C183" s="8" t="s">
        <v>105</v>
      </c>
      <c r="D183" s="1" t="s">
        <v>61</v>
      </c>
    </row>
    <row r="184" spans="3:19">
      <c r="C184" s="8" t="s">
        <v>105</v>
      </c>
      <c r="D184" s="1" t="s">
        <v>29</v>
      </c>
    </row>
    <row r="185" spans="3:19">
      <c r="C185" s="8" t="s">
        <v>105</v>
      </c>
      <c r="D185" s="1" t="s">
        <v>30</v>
      </c>
    </row>
    <row r="186" spans="3:19">
      <c r="C186" s="61" t="s">
        <v>107</v>
      </c>
      <c r="D186" s="61"/>
      <c r="E186" s="62">
        <f>SUM(E187:E194)</f>
        <v>0</v>
      </c>
      <c r="F186" s="62">
        <f t="shared" ref="F186" si="166">SUM(F187:F194)</f>
        <v>1000</v>
      </c>
      <c r="G186" s="62">
        <f t="shared" ref="G186" si="167">SUM(G187:G194)</f>
        <v>3000</v>
      </c>
      <c r="H186" s="62">
        <f t="shared" ref="H186" si="168">SUM(H187:H194)</f>
        <v>3000</v>
      </c>
      <c r="I186" s="62">
        <f t="shared" ref="I186" si="169">SUM(I187:I194)</f>
        <v>3000</v>
      </c>
      <c r="J186" s="62">
        <f t="shared" ref="J186" si="170">SUM(J187:J194)</f>
        <v>3000</v>
      </c>
      <c r="K186" s="62">
        <f t="shared" ref="K186" si="171">SUM(K187:K194)</f>
        <v>3000</v>
      </c>
      <c r="L186" s="62">
        <f t="shared" ref="L186" si="172">SUM(L187:L194)</f>
        <v>3000</v>
      </c>
      <c r="M186" s="62">
        <f t="shared" ref="M186" si="173">SUM(M187:M194)</f>
        <v>3000</v>
      </c>
      <c r="N186" s="62">
        <f t="shared" ref="N186" si="174">SUM(N187:N194)</f>
        <v>3000</v>
      </c>
      <c r="O186" s="62">
        <f t="shared" ref="O186" si="175">SUM(O187:O194)</f>
        <v>3000</v>
      </c>
    </row>
    <row r="187" spans="3:19">
      <c r="C187" s="8" t="s">
        <v>107</v>
      </c>
      <c r="D187" s="1" t="s">
        <v>21</v>
      </c>
      <c r="F187" s="5">
        <v>1000</v>
      </c>
      <c r="G187" s="5">
        <v>3000</v>
      </c>
      <c r="H187" s="4">
        <f>G187</f>
        <v>3000</v>
      </c>
      <c r="I187" s="4">
        <f t="shared" ref="I187:O187" si="176">H187</f>
        <v>3000</v>
      </c>
      <c r="J187" s="4">
        <f t="shared" si="176"/>
        <v>3000</v>
      </c>
      <c r="K187" s="4">
        <f t="shared" si="176"/>
        <v>3000</v>
      </c>
      <c r="L187" s="4">
        <f t="shared" si="176"/>
        <v>3000</v>
      </c>
      <c r="M187" s="4">
        <f t="shared" si="176"/>
        <v>3000</v>
      </c>
      <c r="N187" s="4">
        <f t="shared" si="176"/>
        <v>3000</v>
      </c>
      <c r="O187" s="4">
        <f t="shared" si="176"/>
        <v>3000</v>
      </c>
    </row>
    <row r="188" spans="3:19">
      <c r="C188" s="8" t="s">
        <v>107</v>
      </c>
      <c r="D188" s="1" t="s">
        <v>24</v>
      </c>
    </row>
    <row r="189" spans="3:19">
      <c r="C189" s="8" t="s">
        <v>107</v>
      </c>
      <c r="D189" s="1" t="s">
        <v>25</v>
      </c>
    </row>
    <row r="190" spans="3:19">
      <c r="C190" s="8" t="s">
        <v>107</v>
      </c>
      <c r="D190" s="1" t="s">
        <v>26</v>
      </c>
    </row>
    <row r="191" spans="3:19">
      <c r="C191" s="8" t="s">
        <v>107</v>
      </c>
      <c r="D191" s="1" t="s">
        <v>27</v>
      </c>
    </row>
    <row r="192" spans="3:19">
      <c r="C192" s="8" t="s">
        <v>107</v>
      </c>
      <c r="D192" s="1" t="s">
        <v>61</v>
      </c>
    </row>
    <row r="193" spans="3:15">
      <c r="C193" s="8" t="s">
        <v>107</v>
      </c>
      <c r="D193" s="1" t="s">
        <v>29</v>
      </c>
    </row>
    <row r="194" spans="3:15">
      <c r="C194" s="8" t="s">
        <v>107</v>
      </c>
      <c r="D194" s="1" t="s">
        <v>30</v>
      </c>
    </row>
    <row r="195" spans="3:15">
      <c r="C195" s="61" t="s">
        <v>108</v>
      </c>
      <c r="D195" s="61"/>
      <c r="E195" s="62">
        <f>SUM(E196:E203)</f>
        <v>0</v>
      </c>
      <c r="F195" s="62">
        <f t="shared" ref="F195" si="177">SUM(F196:F203)</f>
        <v>13050</v>
      </c>
      <c r="G195" s="62">
        <f t="shared" ref="G195" si="178">SUM(G196:G203)</f>
        <v>17400</v>
      </c>
      <c r="H195" s="62">
        <f t="shared" ref="H195" si="179">SUM(H196:H203)</f>
        <v>17400</v>
      </c>
      <c r="I195" s="62">
        <f t="shared" ref="I195" si="180">SUM(I196:I203)</f>
        <v>17400</v>
      </c>
      <c r="J195" s="62">
        <f t="shared" ref="J195" si="181">SUM(J196:J203)</f>
        <v>17400</v>
      </c>
      <c r="K195" s="62">
        <f t="shared" ref="K195" si="182">SUM(K196:K203)</f>
        <v>17400</v>
      </c>
      <c r="L195" s="62">
        <f t="shared" ref="L195" si="183">SUM(L196:L203)</f>
        <v>17400</v>
      </c>
      <c r="M195" s="62">
        <f t="shared" ref="M195" si="184">SUM(M196:M203)</f>
        <v>17400</v>
      </c>
      <c r="N195" s="62">
        <f t="shared" ref="N195" si="185">SUM(N196:N203)</f>
        <v>17400</v>
      </c>
      <c r="O195" s="62">
        <f t="shared" ref="O195" si="186">SUM(O196:O203)</f>
        <v>17400</v>
      </c>
    </row>
    <row r="196" spans="3:15">
      <c r="C196" s="8" t="s">
        <v>108</v>
      </c>
      <c r="D196" s="1" t="s">
        <v>21</v>
      </c>
      <c r="F196" s="5">
        <v>13050</v>
      </c>
      <c r="G196" s="5">
        <v>17400</v>
      </c>
      <c r="H196" s="4">
        <f>G196</f>
        <v>17400</v>
      </c>
      <c r="I196" s="4">
        <f t="shared" ref="I196:O196" si="187">H196</f>
        <v>17400</v>
      </c>
      <c r="J196" s="4">
        <f t="shared" si="187"/>
        <v>17400</v>
      </c>
      <c r="K196" s="4">
        <f t="shared" si="187"/>
        <v>17400</v>
      </c>
      <c r="L196" s="4">
        <f t="shared" si="187"/>
        <v>17400</v>
      </c>
      <c r="M196" s="4">
        <f t="shared" si="187"/>
        <v>17400</v>
      </c>
      <c r="N196" s="4">
        <f t="shared" si="187"/>
        <v>17400</v>
      </c>
      <c r="O196" s="4">
        <f t="shared" si="187"/>
        <v>17400</v>
      </c>
    </row>
    <row r="197" spans="3:15">
      <c r="C197" s="8" t="s">
        <v>108</v>
      </c>
      <c r="D197" s="1" t="s">
        <v>24</v>
      </c>
    </row>
    <row r="198" spans="3:15">
      <c r="C198" s="8" t="s">
        <v>108</v>
      </c>
      <c r="D198" s="1" t="s">
        <v>25</v>
      </c>
    </row>
    <row r="199" spans="3:15">
      <c r="C199" s="8" t="s">
        <v>108</v>
      </c>
      <c r="D199" s="1" t="s">
        <v>26</v>
      </c>
    </row>
    <row r="200" spans="3:15">
      <c r="C200" s="8" t="s">
        <v>108</v>
      </c>
      <c r="D200" s="1" t="s">
        <v>27</v>
      </c>
    </row>
    <row r="201" spans="3:15">
      <c r="C201" s="8" t="s">
        <v>108</v>
      </c>
      <c r="D201" s="1" t="s">
        <v>61</v>
      </c>
    </row>
    <row r="202" spans="3:15">
      <c r="C202" s="8" t="s">
        <v>108</v>
      </c>
      <c r="D202" s="1" t="s">
        <v>29</v>
      </c>
    </row>
    <row r="203" spans="3:15">
      <c r="C203" s="8" t="s">
        <v>108</v>
      </c>
      <c r="D203" s="1" t="s">
        <v>30</v>
      </c>
    </row>
    <row r="204" spans="3:15">
      <c r="C204" s="61" t="s">
        <v>109</v>
      </c>
      <c r="D204" s="61"/>
      <c r="E204" s="62">
        <f>SUM(E205:E212)</f>
        <v>0</v>
      </c>
      <c r="F204" s="62">
        <f t="shared" ref="F204" si="188">SUM(F205:F212)</f>
        <v>6000</v>
      </c>
      <c r="G204" s="62">
        <f t="shared" ref="G204" si="189">SUM(G205:G212)</f>
        <v>6000</v>
      </c>
      <c r="H204" s="62">
        <f t="shared" ref="H204" si="190">SUM(H205:H212)</f>
        <v>0</v>
      </c>
      <c r="I204" s="62">
        <f t="shared" ref="I204" si="191">SUM(I205:I212)</f>
        <v>0</v>
      </c>
      <c r="J204" s="62">
        <f t="shared" ref="J204" si="192">SUM(J205:J212)</f>
        <v>0</v>
      </c>
      <c r="K204" s="62">
        <f t="shared" ref="K204" si="193">SUM(K205:K212)</f>
        <v>0</v>
      </c>
      <c r="L204" s="62">
        <f t="shared" ref="L204" si="194">SUM(L205:L212)</f>
        <v>0</v>
      </c>
      <c r="M204" s="62">
        <f t="shared" ref="M204" si="195">SUM(M205:M212)</f>
        <v>0</v>
      </c>
      <c r="N204" s="62">
        <f t="shared" ref="N204" si="196">SUM(N205:N212)</f>
        <v>0</v>
      </c>
      <c r="O204" s="62">
        <f t="shared" ref="O204" si="197">SUM(O205:O212)</f>
        <v>0</v>
      </c>
    </row>
    <row r="205" spans="3:15">
      <c r="C205" s="8" t="s">
        <v>109</v>
      </c>
      <c r="D205" s="1" t="s">
        <v>21</v>
      </c>
      <c r="E205" s="5"/>
      <c r="F205" s="5">
        <v>6000</v>
      </c>
      <c r="G205" s="5">
        <v>6000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</row>
    <row r="206" spans="3:15">
      <c r="C206" s="8" t="s">
        <v>109</v>
      </c>
      <c r="D206" s="1" t="s">
        <v>24</v>
      </c>
    </row>
    <row r="207" spans="3:15">
      <c r="C207" s="8" t="s">
        <v>109</v>
      </c>
      <c r="D207" s="1" t="s">
        <v>25</v>
      </c>
    </row>
    <row r="208" spans="3:15">
      <c r="C208" s="8" t="s">
        <v>109</v>
      </c>
      <c r="D208" s="1" t="s">
        <v>26</v>
      </c>
    </row>
    <row r="209" spans="3:18">
      <c r="C209" s="8" t="s">
        <v>109</v>
      </c>
      <c r="D209" s="1" t="s">
        <v>27</v>
      </c>
    </row>
    <row r="210" spans="3:18">
      <c r="C210" s="8" t="s">
        <v>109</v>
      </c>
      <c r="D210" s="1" t="s">
        <v>61</v>
      </c>
    </row>
    <row r="211" spans="3:18">
      <c r="C211" s="8" t="s">
        <v>109</v>
      </c>
      <c r="D211" s="1" t="s">
        <v>29</v>
      </c>
    </row>
    <row r="212" spans="3:18">
      <c r="C212" s="8" t="s">
        <v>109</v>
      </c>
      <c r="D212" s="1" t="s">
        <v>30</v>
      </c>
    </row>
    <row r="213" spans="3:18">
      <c r="C213" s="61" t="s">
        <v>110</v>
      </c>
      <c r="D213" s="61"/>
      <c r="E213" s="62">
        <f>SUM(E214:E221)</f>
        <v>398.82960000000003</v>
      </c>
      <c r="F213" s="62">
        <f t="shared" ref="F213" si="198">SUM(F214:F221)</f>
        <v>4785.9551999999994</v>
      </c>
      <c r="G213" s="62">
        <f t="shared" ref="G213" si="199">SUM(G214:G221)</f>
        <v>14424.337200000002</v>
      </c>
      <c r="H213" s="62">
        <f t="shared" ref="H213" si="200">SUM(H214:H221)</f>
        <v>28051.015200000002</v>
      </c>
      <c r="I213" s="62">
        <f t="shared" ref="I213" si="201">SUM(I214:I221)</f>
        <v>44004.199200000003</v>
      </c>
      <c r="J213" s="62">
        <f t="shared" ref="J213" si="202">SUM(J214:J221)</f>
        <v>59957.383200000011</v>
      </c>
      <c r="K213" s="62">
        <f t="shared" ref="K213" si="203">SUM(K214:K221)</f>
        <v>75910.56720000002</v>
      </c>
      <c r="L213" s="62">
        <f t="shared" ref="L213" si="204">SUM(L214:L221)</f>
        <v>91863.751200000013</v>
      </c>
      <c r="M213" s="62">
        <f t="shared" ref="M213" si="205">SUM(M214:M221)</f>
        <v>107816.93520000001</v>
      </c>
      <c r="N213" s="62">
        <f t="shared" ref="N213" si="206">SUM(N214:N221)</f>
        <v>123770.11919999999</v>
      </c>
      <c r="O213" s="62">
        <f t="shared" ref="O213" si="207">SUM(O214:O221)</f>
        <v>139723.30319999999</v>
      </c>
    </row>
    <row r="214" spans="3:18">
      <c r="C214" s="8" t="s">
        <v>110</v>
      </c>
      <c r="D214" s="1" t="s">
        <v>21</v>
      </c>
    </row>
    <row r="215" spans="3:18">
      <c r="C215" s="8" t="s">
        <v>110</v>
      </c>
      <c r="D215" s="1" t="s">
        <v>24</v>
      </c>
    </row>
    <row r="216" spans="3:18">
      <c r="C216" s="8" t="s">
        <v>110</v>
      </c>
      <c r="D216" s="1" t="s">
        <v>25</v>
      </c>
    </row>
    <row r="217" spans="3:18">
      <c r="C217" s="8" t="s">
        <v>110</v>
      </c>
      <c r="D217" s="1" t="s">
        <v>26</v>
      </c>
      <c r="E217" s="4">
        <f>売上高!E8*$R$217</f>
        <v>398.82960000000003</v>
      </c>
      <c r="F217" s="4">
        <f>売上高!F8*$R$217</f>
        <v>4785.9551999999994</v>
      </c>
      <c r="G217" s="4">
        <f>売上高!G8*$R$217</f>
        <v>14424.337200000002</v>
      </c>
      <c r="H217" s="4">
        <f>売上高!H8*$R$217</f>
        <v>28051.015200000002</v>
      </c>
      <c r="I217" s="4">
        <f>売上高!I8*$R$217</f>
        <v>44004.199200000003</v>
      </c>
      <c r="J217" s="4">
        <f>売上高!J8*$R$217</f>
        <v>59957.383200000011</v>
      </c>
      <c r="K217" s="4">
        <f>売上高!K8*$R$217</f>
        <v>75910.56720000002</v>
      </c>
      <c r="L217" s="4">
        <f>売上高!L8*$R$217</f>
        <v>91863.751200000013</v>
      </c>
      <c r="M217" s="4">
        <f>売上高!M8*$R$217</f>
        <v>107816.93520000001</v>
      </c>
      <c r="N217" s="4">
        <f>売上高!N8*$R$217</f>
        <v>123770.11919999999</v>
      </c>
      <c r="O217" s="4">
        <f>売上高!O8*$R$217</f>
        <v>139723.30319999999</v>
      </c>
      <c r="Q217" s="1" t="s">
        <v>111</v>
      </c>
      <c r="R217" s="3">
        <v>0.2</v>
      </c>
    </row>
    <row r="218" spans="3:18">
      <c r="C218" s="8" t="s">
        <v>110</v>
      </c>
      <c r="D218" s="1" t="s">
        <v>27</v>
      </c>
    </row>
    <row r="219" spans="3:18">
      <c r="C219" s="8" t="s">
        <v>110</v>
      </c>
      <c r="D219" s="1" t="s">
        <v>61</v>
      </c>
    </row>
    <row r="220" spans="3:18">
      <c r="C220" s="8" t="s">
        <v>110</v>
      </c>
      <c r="D220" s="1" t="s">
        <v>29</v>
      </c>
    </row>
    <row r="221" spans="3:18">
      <c r="C221" s="8" t="s">
        <v>110</v>
      </c>
      <c r="D221" s="1" t="s">
        <v>30</v>
      </c>
    </row>
    <row r="222" spans="3:18">
      <c r="C222" s="61" t="s">
        <v>112</v>
      </c>
      <c r="D222" s="61"/>
      <c r="E222" s="62">
        <f>SUM(E223:E230)</f>
        <v>0</v>
      </c>
      <c r="F222" s="62">
        <f t="shared" ref="F222" si="208">SUM(F223:F230)</f>
        <v>1066</v>
      </c>
      <c r="G222" s="62">
        <f t="shared" ref="G222" si="209">SUM(G223:G230)</f>
        <v>2880</v>
      </c>
      <c r="H222" s="62">
        <f t="shared" ref="H222" si="210">SUM(H223:H230)</f>
        <v>4160</v>
      </c>
      <c r="I222" s="62">
        <f t="shared" ref="I222" si="211">SUM(I223:I230)</f>
        <v>4160</v>
      </c>
      <c r="J222" s="62">
        <f t="shared" ref="J222" si="212">SUM(J223:J230)</f>
        <v>4160</v>
      </c>
      <c r="K222" s="62">
        <f t="shared" ref="K222" si="213">SUM(K223:K230)</f>
        <v>4160</v>
      </c>
      <c r="L222" s="62">
        <f t="shared" ref="L222" si="214">SUM(L223:L230)</f>
        <v>4160</v>
      </c>
      <c r="M222" s="62">
        <f t="shared" ref="M222" si="215">SUM(M223:M230)</f>
        <v>4160</v>
      </c>
      <c r="N222" s="62">
        <f t="shared" ref="N222" si="216">SUM(N223:N230)</f>
        <v>4160</v>
      </c>
      <c r="O222" s="62">
        <f t="shared" ref="O222" si="217">SUM(O223:O230)</f>
        <v>4160</v>
      </c>
    </row>
    <row r="223" spans="3:18">
      <c r="C223" s="8" t="s">
        <v>112</v>
      </c>
      <c r="D223" s="1" t="s">
        <v>21</v>
      </c>
      <c r="E223" s="4">
        <f>売上高!E77*0.1</f>
        <v>0</v>
      </c>
      <c r="F223" s="4">
        <f>売上高!F77*0.1</f>
        <v>246</v>
      </c>
      <c r="G223" s="4">
        <f>売上高!G77*0.1</f>
        <v>1080</v>
      </c>
      <c r="H223" s="4">
        <f>売上高!H77*0.1</f>
        <v>1560</v>
      </c>
      <c r="I223" s="4">
        <f>売上高!I77*0.1</f>
        <v>1560</v>
      </c>
      <c r="J223" s="4">
        <f>売上高!J77*0.1</f>
        <v>1560</v>
      </c>
      <c r="K223" s="4">
        <f>売上高!K77*0.1</f>
        <v>1560</v>
      </c>
      <c r="L223" s="4">
        <f>売上高!L77*0.1</f>
        <v>1560</v>
      </c>
      <c r="M223" s="4">
        <f>売上高!M77*0.1</f>
        <v>1560</v>
      </c>
      <c r="N223" s="4">
        <f>売上高!N77*0.1</f>
        <v>1560</v>
      </c>
      <c r="O223" s="4">
        <f>売上高!O77*0.1</f>
        <v>1560</v>
      </c>
    </row>
    <row r="224" spans="3:18">
      <c r="C224" s="8" t="s">
        <v>112</v>
      </c>
      <c r="D224" s="1" t="s">
        <v>24</v>
      </c>
      <c r="E224" s="4">
        <f>契約数!E45*20</f>
        <v>0</v>
      </c>
      <c r="F224" s="4">
        <f>契約数!F45*20</f>
        <v>0</v>
      </c>
      <c r="G224" s="4">
        <f>契約数!G45*20</f>
        <v>0</v>
      </c>
      <c r="H224" s="4">
        <f>契約数!H45*20</f>
        <v>0</v>
      </c>
      <c r="I224" s="4">
        <f>契約数!I45*20</f>
        <v>0</v>
      </c>
      <c r="J224" s="4">
        <f>契約数!J45*20</f>
        <v>0</v>
      </c>
      <c r="K224" s="4">
        <f>契約数!K45*20</f>
        <v>0</v>
      </c>
      <c r="L224" s="4">
        <f>契約数!L45*20</f>
        <v>0</v>
      </c>
      <c r="M224" s="4">
        <f>契約数!M45*20</f>
        <v>0</v>
      </c>
      <c r="N224" s="4">
        <f>契約数!N45*20</f>
        <v>0</v>
      </c>
      <c r="O224" s="4">
        <f>契約数!O45*20</f>
        <v>0</v>
      </c>
    </row>
    <row r="225" spans="3:15">
      <c r="C225" s="8" t="s">
        <v>112</v>
      </c>
      <c r="D225" s="1" t="s">
        <v>25</v>
      </c>
      <c r="E225" s="4">
        <f>契約数!E46*20</f>
        <v>0</v>
      </c>
      <c r="F225" s="4">
        <f>契約数!F46*20</f>
        <v>820</v>
      </c>
      <c r="G225" s="4">
        <f>契約数!G46*20</f>
        <v>1800</v>
      </c>
      <c r="H225" s="4">
        <f>契約数!H46*20</f>
        <v>2600</v>
      </c>
      <c r="I225" s="4">
        <f>契約数!I46*20</f>
        <v>2600</v>
      </c>
      <c r="J225" s="4">
        <f>契約数!J46*20</f>
        <v>2600</v>
      </c>
      <c r="K225" s="4">
        <f>契約数!K46*20</f>
        <v>2600</v>
      </c>
      <c r="L225" s="4">
        <f>契約数!L46*20</f>
        <v>2600</v>
      </c>
      <c r="M225" s="4">
        <f>契約数!M46*20</f>
        <v>2600</v>
      </c>
      <c r="N225" s="4">
        <f>契約数!N46*20</f>
        <v>2600</v>
      </c>
      <c r="O225" s="4">
        <f>契約数!O46*20</f>
        <v>2600</v>
      </c>
    </row>
    <row r="226" spans="3:15">
      <c r="C226" s="8" t="s">
        <v>112</v>
      </c>
      <c r="D226" s="1" t="s">
        <v>26</v>
      </c>
      <c r="E226" s="4">
        <f>契約数!E47*20</f>
        <v>0</v>
      </c>
      <c r="F226" s="4">
        <f>契約数!F47*20</f>
        <v>0</v>
      </c>
      <c r="G226" s="4">
        <f>契約数!G47*20</f>
        <v>0</v>
      </c>
      <c r="H226" s="4">
        <f>契約数!H47*20</f>
        <v>0</v>
      </c>
      <c r="I226" s="4">
        <f>契約数!I47*20</f>
        <v>0</v>
      </c>
      <c r="J226" s="4">
        <f>契約数!J47*20</f>
        <v>0</v>
      </c>
      <c r="K226" s="4">
        <f>契約数!K47*20</f>
        <v>0</v>
      </c>
      <c r="L226" s="4">
        <f>契約数!L47*20</f>
        <v>0</v>
      </c>
      <c r="M226" s="4">
        <f>契約数!M47*20</f>
        <v>0</v>
      </c>
      <c r="N226" s="4">
        <f>契約数!N47*20</f>
        <v>0</v>
      </c>
      <c r="O226" s="4">
        <f>契約数!O47*20</f>
        <v>0</v>
      </c>
    </row>
    <row r="227" spans="3:15">
      <c r="C227" s="8" t="s">
        <v>112</v>
      </c>
      <c r="D227" s="1" t="s">
        <v>27</v>
      </c>
    </row>
    <row r="228" spans="3:15">
      <c r="C228" s="8" t="s">
        <v>112</v>
      </c>
      <c r="D228" s="1" t="s">
        <v>61</v>
      </c>
    </row>
    <row r="229" spans="3:15">
      <c r="C229" s="8" t="s">
        <v>112</v>
      </c>
      <c r="D229" s="1" t="s">
        <v>29</v>
      </c>
    </row>
    <row r="230" spans="3:15">
      <c r="C230" s="8" t="s">
        <v>112</v>
      </c>
      <c r="D230" s="1" t="s">
        <v>30</v>
      </c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F10A-1344-4595-A622-A00AD21A8C63}">
  <dimension ref="A1:S95"/>
  <sheetViews>
    <sheetView topLeftCell="A3" zoomScale="90" zoomScaleNormal="90" workbookViewId="0">
      <selection activeCell="K36" sqref="K36"/>
    </sheetView>
  </sheetViews>
  <sheetFormatPr defaultRowHeight="12"/>
  <cols>
    <col min="1" max="1" width="9.140625" style="1"/>
    <col min="2" max="2" width="5.7109375" style="1" customWidth="1"/>
    <col min="3" max="3" width="4.140625" style="1" customWidth="1"/>
    <col min="4" max="4" width="13.5703125" style="1" bestFit="1" customWidth="1"/>
    <col min="5" max="15" width="9.7109375" style="4" customWidth="1"/>
    <col min="16" max="17" width="9.140625" style="1"/>
    <col min="18" max="18" width="10.140625" style="1" bestFit="1" customWidth="1"/>
    <col min="19" max="16384" width="9.140625" style="1"/>
  </cols>
  <sheetData>
    <row r="1" spans="1:19">
      <c r="A1" s="1" t="s">
        <v>35</v>
      </c>
    </row>
    <row r="3" spans="1:19"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Q3" s="1" t="s">
        <v>55</v>
      </c>
    </row>
    <row r="4" spans="1:19">
      <c r="B4" s="1" t="s">
        <v>113</v>
      </c>
    </row>
    <row r="5" spans="1:19">
      <c r="A5" s="15"/>
      <c r="C5" s="61" t="s">
        <v>114</v>
      </c>
      <c r="D5" s="61"/>
      <c r="E5" s="62">
        <f>E15+E24+E33+E42+E51+E60+E69+E78+E87</f>
        <v>71244.868560000003</v>
      </c>
      <c r="F5" s="62">
        <f t="shared" ref="F5:O5" si="0">F15+F24+F33+F42+F51+F60+F69+F78+F87</f>
        <v>107703.5619056</v>
      </c>
      <c r="G5" s="62">
        <f t="shared" si="0"/>
        <v>170283.27292812802</v>
      </c>
      <c r="H5" s="62">
        <f t="shared" si="0"/>
        <v>192422.18651275264</v>
      </c>
      <c r="I5" s="62">
        <f t="shared" si="0"/>
        <v>215088.35138322233</v>
      </c>
      <c r="J5" s="62">
        <f t="shared" si="0"/>
        <v>235818.80368463567</v>
      </c>
      <c r="K5" s="62">
        <f t="shared" si="0"/>
        <v>254832.93302020137</v>
      </c>
      <c r="L5" s="62">
        <f t="shared" si="0"/>
        <v>272324.70495409868</v>
      </c>
      <c r="M5" s="62">
        <f t="shared" si="0"/>
        <v>288465.64870622579</v>
      </c>
      <c r="N5" s="62">
        <f t="shared" si="0"/>
        <v>303407.4907468743</v>
      </c>
      <c r="O5" s="62">
        <f t="shared" si="0"/>
        <v>317284.47647370736</v>
      </c>
    </row>
    <row r="6" spans="1:19">
      <c r="A6" s="15"/>
      <c r="C6" s="8" t="s">
        <v>114</v>
      </c>
      <c r="D6" s="1" t="s">
        <v>21</v>
      </c>
      <c r="E6" s="4">
        <f t="shared" ref="E6:O13" si="1">E16+E25+E34+E43+E52+E61+E70+E79+E88</f>
        <v>0</v>
      </c>
      <c r="F6" s="4">
        <f t="shared" si="1"/>
        <v>11000</v>
      </c>
      <c r="G6" s="4">
        <f t="shared" si="1"/>
        <v>41000</v>
      </c>
      <c r="H6" s="4">
        <f t="shared" si="1"/>
        <v>46000</v>
      </c>
      <c r="I6" s="4">
        <f t="shared" si="1"/>
        <v>51000</v>
      </c>
      <c r="J6" s="4">
        <f t="shared" si="1"/>
        <v>56000</v>
      </c>
      <c r="K6" s="4">
        <f t="shared" si="1"/>
        <v>61000</v>
      </c>
      <c r="L6" s="4">
        <f t="shared" si="1"/>
        <v>66000</v>
      </c>
      <c r="M6" s="4">
        <f t="shared" si="1"/>
        <v>71000</v>
      </c>
      <c r="N6" s="4">
        <f t="shared" si="1"/>
        <v>76000</v>
      </c>
      <c r="O6" s="4">
        <f t="shared" si="1"/>
        <v>81000</v>
      </c>
    </row>
    <row r="7" spans="1:19">
      <c r="A7" s="15"/>
      <c r="C7" s="8" t="s">
        <v>114</v>
      </c>
      <c r="D7" s="1" t="s">
        <v>24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1"/>
        <v>0</v>
      </c>
      <c r="M7" s="4">
        <f t="shared" si="1"/>
        <v>0</v>
      </c>
      <c r="N7" s="4">
        <f t="shared" si="1"/>
        <v>0</v>
      </c>
      <c r="O7" s="4">
        <f t="shared" si="1"/>
        <v>0</v>
      </c>
    </row>
    <row r="8" spans="1:19">
      <c r="A8" s="15"/>
      <c r="C8" s="8" t="s">
        <v>114</v>
      </c>
      <c r="D8" s="1" t="s">
        <v>25</v>
      </c>
      <c r="E8" s="4">
        <f t="shared" si="1"/>
        <v>210.86856</v>
      </c>
      <c r="F8" s="4">
        <f t="shared" si="1"/>
        <v>4603.5619056000005</v>
      </c>
      <c r="G8" s="4">
        <f t="shared" si="1"/>
        <v>14252.352928128003</v>
      </c>
      <c r="H8" s="4">
        <f t="shared" si="1"/>
        <v>27429.390912752639</v>
      </c>
      <c r="I8" s="4">
        <f t="shared" si="1"/>
        <v>41411.011475222323</v>
      </c>
      <c r="J8" s="4">
        <f t="shared" si="1"/>
        <v>53714.837570195654</v>
      </c>
      <c r="K8" s="4">
        <f t="shared" si="1"/>
        <v>64542.204533772172</v>
      </c>
      <c r="L8" s="4">
        <f t="shared" si="1"/>
        <v>74070.287461719519</v>
      </c>
      <c r="M8" s="4">
        <f t="shared" si="1"/>
        <v>82455.000438313175</v>
      </c>
      <c r="N8" s="4">
        <f t="shared" si="1"/>
        <v>89833.547857715588</v>
      </c>
      <c r="O8" s="4">
        <f t="shared" si="1"/>
        <v>96326.669586789707</v>
      </c>
    </row>
    <row r="9" spans="1:19">
      <c r="A9" s="15"/>
      <c r="C9" s="8" t="s">
        <v>114</v>
      </c>
      <c r="D9" s="1" t="s">
        <v>26</v>
      </c>
      <c r="E9" s="4">
        <f t="shared" si="1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0</v>
      </c>
      <c r="L9" s="4">
        <f t="shared" si="1"/>
        <v>0</v>
      </c>
      <c r="M9" s="4">
        <f t="shared" si="1"/>
        <v>0</v>
      </c>
      <c r="N9" s="4">
        <f t="shared" si="1"/>
        <v>0</v>
      </c>
      <c r="O9" s="4">
        <f t="shared" si="1"/>
        <v>0</v>
      </c>
    </row>
    <row r="10" spans="1:19">
      <c r="A10" s="15"/>
      <c r="C10" s="8" t="s">
        <v>114</v>
      </c>
      <c r="D10" s="1" t="s">
        <v>27</v>
      </c>
      <c r="E10" s="4">
        <f t="shared" si="1"/>
        <v>0</v>
      </c>
      <c r="F10" s="4">
        <f t="shared" si="1"/>
        <v>10370</v>
      </c>
      <c r="G10" s="4">
        <f t="shared" si="1"/>
        <v>10600</v>
      </c>
      <c r="H10" s="4">
        <f t="shared" si="1"/>
        <v>10600</v>
      </c>
      <c r="I10" s="4">
        <f t="shared" si="1"/>
        <v>10600</v>
      </c>
      <c r="J10" s="4">
        <f t="shared" si="1"/>
        <v>10600</v>
      </c>
      <c r="K10" s="4">
        <f t="shared" si="1"/>
        <v>10600</v>
      </c>
      <c r="L10" s="4">
        <f t="shared" si="1"/>
        <v>10600</v>
      </c>
      <c r="M10" s="4">
        <f t="shared" si="1"/>
        <v>10600</v>
      </c>
      <c r="N10" s="4">
        <f t="shared" si="1"/>
        <v>10600</v>
      </c>
      <c r="O10" s="4">
        <f t="shared" si="1"/>
        <v>10600</v>
      </c>
      <c r="Q10" s="1" t="s">
        <v>106</v>
      </c>
      <c r="R10" s="5">
        <v>10000</v>
      </c>
      <c r="S10" s="1" t="s">
        <v>86</v>
      </c>
    </row>
    <row r="11" spans="1:19">
      <c r="A11" s="15"/>
      <c r="C11" s="8" t="s">
        <v>114</v>
      </c>
      <c r="D11" s="1" t="s">
        <v>61</v>
      </c>
      <c r="E11" s="4">
        <f t="shared" si="1"/>
        <v>0</v>
      </c>
      <c r="F11" s="4">
        <f t="shared" si="1"/>
        <v>0</v>
      </c>
      <c r="G11" s="4">
        <f t="shared" si="1"/>
        <v>0</v>
      </c>
      <c r="H11" s="4">
        <f t="shared" si="1"/>
        <v>0</v>
      </c>
      <c r="I11" s="4">
        <f t="shared" si="1"/>
        <v>0</v>
      </c>
      <c r="J11" s="4">
        <f t="shared" si="1"/>
        <v>0</v>
      </c>
      <c r="K11" s="4">
        <f t="shared" si="1"/>
        <v>0</v>
      </c>
      <c r="L11" s="4">
        <f t="shared" si="1"/>
        <v>0</v>
      </c>
      <c r="M11" s="4">
        <f t="shared" si="1"/>
        <v>0</v>
      </c>
      <c r="N11" s="4">
        <f t="shared" si="1"/>
        <v>0</v>
      </c>
      <c r="O11" s="4">
        <f t="shared" si="1"/>
        <v>0</v>
      </c>
      <c r="R11" s="4"/>
    </row>
    <row r="12" spans="1:19">
      <c r="A12" s="15"/>
      <c r="C12" s="8" t="s">
        <v>114</v>
      </c>
      <c r="D12" s="1" t="s">
        <v>29</v>
      </c>
      <c r="E12" s="4">
        <f t="shared" si="1"/>
        <v>0</v>
      </c>
      <c r="F12" s="4">
        <f t="shared" si="1"/>
        <v>0</v>
      </c>
      <c r="G12" s="4">
        <f t="shared" si="1"/>
        <v>0</v>
      </c>
      <c r="H12" s="4">
        <f t="shared" si="1"/>
        <v>0</v>
      </c>
      <c r="I12" s="4">
        <f t="shared" si="1"/>
        <v>0</v>
      </c>
      <c r="J12" s="4">
        <f t="shared" si="1"/>
        <v>0</v>
      </c>
      <c r="K12" s="4">
        <f t="shared" si="1"/>
        <v>0</v>
      </c>
      <c r="L12" s="4">
        <f t="shared" si="1"/>
        <v>0</v>
      </c>
      <c r="M12" s="4">
        <f t="shared" si="1"/>
        <v>0</v>
      </c>
      <c r="N12" s="4">
        <f t="shared" si="1"/>
        <v>0</v>
      </c>
      <c r="O12" s="4">
        <f t="shared" si="1"/>
        <v>0</v>
      </c>
    </row>
    <row r="13" spans="1:19">
      <c r="A13" s="15"/>
      <c r="C13" s="8" t="s">
        <v>114</v>
      </c>
      <c r="D13" s="1" t="s">
        <v>30</v>
      </c>
      <c r="E13" s="4">
        <f t="shared" si="1"/>
        <v>0</v>
      </c>
      <c r="F13" s="4">
        <f t="shared" si="1"/>
        <v>0</v>
      </c>
      <c r="G13" s="4">
        <f t="shared" si="1"/>
        <v>0</v>
      </c>
      <c r="H13" s="4">
        <f t="shared" si="1"/>
        <v>0</v>
      </c>
      <c r="I13" s="4">
        <f t="shared" si="1"/>
        <v>0</v>
      </c>
      <c r="J13" s="4">
        <f t="shared" si="1"/>
        <v>0</v>
      </c>
      <c r="K13" s="4">
        <f t="shared" si="1"/>
        <v>0</v>
      </c>
      <c r="L13" s="4">
        <f t="shared" si="1"/>
        <v>0</v>
      </c>
      <c r="M13" s="4">
        <f t="shared" si="1"/>
        <v>0</v>
      </c>
      <c r="N13" s="4">
        <f t="shared" si="1"/>
        <v>0</v>
      </c>
      <c r="O13" s="4">
        <f t="shared" si="1"/>
        <v>0</v>
      </c>
    </row>
    <row r="14" spans="1:19">
      <c r="B14" s="1" t="s">
        <v>113</v>
      </c>
    </row>
    <row r="15" spans="1:19">
      <c r="A15" s="15"/>
      <c r="C15" s="61" t="s">
        <v>114</v>
      </c>
      <c r="D15" s="61"/>
      <c r="E15" s="62">
        <f>SUM(E16:E23)</f>
        <v>0</v>
      </c>
      <c r="F15" s="62">
        <f t="shared" ref="F15:O15" si="2">SUM(F16:F23)</f>
        <v>10000</v>
      </c>
      <c r="G15" s="62">
        <f t="shared" si="2"/>
        <v>10000</v>
      </c>
      <c r="H15" s="62">
        <f t="shared" si="2"/>
        <v>10000</v>
      </c>
      <c r="I15" s="62">
        <f t="shared" si="2"/>
        <v>10000</v>
      </c>
      <c r="J15" s="62">
        <f t="shared" si="2"/>
        <v>10000</v>
      </c>
      <c r="K15" s="62">
        <f t="shared" si="2"/>
        <v>10000</v>
      </c>
      <c r="L15" s="62">
        <f t="shared" si="2"/>
        <v>10000</v>
      </c>
      <c r="M15" s="62">
        <f t="shared" si="2"/>
        <v>10000</v>
      </c>
      <c r="N15" s="62">
        <f t="shared" si="2"/>
        <v>10000</v>
      </c>
      <c r="O15" s="62">
        <f t="shared" si="2"/>
        <v>10000</v>
      </c>
    </row>
    <row r="16" spans="1:19">
      <c r="A16" s="15"/>
      <c r="C16" s="8" t="s">
        <v>114</v>
      </c>
      <c r="D16" s="1" t="s">
        <v>21</v>
      </c>
    </row>
    <row r="17" spans="1:19">
      <c r="A17" s="15"/>
      <c r="C17" s="8" t="s">
        <v>114</v>
      </c>
      <c r="D17" s="1" t="s">
        <v>24</v>
      </c>
    </row>
    <row r="18" spans="1:19">
      <c r="A18" s="15"/>
      <c r="C18" s="8" t="s">
        <v>114</v>
      </c>
      <c r="D18" s="1" t="s">
        <v>25</v>
      </c>
    </row>
    <row r="19" spans="1:19">
      <c r="A19" s="15"/>
      <c r="C19" s="8" t="s">
        <v>114</v>
      </c>
      <c r="D19" s="1" t="s">
        <v>26</v>
      </c>
    </row>
    <row r="20" spans="1:19">
      <c r="A20" s="15"/>
      <c r="C20" s="8" t="s">
        <v>114</v>
      </c>
      <c r="D20" s="1" t="s">
        <v>27</v>
      </c>
      <c r="F20" s="4">
        <f>$R$20</f>
        <v>10000</v>
      </c>
      <c r="G20" s="4">
        <f t="shared" ref="G20:O20" si="3">$R$20</f>
        <v>10000</v>
      </c>
      <c r="H20" s="4">
        <f t="shared" si="3"/>
        <v>10000</v>
      </c>
      <c r="I20" s="4">
        <f t="shared" si="3"/>
        <v>10000</v>
      </c>
      <c r="J20" s="4">
        <f t="shared" si="3"/>
        <v>10000</v>
      </c>
      <c r="K20" s="4">
        <f t="shared" si="3"/>
        <v>10000</v>
      </c>
      <c r="L20" s="4">
        <f t="shared" si="3"/>
        <v>10000</v>
      </c>
      <c r="M20" s="4">
        <f t="shared" si="3"/>
        <v>10000</v>
      </c>
      <c r="N20" s="4">
        <f t="shared" si="3"/>
        <v>10000</v>
      </c>
      <c r="O20" s="4">
        <f t="shared" si="3"/>
        <v>10000</v>
      </c>
      <c r="Q20" s="1" t="s">
        <v>106</v>
      </c>
      <c r="R20" s="5">
        <v>10000</v>
      </c>
      <c r="S20" s="1" t="s">
        <v>86</v>
      </c>
    </row>
    <row r="21" spans="1:19">
      <c r="A21" s="15"/>
      <c r="C21" s="8" t="s">
        <v>114</v>
      </c>
      <c r="D21" s="1" t="s">
        <v>61</v>
      </c>
      <c r="R21" s="4"/>
    </row>
    <row r="22" spans="1:19">
      <c r="A22" s="15"/>
      <c r="C22" s="8" t="s">
        <v>114</v>
      </c>
      <c r="D22" s="1" t="s">
        <v>29</v>
      </c>
    </row>
    <row r="23" spans="1:19">
      <c r="A23" s="15"/>
      <c r="C23" s="8" t="s">
        <v>114</v>
      </c>
      <c r="D23" s="1" t="s">
        <v>30</v>
      </c>
    </row>
    <row r="24" spans="1:19">
      <c r="A24" s="15"/>
      <c r="C24" s="61" t="s">
        <v>115</v>
      </c>
      <c r="D24" s="61"/>
      <c r="E24" s="62">
        <f>SUM(E25:E32)</f>
        <v>0</v>
      </c>
      <c r="F24" s="62">
        <f t="shared" ref="F24:O24" si="4">SUM(F26:F32)</f>
        <v>370</v>
      </c>
      <c r="G24" s="62">
        <f t="shared" si="4"/>
        <v>600</v>
      </c>
      <c r="H24" s="62">
        <f t="shared" si="4"/>
        <v>600</v>
      </c>
      <c r="I24" s="62">
        <f t="shared" si="4"/>
        <v>600</v>
      </c>
      <c r="J24" s="62">
        <f t="shared" si="4"/>
        <v>600</v>
      </c>
      <c r="K24" s="62">
        <f t="shared" si="4"/>
        <v>600</v>
      </c>
      <c r="L24" s="62">
        <f t="shared" si="4"/>
        <v>600</v>
      </c>
      <c r="M24" s="62">
        <f t="shared" si="4"/>
        <v>600</v>
      </c>
      <c r="N24" s="62">
        <f t="shared" si="4"/>
        <v>600</v>
      </c>
      <c r="O24" s="62">
        <f t="shared" si="4"/>
        <v>600</v>
      </c>
    </row>
    <row r="25" spans="1:19">
      <c r="A25" s="15"/>
      <c r="C25" s="8" t="s">
        <v>115</v>
      </c>
      <c r="D25" s="1" t="s">
        <v>21</v>
      </c>
    </row>
    <row r="26" spans="1:19">
      <c r="A26" s="15"/>
      <c r="C26" s="8" t="s">
        <v>115</v>
      </c>
      <c r="D26" s="1" t="s">
        <v>24</v>
      </c>
    </row>
    <row r="27" spans="1:19">
      <c r="A27" s="15"/>
      <c r="C27" s="8" t="s">
        <v>115</v>
      </c>
      <c r="D27" s="1" t="s">
        <v>25</v>
      </c>
    </row>
    <row r="28" spans="1:19">
      <c r="A28" s="15"/>
      <c r="C28" s="8" t="s">
        <v>115</v>
      </c>
      <c r="D28" s="1" t="s">
        <v>26</v>
      </c>
    </row>
    <row r="29" spans="1:19">
      <c r="A29" s="15"/>
      <c r="C29" s="8" t="s">
        <v>115</v>
      </c>
      <c r="D29" s="1" t="s">
        <v>27</v>
      </c>
      <c r="F29" s="5">
        <v>370</v>
      </c>
      <c r="G29" s="5">
        <v>600</v>
      </c>
      <c r="H29" s="4">
        <f>G29</f>
        <v>600</v>
      </c>
      <c r="I29" s="4">
        <f t="shared" ref="I29:O29" si="5">H29</f>
        <v>600</v>
      </c>
      <c r="J29" s="4">
        <f t="shared" si="5"/>
        <v>600</v>
      </c>
      <c r="K29" s="4">
        <f t="shared" si="5"/>
        <v>600</v>
      </c>
      <c r="L29" s="4">
        <f t="shared" si="5"/>
        <v>600</v>
      </c>
      <c r="M29" s="4">
        <f t="shared" si="5"/>
        <v>600</v>
      </c>
      <c r="N29" s="4">
        <f t="shared" si="5"/>
        <v>600</v>
      </c>
      <c r="O29" s="4">
        <f t="shared" si="5"/>
        <v>600</v>
      </c>
    </row>
    <row r="30" spans="1:19">
      <c r="A30" s="15"/>
      <c r="C30" s="8" t="s">
        <v>115</v>
      </c>
      <c r="D30" s="1" t="s">
        <v>61</v>
      </c>
    </row>
    <row r="31" spans="1:19">
      <c r="A31" s="15"/>
      <c r="C31" s="8" t="s">
        <v>115</v>
      </c>
      <c r="D31" s="1" t="s">
        <v>29</v>
      </c>
    </row>
    <row r="32" spans="1:19">
      <c r="A32" s="15"/>
      <c r="C32" s="8" t="s">
        <v>115</v>
      </c>
      <c r="D32" s="1" t="s">
        <v>30</v>
      </c>
    </row>
    <row r="33" spans="1:19">
      <c r="A33" s="15"/>
      <c r="C33" s="61" t="s">
        <v>116</v>
      </c>
      <c r="D33" s="61"/>
      <c r="E33" s="62">
        <f>SUM(E34:E41)</f>
        <v>0</v>
      </c>
      <c r="F33" s="62">
        <f t="shared" ref="F33:O33" si="6">SUM(F34:F41)</f>
        <v>11000</v>
      </c>
      <c r="G33" s="62">
        <f t="shared" si="6"/>
        <v>21000</v>
      </c>
      <c r="H33" s="62">
        <f t="shared" si="6"/>
        <v>26000</v>
      </c>
      <c r="I33" s="62">
        <f t="shared" si="6"/>
        <v>31000</v>
      </c>
      <c r="J33" s="62">
        <f t="shared" si="6"/>
        <v>36000</v>
      </c>
      <c r="K33" s="62">
        <f t="shared" si="6"/>
        <v>41000</v>
      </c>
      <c r="L33" s="62">
        <f t="shared" si="6"/>
        <v>46000</v>
      </c>
      <c r="M33" s="62">
        <f t="shared" si="6"/>
        <v>51000</v>
      </c>
      <c r="N33" s="62">
        <f t="shared" si="6"/>
        <v>56000</v>
      </c>
      <c r="O33" s="62">
        <f t="shared" si="6"/>
        <v>61000</v>
      </c>
    </row>
    <row r="34" spans="1:19">
      <c r="A34" s="15"/>
      <c r="C34" s="8" t="s">
        <v>116</v>
      </c>
      <c r="D34" s="1" t="s">
        <v>21</v>
      </c>
      <c r="F34" s="4">
        <f>$R$34/$R$35</f>
        <v>11000</v>
      </c>
      <c r="G34" s="4">
        <f>$R$34/$R$35+$R$36/$R$35</f>
        <v>21000</v>
      </c>
      <c r="H34" s="4">
        <f>$R$34/$R$35+$R$36/$R$35+$R$37/$R$35</f>
        <v>26000</v>
      </c>
      <c r="I34" s="4">
        <f>$R$34/$R$35+$R$36/$R$35+$R$37*2/$R$35</f>
        <v>31000</v>
      </c>
      <c r="J34" s="4">
        <f>$R$34/$R$35+$R$36/$R$35+$R$37*3/$R$35</f>
        <v>36000</v>
      </c>
      <c r="K34" s="4">
        <f>$R$34/$R$35+$R$36/$R$35+$R$37*4/$R$35</f>
        <v>41000</v>
      </c>
      <c r="L34" s="4">
        <f>$R$34/$R$35+$R$36/$R$35+$R$37*5/$R$35</f>
        <v>46000</v>
      </c>
      <c r="M34" s="4">
        <f>$R$34/$R$35+$R$36/$R$35+$R$37*6/$R$35</f>
        <v>51000</v>
      </c>
      <c r="N34" s="4">
        <f>$R$34/$R$35+$R$36/$R$35+$R$37*7/$R$35</f>
        <v>56000</v>
      </c>
      <c r="O34" s="4">
        <f>$R$34/$R$35+$R$36/$R$35+$R$37*8/$R$35</f>
        <v>61000</v>
      </c>
      <c r="Q34" s="1" t="s">
        <v>117</v>
      </c>
      <c r="R34" s="5">
        <v>110000</v>
      </c>
      <c r="S34" s="1" t="s">
        <v>86</v>
      </c>
    </row>
    <row r="35" spans="1:19">
      <c r="A35" s="15"/>
      <c r="C35" s="8" t="s">
        <v>116</v>
      </c>
      <c r="D35" s="1" t="s">
        <v>24</v>
      </c>
      <c r="Q35" s="1" t="s">
        <v>118</v>
      </c>
      <c r="R35" s="2">
        <v>10</v>
      </c>
      <c r="S35" s="1" t="s">
        <v>119</v>
      </c>
    </row>
    <row r="36" spans="1:19">
      <c r="A36" s="15"/>
      <c r="C36" s="8" t="s">
        <v>116</v>
      </c>
      <c r="D36" s="1" t="s">
        <v>25</v>
      </c>
      <c r="Q36" s="1" t="s">
        <v>120</v>
      </c>
      <c r="R36" s="5">
        <v>100000</v>
      </c>
      <c r="S36" s="1" t="s">
        <v>86</v>
      </c>
    </row>
    <row r="37" spans="1:19">
      <c r="A37" s="15"/>
      <c r="C37" s="8" t="s">
        <v>116</v>
      </c>
      <c r="D37" s="1" t="s">
        <v>26</v>
      </c>
      <c r="Q37" s="1" t="s">
        <v>121</v>
      </c>
      <c r="R37" s="5">
        <v>50000</v>
      </c>
      <c r="S37" s="1" t="s">
        <v>86</v>
      </c>
    </row>
    <row r="38" spans="1:19">
      <c r="A38" s="15"/>
      <c r="C38" s="8" t="s">
        <v>116</v>
      </c>
      <c r="D38" s="1" t="s">
        <v>27</v>
      </c>
    </row>
    <row r="39" spans="1:19">
      <c r="A39" s="15"/>
      <c r="C39" s="8" t="s">
        <v>116</v>
      </c>
      <c r="D39" s="1" t="s">
        <v>61</v>
      </c>
    </row>
    <row r="40" spans="1:19">
      <c r="A40" s="15"/>
      <c r="C40" s="8" t="s">
        <v>116</v>
      </c>
      <c r="D40" s="1" t="s">
        <v>29</v>
      </c>
    </row>
    <row r="41" spans="1:19">
      <c r="A41" s="15"/>
      <c r="C41" s="8" t="s">
        <v>116</v>
      </c>
      <c r="D41" s="1" t="s">
        <v>30</v>
      </c>
    </row>
    <row r="42" spans="1:19">
      <c r="A42" s="15"/>
      <c r="C42" s="61" t="s">
        <v>122</v>
      </c>
      <c r="D42" s="61"/>
      <c r="E42" s="62">
        <f>SUM(E43:E50)</f>
        <v>0</v>
      </c>
      <c r="F42" s="62">
        <f t="shared" ref="F42:O42" si="7">SUM(F43:F50)</f>
        <v>0</v>
      </c>
      <c r="G42" s="62">
        <f t="shared" si="7"/>
        <v>20000</v>
      </c>
      <c r="H42" s="62">
        <f t="shared" si="7"/>
        <v>20000</v>
      </c>
      <c r="I42" s="62">
        <f t="shared" si="7"/>
        <v>20000</v>
      </c>
      <c r="J42" s="62">
        <f t="shared" si="7"/>
        <v>20000</v>
      </c>
      <c r="K42" s="62">
        <f t="shared" si="7"/>
        <v>20000</v>
      </c>
      <c r="L42" s="62">
        <f t="shared" si="7"/>
        <v>20000</v>
      </c>
      <c r="M42" s="62">
        <f t="shared" si="7"/>
        <v>20000</v>
      </c>
      <c r="N42" s="62">
        <f t="shared" si="7"/>
        <v>20000</v>
      </c>
      <c r="O42" s="62">
        <f t="shared" si="7"/>
        <v>20000</v>
      </c>
    </row>
    <row r="43" spans="1:19">
      <c r="A43" s="15"/>
      <c r="C43" s="8" t="s">
        <v>122</v>
      </c>
      <c r="D43" s="1" t="s">
        <v>21</v>
      </c>
      <c r="G43" s="4">
        <f>R43/R44</f>
        <v>20000</v>
      </c>
      <c r="H43" s="4">
        <f>G43</f>
        <v>20000</v>
      </c>
      <c r="I43" s="4">
        <f t="shared" ref="I43:O43" si="8">H43</f>
        <v>20000</v>
      </c>
      <c r="J43" s="4">
        <f t="shared" si="8"/>
        <v>20000</v>
      </c>
      <c r="K43" s="4">
        <f t="shared" si="8"/>
        <v>20000</v>
      </c>
      <c r="L43" s="4">
        <f t="shared" si="8"/>
        <v>20000</v>
      </c>
      <c r="M43" s="4">
        <f t="shared" si="8"/>
        <v>20000</v>
      </c>
      <c r="N43" s="4">
        <f t="shared" si="8"/>
        <v>20000</v>
      </c>
      <c r="O43" s="4">
        <f t="shared" si="8"/>
        <v>20000</v>
      </c>
      <c r="Q43" s="1" t="s">
        <v>123</v>
      </c>
      <c r="R43" s="5">
        <v>200000</v>
      </c>
      <c r="S43" s="1" t="s">
        <v>86</v>
      </c>
    </row>
    <row r="44" spans="1:19">
      <c r="A44" s="15"/>
      <c r="C44" s="8" t="s">
        <v>122</v>
      </c>
      <c r="D44" s="1" t="s">
        <v>24</v>
      </c>
      <c r="Q44" s="1" t="s">
        <v>118</v>
      </c>
      <c r="R44" s="2">
        <v>10</v>
      </c>
      <c r="S44" s="1" t="s">
        <v>119</v>
      </c>
    </row>
    <row r="45" spans="1:19">
      <c r="A45" s="15"/>
      <c r="C45" s="8" t="s">
        <v>122</v>
      </c>
      <c r="D45" s="1" t="s">
        <v>25</v>
      </c>
    </row>
    <row r="46" spans="1:19">
      <c r="A46" s="15"/>
      <c r="C46" s="8" t="s">
        <v>122</v>
      </c>
      <c r="D46" s="1" t="s">
        <v>26</v>
      </c>
    </row>
    <row r="47" spans="1:19">
      <c r="A47" s="15"/>
      <c r="C47" s="8" t="s">
        <v>122</v>
      </c>
      <c r="D47" s="1" t="s">
        <v>27</v>
      </c>
    </row>
    <row r="48" spans="1:19">
      <c r="A48" s="15"/>
      <c r="C48" s="8" t="s">
        <v>122</v>
      </c>
      <c r="D48" s="1" t="s">
        <v>61</v>
      </c>
    </row>
    <row r="49" spans="1:15">
      <c r="A49" s="15"/>
      <c r="C49" s="8" t="s">
        <v>122</v>
      </c>
      <c r="D49" s="1" t="s">
        <v>29</v>
      </c>
    </row>
    <row r="50" spans="1:15">
      <c r="A50" s="15"/>
      <c r="C50" s="8" t="s">
        <v>122</v>
      </c>
      <c r="D50" s="1" t="s">
        <v>30</v>
      </c>
    </row>
    <row r="51" spans="1:15">
      <c r="A51" s="15"/>
      <c r="C51" s="61" t="s">
        <v>124</v>
      </c>
      <c r="D51" s="61"/>
      <c r="E51" s="62">
        <v>416</v>
      </c>
      <c r="F51" s="62">
        <v>416</v>
      </c>
      <c r="G51" s="62">
        <f>F51*2</f>
        <v>832</v>
      </c>
      <c r="H51" s="62">
        <f>G51</f>
        <v>832</v>
      </c>
      <c r="I51" s="62">
        <f t="shared" ref="I51:O51" si="9">H51</f>
        <v>832</v>
      </c>
      <c r="J51" s="62">
        <f t="shared" si="9"/>
        <v>832</v>
      </c>
      <c r="K51" s="62">
        <f t="shared" si="9"/>
        <v>832</v>
      </c>
      <c r="L51" s="62">
        <f t="shared" si="9"/>
        <v>832</v>
      </c>
      <c r="M51" s="62">
        <f t="shared" si="9"/>
        <v>832</v>
      </c>
      <c r="N51" s="62">
        <f t="shared" si="9"/>
        <v>832</v>
      </c>
      <c r="O51" s="62">
        <f t="shared" si="9"/>
        <v>832</v>
      </c>
    </row>
    <row r="52" spans="1:15">
      <c r="A52" s="15"/>
      <c r="C52" s="8" t="s">
        <v>124</v>
      </c>
      <c r="D52" s="1" t="s">
        <v>21</v>
      </c>
    </row>
    <row r="53" spans="1:15">
      <c r="A53" s="15"/>
      <c r="C53" s="8" t="s">
        <v>124</v>
      </c>
      <c r="D53" s="1" t="s">
        <v>24</v>
      </c>
    </row>
    <row r="54" spans="1:15">
      <c r="A54" s="15"/>
      <c r="C54" s="8" t="s">
        <v>124</v>
      </c>
      <c r="D54" s="1" t="s">
        <v>25</v>
      </c>
    </row>
    <row r="55" spans="1:15">
      <c r="A55" s="15"/>
      <c r="C55" s="8" t="s">
        <v>124</v>
      </c>
      <c r="D55" s="1" t="s">
        <v>26</v>
      </c>
    </row>
    <row r="56" spans="1:15">
      <c r="A56" s="15"/>
      <c r="C56" s="8" t="s">
        <v>124</v>
      </c>
      <c r="D56" s="1" t="s">
        <v>27</v>
      </c>
    </row>
    <row r="57" spans="1:15">
      <c r="A57" s="15"/>
      <c r="C57" s="8" t="s">
        <v>124</v>
      </c>
      <c r="D57" s="1" t="s">
        <v>61</v>
      </c>
    </row>
    <row r="58" spans="1:15">
      <c r="A58" s="15"/>
      <c r="C58" s="8" t="s">
        <v>124</v>
      </c>
      <c r="D58" s="1" t="s">
        <v>29</v>
      </c>
    </row>
    <row r="59" spans="1:15">
      <c r="A59" s="15"/>
      <c r="C59" s="8" t="s">
        <v>124</v>
      </c>
      <c r="D59" s="1" t="s">
        <v>30</v>
      </c>
    </row>
    <row r="60" spans="1:15">
      <c r="A60" s="15"/>
      <c r="C60" s="61" t="s">
        <v>125</v>
      </c>
      <c r="D60" s="61"/>
      <c r="E60" s="62">
        <v>270</v>
      </c>
      <c r="F60" s="62">
        <v>270</v>
      </c>
      <c r="G60" s="62">
        <f>F60*2</f>
        <v>540</v>
      </c>
      <c r="H60" s="62">
        <f>G60</f>
        <v>540</v>
      </c>
      <c r="I60" s="62">
        <f t="shared" ref="I60:O60" si="10">H60</f>
        <v>540</v>
      </c>
      <c r="J60" s="62">
        <f t="shared" si="10"/>
        <v>540</v>
      </c>
      <c r="K60" s="62">
        <f t="shared" si="10"/>
        <v>540</v>
      </c>
      <c r="L60" s="62">
        <f t="shared" si="10"/>
        <v>540</v>
      </c>
      <c r="M60" s="62">
        <f t="shared" si="10"/>
        <v>540</v>
      </c>
      <c r="N60" s="62">
        <f t="shared" si="10"/>
        <v>540</v>
      </c>
      <c r="O60" s="62">
        <f t="shared" si="10"/>
        <v>540</v>
      </c>
    </row>
    <row r="61" spans="1:15">
      <c r="A61" s="15"/>
      <c r="C61" s="8" t="s">
        <v>125</v>
      </c>
      <c r="D61" s="1" t="s">
        <v>21</v>
      </c>
    </row>
    <row r="62" spans="1:15">
      <c r="A62" s="15"/>
      <c r="C62" s="8" t="s">
        <v>125</v>
      </c>
      <c r="D62" s="1" t="s">
        <v>24</v>
      </c>
    </row>
    <row r="63" spans="1:15">
      <c r="A63" s="15"/>
      <c r="C63" s="8" t="s">
        <v>125</v>
      </c>
      <c r="D63" s="1" t="s">
        <v>25</v>
      </c>
    </row>
    <row r="64" spans="1:15">
      <c r="A64" s="15"/>
      <c r="C64" s="8" t="s">
        <v>125</v>
      </c>
      <c r="D64" s="1" t="s">
        <v>26</v>
      </c>
    </row>
    <row r="65" spans="1:19">
      <c r="A65" s="15"/>
      <c r="C65" s="8" t="s">
        <v>125</v>
      </c>
      <c r="D65" s="1" t="s">
        <v>27</v>
      </c>
    </row>
    <row r="66" spans="1:19">
      <c r="A66" s="15"/>
      <c r="C66" s="8" t="s">
        <v>125</v>
      </c>
      <c r="D66" s="1" t="s">
        <v>61</v>
      </c>
    </row>
    <row r="67" spans="1:19">
      <c r="A67" s="15"/>
      <c r="C67" s="8" t="s">
        <v>125</v>
      </c>
      <c r="D67" s="1" t="s">
        <v>29</v>
      </c>
    </row>
    <row r="68" spans="1:19">
      <c r="A68" s="15"/>
      <c r="C68" s="8" t="s">
        <v>125</v>
      </c>
      <c r="D68" s="1" t="s">
        <v>30</v>
      </c>
    </row>
    <row r="69" spans="1:19">
      <c r="A69" s="15"/>
      <c r="C69" s="61" t="s">
        <v>126</v>
      </c>
      <c r="D69" s="61"/>
      <c r="E69" s="62">
        <f>10000*7</f>
        <v>70000</v>
      </c>
      <c r="F69" s="62">
        <f>10000*R69</f>
        <v>80000</v>
      </c>
      <c r="G69" s="62">
        <f>10000*$R$70</f>
        <v>100000</v>
      </c>
      <c r="H69" s="62">
        <f t="shared" ref="H69:O69" si="11">10000*$R$70</f>
        <v>100000</v>
      </c>
      <c r="I69" s="62">
        <f t="shared" si="11"/>
        <v>100000</v>
      </c>
      <c r="J69" s="62">
        <f t="shared" si="11"/>
        <v>100000</v>
      </c>
      <c r="K69" s="62">
        <f t="shared" si="11"/>
        <v>100000</v>
      </c>
      <c r="L69" s="62">
        <f t="shared" si="11"/>
        <v>100000</v>
      </c>
      <c r="M69" s="62">
        <f t="shared" si="11"/>
        <v>100000</v>
      </c>
      <c r="N69" s="62">
        <f t="shared" si="11"/>
        <v>100000</v>
      </c>
      <c r="O69" s="62">
        <f t="shared" si="11"/>
        <v>100000</v>
      </c>
      <c r="Q69" s="1" t="s">
        <v>2</v>
      </c>
      <c r="R69" s="2">
        <v>8</v>
      </c>
      <c r="S69" s="1" t="s">
        <v>127</v>
      </c>
    </row>
    <row r="70" spans="1:19">
      <c r="A70" s="15"/>
      <c r="C70" s="8" t="s">
        <v>126</v>
      </c>
      <c r="D70" s="1" t="s">
        <v>21</v>
      </c>
      <c r="Q70" s="1" t="s">
        <v>128</v>
      </c>
      <c r="R70" s="2">
        <v>10</v>
      </c>
      <c r="S70" s="1" t="s">
        <v>127</v>
      </c>
    </row>
    <row r="71" spans="1:19">
      <c r="A71" s="15"/>
      <c r="C71" s="8" t="s">
        <v>126</v>
      </c>
      <c r="D71" s="1" t="s">
        <v>24</v>
      </c>
    </row>
    <row r="72" spans="1:19">
      <c r="A72" s="15"/>
      <c r="C72" s="8" t="s">
        <v>126</v>
      </c>
      <c r="D72" s="1" t="s">
        <v>25</v>
      </c>
    </row>
    <row r="73" spans="1:19">
      <c r="A73" s="15"/>
      <c r="C73" s="8" t="s">
        <v>126</v>
      </c>
      <c r="D73" s="1" t="s">
        <v>26</v>
      </c>
    </row>
    <row r="74" spans="1:19">
      <c r="A74" s="15"/>
      <c r="C74" s="8" t="s">
        <v>126</v>
      </c>
      <c r="D74" s="1" t="s">
        <v>27</v>
      </c>
    </row>
    <row r="75" spans="1:19">
      <c r="A75" s="15"/>
      <c r="C75" s="8" t="s">
        <v>126</v>
      </c>
      <c r="D75" s="1" t="s">
        <v>61</v>
      </c>
    </row>
    <row r="76" spans="1:19">
      <c r="A76" s="15"/>
      <c r="C76" s="8" t="s">
        <v>126</v>
      </c>
      <c r="D76" s="1" t="s">
        <v>29</v>
      </c>
    </row>
    <row r="77" spans="1:19">
      <c r="A77" s="15"/>
      <c r="C77" s="8" t="s">
        <v>126</v>
      </c>
      <c r="D77" s="1" t="s">
        <v>30</v>
      </c>
    </row>
    <row r="78" spans="1:19">
      <c r="A78" s="15"/>
      <c r="C78" s="61" t="s">
        <v>129</v>
      </c>
      <c r="D78" s="61"/>
      <c r="E78" s="62">
        <f>F78/3</f>
        <v>348</v>
      </c>
      <c r="F78" s="62">
        <f>(契約数!F18+契約数!F39)*$R$78*$R$79*$R$80</f>
        <v>1044</v>
      </c>
      <c r="G78" s="62">
        <f>(契約数!G18+契約数!G39)*$R$78*$R$79*$R$80</f>
        <v>3058.9200000000005</v>
      </c>
      <c r="H78" s="62">
        <f>(契約数!H18+契約数!H39)*$R$78*$R$79*$R$80</f>
        <v>7020.7955999999995</v>
      </c>
      <c r="I78" s="62">
        <f>(契約数!I18+契約数!I39)*$R$78*$R$79*$R$80</f>
        <v>10705.339908000002</v>
      </c>
      <c r="J78" s="62">
        <f>(契約数!J18+契約数!J39)*$R$78*$R$79*$R$80</f>
        <v>14131.966114440002</v>
      </c>
      <c r="K78" s="62">
        <f>(契約数!K18+契約数!K39)*$R$78*$R$79*$R$80</f>
        <v>17318.728486429201</v>
      </c>
      <c r="L78" s="62">
        <f>(契約数!L18+契約数!L39)*$R$78*$R$79*$R$80</f>
        <v>20282.417492379158</v>
      </c>
      <c r="M78" s="62">
        <f>(契約数!M18+契約数!M39)*$R$78*$R$79*$R$80</f>
        <v>23038.64826791262</v>
      </c>
      <c r="N78" s="62">
        <f>(契約数!N18+契約数!N39)*$R$78*$R$79*$R$80</f>
        <v>25601.942889158738</v>
      </c>
      <c r="O78" s="62">
        <f>(契約数!O18+契約数!O39)*$R$78*$R$79*$R$80</f>
        <v>27985.806886917628</v>
      </c>
      <c r="Q78" s="1" t="s">
        <v>130</v>
      </c>
      <c r="R78" s="2">
        <v>12</v>
      </c>
      <c r="S78" s="1" t="s">
        <v>131</v>
      </c>
    </row>
    <row r="79" spans="1:19">
      <c r="A79" s="15"/>
      <c r="C79" s="8" t="s">
        <v>132</v>
      </c>
      <c r="D79" s="1" t="s">
        <v>21</v>
      </c>
      <c r="Q79" s="1" t="s">
        <v>133</v>
      </c>
      <c r="R79" s="2">
        <v>1.5</v>
      </c>
      <c r="S79" s="1" t="s">
        <v>134</v>
      </c>
    </row>
    <row r="80" spans="1:19">
      <c r="A80" s="15"/>
      <c r="C80" s="8" t="s">
        <v>132</v>
      </c>
      <c r="D80" s="1" t="s">
        <v>24</v>
      </c>
      <c r="Q80" s="1" t="s">
        <v>135</v>
      </c>
      <c r="R80" s="2">
        <v>5.8</v>
      </c>
      <c r="S80" s="1" t="s">
        <v>86</v>
      </c>
    </row>
    <row r="81" spans="1:19">
      <c r="A81" s="15"/>
      <c r="C81" s="8" t="s">
        <v>132</v>
      </c>
      <c r="D81" s="1" t="s">
        <v>25</v>
      </c>
    </row>
    <row r="82" spans="1:19">
      <c r="A82" s="15"/>
      <c r="C82" s="8" t="s">
        <v>132</v>
      </c>
      <c r="D82" s="1" t="s">
        <v>26</v>
      </c>
    </row>
    <row r="83" spans="1:19">
      <c r="A83" s="15"/>
      <c r="C83" s="8" t="s">
        <v>132</v>
      </c>
      <c r="D83" s="1" t="s">
        <v>27</v>
      </c>
    </row>
    <row r="84" spans="1:19">
      <c r="A84" s="15"/>
      <c r="C84" s="8" t="s">
        <v>132</v>
      </c>
      <c r="D84" s="1" t="s">
        <v>61</v>
      </c>
    </row>
    <row r="85" spans="1:19">
      <c r="A85" s="15"/>
      <c r="C85" s="8" t="s">
        <v>132</v>
      </c>
      <c r="D85" s="1" t="s">
        <v>29</v>
      </c>
    </row>
    <row r="86" spans="1:19">
      <c r="A86" s="15"/>
      <c r="C86" s="8" t="s">
        <v>132</v>
      </c>
      <c r="D86" s="1" t="s">
        <v>30</v>
      </c>
    </row>
    <row r="87" spans="1:19">
      <c r="A87" s="15"/>
      <c r="C87" s="61" t="s">
        <v>136</v>
      </c>
      <c r="D87" s="61"/>
      <c r="E87" s="62">
        <f>SUM(E88:E95)</f>
        <v>210.86856</v>
      </c>
      <c r="F87" s="62">
        <f>SUM(F88:F95)</f>
        <v>4603.5619056000005</v>
      </c>
      <c r="G87" s="62">
        <f t="shared" ref="G87:O87" si="12">SUM(G88:G95)</f>
        <v>14252.352928128003</v>
      </c>
      <c r="H87" s="62">
        <f t="shared" si="12"/>
        <v>27429.390912752639</v>
      </c>
      <c r="I87" s="62">
        <f t="shared" si="12"/>
        <v>41411.011475222323</v>
      </c>
      <c r="J87" s="62">
        <f t="shared" si="12"/>
        <v>53714.837570195654</v>
      </c>
      <c r="K87" s="62">
        <f t="shared" si="12"/>
        <v>64542.204533772172</v>
      </c>
      <c r="L87" s="62">
        <f t="shared" si="12"/>
        <v>74070.287461719519</v>
      </c>
      <c r="M87" s="62">
        <f t="shared" si="12"/>
        <v>82455.000438313175</v>
      </c>
      <c r="N87" s="62">
        <f t="shared" si="12"/>
        <v>89833.547857715588</v>
      </c>
      <c r="O87" s="62">
        <f t="shared" si="12"/>
        <v>96326.669586789707</v>
      </c>
    </row>
    <row r="88" spans="1:19">
      <c r="A88" s="15"/>
      <c r="C88" s="8" t="s">
        <v>136</v>
      </c>
      <c r="D88" s="1" t="s">
        <v>21</v>
      </c>
    </row>
    <row r="89" spans="1:19">
      <c r="A89" s="15"/>
      <c r="C89" s="8" t="s">
        <v>136</v>
      </c>
      <c r="D89" s="1" t="s">
        <v>24</v>
      </c>
    </row>
    <row r="90" spans="1:19">
      <c r="A90" s="15"/>
      <c r="C90" s="8" t="s">
        <v>136</v>
      </c>
      <c r="D90" s="1" t="s">
        <v>25</v>
      </c>
      <c r="E90" s="4">
        <f>売上高!E7*$R$90</f>
        <v>210.86856</v>
      </c>
      <c r="F90" s="4">
        <f>売上高!F7*$R$90</f>
        <v>4603.5619056000005</v>
      </c>
      <c r="G90" s="4">
        <f>売上高!G7*$R$90</f>
        <v>14252.352928128003</v>
      </c>
      <c r="H90" s="4">
        <f>売上高!H7*$R$90</f>
        <v>27429.390912752639</v>
      </c>
      <c r="I90" s="4">
        <f>売上高!I7*$R$90</f>
        <v>41411.011475222323</v>
      </c>
      <c r="J90" s="4">
        <f>売上高!J7*$R$90</f>
        <v>53714.837570195654</v>
      </c>
      <c r="K90" s="4">
        <f>売上高!K7*$R$90</f>
        <v>64542.204533772172</v>
      </c>
      <c r="L90" s="4">
        <f>売上高!L7*$R$90</f>
        <v>74070.287461719519</v>
      </c>
      <c r="M90" s="4">
        <f>売上高!M7*$R$90</f>
        <v>82455.000438313175</v>
      </c>
      <c r="N90" s="4">
        <f>売上高!N7*$R$90</f>
        <v>89833.547857715588</v>
      </c>
      <c r="O90" s="4">
        <f>売上高!O7*$R$90</f>
        <v>96326.669586789707</v>
      </c>
      <c r="Q90" s="1" t="s">
        <v>137</v>
      </c>
      <c r="R90" s="3">
        <v>0.14000000000000001</v>
      </c>
      <c r="S90" s="1" t="s">
        <v>138</v>
      </c>
    </row>
    <row r="91" spans="1:19">
      <c r="A91" s="15"/>
      <c r="C91" s="8" t="s">
        <v>136</v>
      </c>
      <c r="D91" s="1" t="s">
        <v>26</v>
      </c>
    </row>
    <row r="92" spans="1:19">
      <c r="A92" s="15"/>
      <c r="C92" s="8" t="s">
        <v>136</v>
      </c>
      <c r="D92" s="1" t="s">
        <v>27</v>
      </c>
    </row>
    <row r="93" spans="1:19">
      <c r="A93" s="15"/>
      <c r="C93" s="8" t="s">
        <v>136</v>
      </c>
      <c r="D93" s="1" t="s">
        <v>61</v>
      </c>
    </row>
    <row r="94" spans="1:19">
      <c r="A94" s="15"/>
      <c r="C94" s="8" t="s">
        <v>136</v>
      </c>
      <c r="D94" s="1" t="s">
        <v>29</v>
      </c>
    </row>
    <row r="95" spans="1:19">
      <c r="A95" s="15"/>
      <c r="C95" s="8" t="s">
        <v>136</v>
      </c>
      <c r="D95" s="1" t="s">
        <v>30</v>
      </c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4D73-E40B-4B4F-A8A7-55D9E7D9E7D5}">
  <sheetPr>
    <tabColor theme="1"/>
  </sheetPr>
  <dimension ref="A1"/>
  <sheetViews>
    <sheetView workbookViewId="0">
      <selection activeCell="M35" sqref="M35"/>
    </sheetView>
  </sheetViews>
  <sheetFormatPr defaultRowHeight="12"/>
  <sheetData/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D8B6-7CBE-492F-9BD5-43DD559A47E2}">
  <sheetPr>
    <tabColor rgb="FFFF0000"/>
  </sheetPr>
  <dimension ref="A1:R42"/>
  <sheetViews>
    <sheetView tabSelected="1" zoomScaleNormal="100" workbookViewId="0">
      <pane ySplit="1" topLeftCell="A2" activePane="bottomLeft" state="frozen"/>
      <selection pane="bottomLeft" activeCell="F9" sqref="F9"/>
    </sheetView>
  </sheetViews>
  <sheetFormatPr defaultRowHeight="14.25"/>
  <cols>
    <col min="1" max="1" width="15.28515625" style="435" customWidth="1"/>
    <col min="2" max="2" width="14.5703125" style="435" customWidth="1"/>
    <col min="3" max="9" width="12.7109375" style="435" customWidth="1"/>
    <col min="10" max="10" width="1.42578125" style="435" customWidth="1"/>
    <col min="11" max="17" width="12.7109375" style="435" customWidth="1"/>
    <col min="18" max="16384" width="9.140625" style="435"/>
  </cols>
  <sheetData>
    <row r="1" spans="1:17" ht="24" customHeight="1">
      <c r="A1" s="665">
        <v>7</v>
      </c>
      <c r="B1" s="665"/>
      <c r="C1" s="534" t="s">
        <v>139</v>
      </c>
    </row>
    <row r="3" spans="1:17" ht="16.5" thickBot="1">
      <c r="A3" s="455" t="s">
        <v>140</v>
      </c>
      <c r="B3" s="447"/>
    </row>
    <row r="4" spans="1:17" ht="15.75">
      <c r="A4" s="666" t="s">
        <v>141</v>
      </c>
      <c r="B4" s="667"/>
      <c r="C4" s="658">
        <f>A1</f>
        <v>7</v>
      </c>
      <c r="D4" s="658"/>
      <c r="E4" s="658"/>
      <c r="F4" s="658"/>
      <c r="G4" s="658"/>
      <c r="H4" s="658"/>
      <c r="I4" s="659"/>
      <c r="K4" s="660">
        <f>A1</f>
        <v>7</v>
      </c>
      <c r="L4" s="661"/>
      <c r="M4" s="661"/>
      <c r="N4" s="661"/>
      <c r="O4" s="661"/>
      <c r="P4" s="661"/>
      <c r="Q4" s="662"/>
    </row>
    <row r="5" spans="1:17" s="443" customFormat="1" ht="15" thickBot="1">
      <c r="A5" s="668"/>
      <c r="B5" s="669"/>
      <c r="C5" s="445" t="s">
        <v>142</v>
      </c>
      <c r="D5" s="598" t="s">
        <v>143</v>
      </c>
      <c r="E5" s="446" t="s">
        <v>144</v>
      </c>
      <c r="F5" s="446" t="s">
        <v>145</v>
      </c>
      <c r="G5" s="446" t="s">
        <v>146</v>
      </c>
      <c r="H5" s="446" t="s">
        <v>147</v>
      </c>
      <c r="I5" s="448" t="s">
        <v>148</v>
      </c>
      <c r="K5" s="449" t="s">
        <v>142</v>
      </c>
      <c r="L5" s="446" t="s">
        <v>143</v>
      </c>
      <c r="M5" s="446" t="s">
        <v>144</v>
      </c>
      <c r="N5" s="446" t="s">
        <v>145</v>
      </c>
      <c r="O5" s="446" t="s">
        <v>146</v>
      </c>
      <c r="P5" s="446" t="s">
        <v>147</v>
      </c>
      <c r="Q5" s="448" t="s">
        <v>148</v>
      </c>
    </row>
    <row r="6" spans="1:17" ht="20.100000000000001" customHeight="1" thickTop="1">
      <c r="A6" s="705" t="s">
        <v>149</v>
      </c>
      <c r="B6" s="706"/>
      <c r="C6" s="597">
        <f>SUMIFS('25年PDCA'!$AZ$5:$AZ$34,'25年PDCA'!$AK$5:$AK$34,サマリ!$A6,'25年PDCA'!$AL$5:$AL$34,"計")</f>
        <v>1365.9459999999999</v>
      </c>
      <c r="D6" s="494">
        <f>SUMIFS('25年PDCA'!$BR$5:$BR$34,'25年PDCA'!$BC$5:$BC$34,サマリ!$A6,'25年PDCA'!$BD$5:$BD$34,"計")</f>
        <v>5844.2355000000007</v>
      </c>
      <c r="E6" s="596">
        <f>SUMIFS('25年PDCA'!$CM$5:$CM$34,'25年PDCA'!$BX$5:$BX$34,サマリ!$A6,'25年PDCA'!$BY$5:$BY$34,"計")</f>
        <v>13923.230909090909</v>
      </c>
      <c r="F6" s="456">
        <f>IFERROR(C6/D6,0)</f>
        <v>0.23372535210122861</v>
      </c>
      <c r="G6" s="473">
        <f>C6-D6</f>
        <v>-4478.2895000000008</v>
      </c>
      <c r="H6" s="456">
        <f>IFERROR(C6/E6,0)</f>
        <v>9.8105533759993258E-2</v>
      </c>
      <c r="I6" s="486">
        <f>C6-E6</f>
        <v>-12557.284909090909</v>
      </c>
      <c r="K6" s="493">
        <f>SUMIFS('25年PDCA'!$BA$5:$BA$34,'25年PDCA'!$AK$5:$AK$34,サマリ!$A6,'25年PDCA'!$AL$5:$AL$34,"計")</f>
        <v>187.05500000000001</v>
      </c>
      <c r="L6" s="494">
        <f>SUMIFS('25年PDCA'!$BS$5:$BS$34,'25年PDCA'!$BC$5:$BC$34,サマリ!$A6,'25年PDCA'!$BD$5:$BD$34,"計")</f>
        <v>4051.1355000000003</v>
      </c>
      <c r="M6" s="494">
        <f>SUMIFS('25年PDCA'!$CN$5:$CN$34,'25年PDCA'!$BX$5:$BX$34,サマリ!$A6,'25年PDCA'!$BY$5:$BY$34,"計")</f>
        <v>2174.0536363636379</v>
      </c>
      <c r="N6" s="463">
        <f>IFERROR(K6/L6,0)</f>
        <v>4.6173474079057586E-2</v>
      </c>
      <c r="O6" s="494">
        <f>K6-L6</f>
        <v>-3864.0805000000005</v>
      </c>
      <c r="P6" s="463">
        <f>IFERROR(K6/M6,0)</f>
        <v>8.6039735575646439E-2</v>
      </c>
      <c r="Q6" s="503">
        <f>K6-M6</f>
        <v>-1986.9986363636378</v>
      </c>
    </row>
    <row r="7" spans="1:17" ht="20.100000000000001" customHeight="1">
      <c r="A7" s="707" t="s">
        <v>150</v>
      </c>
      <c r="B7" s="708"/>
      <c r="C7" s="474">
        <f>SUMIFS('25年PDCA'!$AZ$5:$AZ$34,'25年PDCA'!$AK$5:$AK$34,サマリ!$A7,'25年PDCA'!$AL$5:$AL$34,"計")</f>
        <v>2005.4356363636366</v>
      </c>
      <c r="D7" s="475">
        <f>SUMIFS('25年PDCA'!$BR$5:$BR$34,'25年PDCA'!$BC$5:$BC$34,サマリ!$A7,'25年PDCA'!$BD$5:$BD$34,"計")</f>
        <v>1432.1085</v>
      </c>
      <c r="E7" s="475">
        <f>SUMIFS('25年PDCA'!$CM$5:$CM$34,'25年PDCA'!$BX$5:$BX$34,サマリ!$A7,'25年PDCA'!$BY$5:$BY$34,"計")</f>
        <v>3210.3890909090915</v>
      </c>
      <c r="F7" s="457">
        <f t="shared" ref="F7:F19" si="0">IFERROR(C7/D7,0)</f>
        <v>1.400337779130308</v>
      </c>
      <c r="G7" s="475">
        <f t="shared" ref="G7:G19" si="1">C7-D7</f>
        <v>573.32713636363655</v>
      </c>
      <c r="H7" s="457">
        <f t="shared" ref="H7:H19" si="2">IFERROR(C7/E7,0)</f>
        <v>0.62467058651627605</v>
      </c>
      <c r="I7" s="487">
        <f t="shared" ref="I7:I19" si="3">C7-E7</f>
        <v>-1204.9534545454549</v>
      </c>
      <c r="K7" s="495">
        <f>SUMIFS('25年PDCA'!$BA$5:$BA$34,'25年PDCA'!$AK$5:$AK$34,サマリ!$A7,'25年PDCA'!$AL$5:$AL$34,"計")</f>
        <v>323.72699999999998</v>
      </c>
      <c r="L7" s="475">
        <f>SUMIFS('25年PDCA'!$BS$5:$BS$34,'25年PDCA'!$BC$5:$BC$34,サマリ!$A7,'25年PDCA'!$BD$5:$BD$34,"計")</f>
        <v>750.73050000000001</v>
      </c>
      <c r="M7" s="475">
        <f>SUMIFS('25年PDCA'!$CN$5:$CN$34,'25年PDCA'!$BX$5:$BX$34,サマリ!$A7,'25年PDCA'!$BY$5:$BY$34,"計")</f>
        <v>829.50181818181761</v>
      </c>
      <c r="N7" s="457">
        <f t="shared" ref="N7:N19" si="4">IFERROR(K7/L7,0)</f>
        <v>0.4312159956202658</v>
      </c>
      <c r="O7" s="475">
        <f t="shared" ref="O7:O19" si="5">K7-L7</f>
        <v>-427.00350000000003</v>
      </c>
      <c r="P7" s="457">
        <f t="shared" ref="P7:P19" si="6">IFERROR(K7/M7,0)</f>
        <v>0.39026677567696738</v>
      </c>
      <c r="Q7" s="487">
        <f t="shared" ref="Q7:Q19" si="7">K7-M7</f>
        <v>-505.77481818181764</v>
      </c>
    </row>
    <row r="8" spans="1:17" ht="20.100000000000001" customHeight="1">
      <c r="A8" s="707" t="s">
        <v>151</v>
      </c>
      <c r="B8" s="708"/>
      <c r="C8" s="476">
        <f>SUMIFS('25年PDCA'!$AZ$5:$AZ$34,'25年PDCA'!$AK$5:$AK$34,サマリ!$A8,'25年PDCA'!$AL$5:$AL$34,"計")</f>
        <v>35.344999999999999</v>
      </c>
      <c r="D8" s="477">
        <f>SUMIFS('25年PDCA'!$BR$5:$BR$34,'25年PDCA'!$BC$5:$BC$34,サマリ!$A8,'25年PDCA'!$BD$5:$BD$34,"計")</f>
        <v>180</v>
      </c>
      <c r="E8" s="477">
        <f>SUMIFS('25年PDCA'!$CM$5:$CM$34,'25年PDCA'!$BX$5:$BX$34,サマリ!$A8,'25年PDCA'!$BY$5:$BY$34,"計")</f>
        <v>0</v>
      </c>
      <c r="F8" s="458">
        <f t="shared" si="0"/>
        <v>0.1963611111111111</v>
      </c>
      <c r="G8" s="477">
        <f t="shared" si="1"/>
        <v>-144.655</v>
      </c>
      <c r="H8" s="458">
        <f t="shared" si="2"/>
        <v>0</v>
      </c>
      <c r="I8" s="488">
        <f t="shared" si="3"/>
        <v>35.344999999999999</v>
      </c>
      <c r="K8" s="496">
        <f>SUMIFS('25年PDCA'!$BA$5:$BA$34,'25年PDCA'!$AK$5:$AK$34,サマリ!$A8,'25年PDCA'!$AL$5:$AL$34,"計")</f>
        <v>0</v>
      </c>
      <c r="L8" s="477">
        <f>SUMIFS('25年PDCA'!$BS$5:$BS$34,'25年PDCA'!$BC$5:$BC$34,サマリ!$A8,'25年PDCA'!$BD$5:$BD$34,"計")</f>
        <v>180</v>
      </c>
      <c r="M8" s="477">
        <f>SUMIFS('25年PDCA'!$CN$5:$CN$34,'25年PDCA'!$BX$5:$BX$34,サマリ!$A8,'25年PDCA'!$BY$5:$BY$34,"計")</f>
        <v>0</v>
      </c>
      <c r="N8" s="458">
        <f t="shared" si="4"/>
        <v>0</v>
      </c>
      <c r="O8" s="477">
        <f t="shared" si="5"/>
        <v>-180</v>
      </c>
      <c r="P8" s="458">
        <f t="shared" si="6"/>
        <v>0</v>
      </c>
      <c r="Q8" s="488">
        <f t="shared" si="7"/>
        <v>0</v>
      </c>
    </row>
    <row r="9" spans="1:17" ht="20.100000000000001" customHeight="1">
      <c r="A9" s="663" t="s">
        <v>152</v>
      </c>
      <c r="B9" s="664"/>
      <c r="C9" s="478">
        <f>SUM(C6:C8)</f>
        <v>3406.7266363636363</v>
      </c>
      <c r="D9" s="479">
        <f t="shared" ref="D9:E9" si="8">SUM(D6:D8)</f>
        <v>7456.344000000001</v>
      </c>
      <c r="E9" s="479">
        <f t="shared" si="8"/>
        <v>17133.620000000003</v>
      </c>
      <c r="F9" s="459">
        <f t="shared" si="0"/>
        <v>0.45688968164071236</v>
      </c>
      <c r="G9" s="479">
        <f t="shared" si="1"/>
        <v>-4049.6173636363646</v>
      </c>
      <c r="H9" s="459">
        <f t="shared" si="2"/>
        <v>0.19883285822631971</v>
      </c>
      <c r="I9" s="489">
        <f t="shared" si="3"/>
        <v>-13726.893363636365</v>
      </c>
      <c r="K9" s="497">
        <f>SUM(K6:K8)</f>
        <v>510.78199999999998</v>
      </c>
      <c r="L9" s="479">
        <f t="shared" ref="L9" si="9">SUM(L6:L8)</f>
        <v>4981.866</v>
      </c>
      <c r="M9" s="479">
        <f t="shared" ref="M9" si="10">SUM(M6:M8)</f>
        <v>3003.5554545454556</v>
      </c>
      <c r="N9" s="459">
        <f t="shared" si="4"/>
        <v>0.10252824945512384</v>
      </c>
      <c r="O9" s="479">
        <f t="shared" si="5"/>
        <v>-4471.0839999999998</v>
      </c>
      <c r="P9" s="459">
        <f t="shared" si="6"/>
        <v>0.17005912084193545</v>
      </c>
      <c r="Q9" s="489">
        <f t="shared" si="7"/>
        <v>-2492.7734545454555</v>
      </c>
    </row>
    <row r="10" spans="1:17" ht="20.100000000000001" customHeight="1">
      <c r="A10" s="709" t="s">
        <v>153</v>
      </c>
      <c r="B10" s="710"/>
      <c r="C10" s="472">
        <f>SUMIFS('25年PDCA'!$AZ$5:$AZ$34,'25年PDCA'!$AK$5:$AK$34,サマリ!$A10,'25年PDCA'!$AL$5:$AL$34,"計")</f>
        <v>0</v>
      </c>
      <c r="D10" s="473">
        <f>SUMIFS('25年PDCA'!$BR$5:$BR$34,'25年PDCA'!$BC$5:$BC$34,サマリ!$A10,'25年PDCA'!$BD$5:$BD$34,"計")</f>
        <v>800</v>
      </c>
      <c r="E10" s="473">
        <f>SUMIFS('25年PDCA'!$CM$5:$CM$34,'25年PDCA'!$BX$5:$BX$34,サマリ!$A10,'25年PDCA'!$BY$5:$BY$34,"計")</f>
        <v>0</v>
      </c>
      <c r="F10" s="456">
        <f t="shared" si="0"/>
        <v>0</v>
      </c>
      <c r="G10" s="473">
        <f t="shared" si="1"/>
        <v>-800</v>
      </c>
      <c r="H10" s="456">
        <f t="shared" si="2"/>
        <v>0</v>
      </c>
      <c r="I10" s="486">
        <f t="shared" si="3"/>
        <v>0</v>
      </c>
      <c r="K10" s="498">
        <f>SUMIFS('25年PDCA'!$BA$5:$BA$34,'25年PDCA'!$AK$5:$AK$34,サマリ!$A10,'25年PDCA'!$AL$5:$AL$34,"計")</f>
        <v>0</v>
      </c>
      <c r="L10" s="473">
        <f>SUMIFS('25年PDCA'!$BS$5:$BS$34,'25年PDCA'!$BC$5:$BC$34,サマリ!$A10,'25年PDCA'!$BD$5:$BD$34,"計")</f>
        <v>800</v>
      </c>
      <c r="M10" s="473">
        <f>SUMIFS('25年PDCA'!$CN$5:$CN$34,'25年PDCA'!$BX$5:$BX$34,サマリ!$A10,'25年PDCA'!$BY$5:$BY$34,"計")</f>
        <v>0</v>
      </c>
      <c r="N10" s="456">
        <f t="shared" si="4"/>
        <v>0</v>
      </c>
      <c r="O10" s="473">
        <f t="shared" si="5"/>
        <v>-800</v>
      </c>
      <c r="P10" s="456">
        <f t="shared" si="6"/>
        <v>0</v>
      </c>
      <c r="Q10" s="486">
        <f t="shared" si="7"/>
        <v>0</v>
      </c>
    </row>
    <row r="11" spans="1:17" ht="20.100000000000001" customHeight="1">
      <c r="A11" s="711" t="s">
        <v>154</v>
      </c>
      <c r="B11" s="712"/>
      <c r="C11" s="476">
        <f>SUMIFS('25年PDCA'!$AZ$5:$AZ$34,'25年PDCA'!$AK$5:$AK$34,サマリ!$A11,'25年PDCA'!$AL$5:$AL$34,"計")</f>
        <v>55185.001272727284</v>
      </c>
      <c r="D11" s="477">
        <f>SUMIFS('25年PDCA'!$BR$5:$BR$34,'25年PDCA'!$BC$5:$BC$34,サマリ!$A11,'25年PDCA'!$BD$5:$BD$34,"計")</f>
        <v>53630.793999999994</v>
      </c>
      <c r="E11" s="477">
        <f>SUMIFS('25年PDCA'!$CM$5:$CM$34,'25年PDCA'!$BX$5:$BX$34,サマリ!$A11,'25年PDCA'!$BY$5:$BY$34,"計")</f>
        <v>31804.332727272722</v>
      </c>
      <c r="F11" s="458">
        <f t="shared" si="0"/>
        <v>1.0289797550401227</v>
      </c>
      <c r="G11" s="477">
        <f t="shared" si="1"/>
        <v>1554.2072727272898</v>
      </c>
      <c r="H11" s="458">
        <f t="shared" si="2"/>
        <v>1.7351409867940812</v>
      </c>
      <c r="I11" s="488">
        <f t="shared" si="3"/>
        <v>23380.668545454562</v>
      </c>
      <c r="K11" s="496">
        <f>SUMIFS('25年PDCA'!$BA$5:$BA$34,'25年PDCA'!$AK$5:$AK$34,サマリ!$A11,'25年PDCA'!$AL$5:$AL$34,"計")</f>
        <v>7199.1700000000019</v>
      </c>
      <c r="L11" s="477">
        <f>SUMIFS('25年PDCA'!$BS$5:$BS$34,'25年PDCA'!$BC$5:$BC$34,サマリ!$A11,'25年PDCA'!$BD$5:$BD$34,"計")</f>
        <v>7746.7506400000002</v>
      </c>
      <c r="M11" s="477">
        <f>SUMIFS('25年PDCA'!$CN$5:$CN$34,'25年PDCA'!$BX$5:$BX$34,サマリ!$A11,'25年PDCA'!$BY$5:$BY$34,"計")</f>
        <v>4643.0681818181793</v>
      </c>
      <c r="N11" s="458">
        <f t="shared" si="4"/>
        <v>0.92931479720379917</v>
      </c>
      <c r="O11" s="477">
        <f t="shared" si="5"/>
        <v>-547.58063999999831</v>
      </c>
      <c r="P11" s="458">
        <f t="shared" si="6"/>
        <v>1.550519983357401</v>
      </c>
      <c r="Q11" s="488">
        <f t="shared" si="7"/>
        <v>2556.1018181818226</v>
      </c>
    </row>
    <row r="12" spans="1:17" ht="20.100000000000001" customHeight="1">
      <c r="A12" s="646" t="s">
        <v>155</v>
      </c>
      <c r="B12" s="647"/>
      <c r="C12" s="480">
        <f>SUM(C10:C11)</f>
        <v>55185.001272727284</v>
      </c>
      <c r="D12" s="481">
        <f t="shared" ref="D12:E12" si="11">SUM(D10:D11)</f>
        <v>54430.793999999994</v>
      </c>
      <c r="E12" s="481">
        <f t="shared" si="11"/>
        <v>31804.332727272722</v>
      </c>
      <c r="F12" s="460">
        <f t="shared" si="0"/>
        <v>1.0138562607175505</v>
      </c>
      <c r="G12" s="481">
        <f t="shared" si="1"/>
        <v>754.20727272728982</v>
      </c>
      <c r="H12" s="460">
        <f t="shared" si="2"/>
        <v>1.7351409867940812</v>
      </c>
      <c r="I12" s="490">
        <f t="shared" si="3"/>
        <v>23380.668545454562</v>
      </c>
      <c r="K12" s="499">
        <f>SUM(K10:K11)</f>
        <v>7199.1700000000019</v>
      </c>
      <c r="L12" s="481">
        <f t="shared" ref="L12" si="12">SUM(L10:L11)</f>
        <v>8546.7506400000002</v>
      </c>
      <c r="M12" s="481">
        <f t="shared" ref="M12" si="13">SUM(M10:M11)</f>
        <v>4643.0681818181793</v>
      </c>
      <c r="N12" s="460">
        <f t="shared" si="4"/>
        <v>0.8423283073577541</v>
      </c>
      <c r="O12" s="481">
        <f t="shared" si="5"/>
        <v>-1347.5806399999983</v>
      </c>
      <c r="P12" s="460">
        <f t="shared" si="6"/>
        <v>1.550519983357401</v>
      </c>
      <c r="Q12" s="490">
        <f t="shared" si="7"/>
        <v>2556.1018181818226</v>
      </c>
    </row>
    <row r="13" spans="1:17" ht="20.100000000000001" customHeight="1">
      <c r="A13" s="713" t="s">
        <v>156</v>
      </c>
      <c r="B13" s="714"/>
      <c r="C13" s="472">
        <f>SUMIF('25年PDCA'!$AL$5:$AL$34,サマリ!$A13,'25年PDCA'!$AZ$5:$AZ$34)</f>
        <v>28899.124545454539</v>
      </c>
      <c r="D13" s="473">
        <f>SUMIF('25年PDCA'!$BD$5:$BD$34,サマリ!$A13,'25年PDCA'!$BR$5:$BR$34)</f>
        <v>25536.592344415578</v>
      </c>
      <c r="E13" s="473">
        <f>SUMIF('25年PDCA'!$BY$5:$BY$34,サマリ!$A13,'25年PDCA'!$CM$5:$CM$35)</f>
        <v>18228.727272727268</v>
      </c>
      <c r="F13" s="456">
        <f t="shared" si="0"/>
        <v>1.1316750549833752</v>
      </c>
      <c r="G13" s="473">
        <f t="shared" si="1"/>
        <v>3362.5322010389609</v>
      </c>
      <c r="H13" s="456">
        <f t="shared" si="2"/>
        <v>1.5853616170280675</v>
      </c>
      <c r="I13" s="486">
        <f t="shared" si="3"/>
        <v>10670.39727272727</v>
      </c>
      <c r="K13" s="498">
        <f>SUMIF('25年PDCA'!$AL$5:$AL$34,サマリ!$A13,'25年PDCA'!$BA$5:$BA$34)</f>
        <v>4108.7363636363634</v>
      </c>
      <c r="L13" s="473">
        <f>SUMIF('25年PDCA'!$BD$5:$BD$34,サマリ!$A13,'25年PDCA'!$BS$5:$BS$34)</f>
        <v>3137.0929724675302</v>
      </c>
      <c r="M13" s="473">
        <f>SUMIF('25年PDCA'!$BY$5:$BY$34,サマリ!$A13,'25年PDCA'!$CN$5:$CN$34)</f>
        <v>2121.7272727272725</v>
      </c>
      <c r="N13" s="456">
        <f t="shared" si="4"/>
        <v>1.3097273175186044</v>
      </c>
      <c r="O13" s="473">
        <f t="shared" si="5"/>
        <v>971.6433911688332</v>
      </c>
      <c r="P13" s="456">
        <f t="shared" si="6"/>
        <v>1.9365054201122585</v>
      </c>
      <c r="Q13" s="486">
        <f t="shared" si="7"/>
        <v>1987.0090909090909</v>
      </c>
    </row>
    <row r="14" spans="1:17" ht="20.100000000000001" customHeight="1">
      <c r="A14" s="715" t="s">
        <v>157</v>
      </c>
      <c r="B14" s="716"/>
      <c r="C14" s="474">
        <f>SUMIF('25年PDCA'!$AL$5:$AL$34,サマリ!$A14,'25年PDCA'!$AZ$5:$AZ$34)</f>
        <v>99</v>
      </c>
      <c r="D14" s="475">
        <f>SUMIF('25年PDCA'!$BD$5:$BD$34,サマリ!$A14,'25年PDCA'!$BR$5:$BR$34)</f>
        <v>428.41666666666663</v>
      </c>
      <c r="E14" s="475">
        <f>SUMIF('25年PDCA'!$BY$5:$BY$34,サマリ!$A14,'25年PDCA'!$CM$5:$CM$35)</f>
        <v>396.6366363636364</v>
      </c>
      <c r="F14" s="457">
        <f t="shared" si="0"/>
        <v>0.23108344680023343</v>
      </c>
      <c r="G14" s="475">
        <f t="shared" si="1"/>
        <v>-329.41666666666663</v>
      </c>
      <c r="H14" s="457">
        <f t="shared" si="2"/>
        <v>0.24959872821540574</v>
      </c>
      <c r="I14" s="487">
        <f t="shared" si="3"/>
        <v>-297.6366363636364</v>
      </c>
      <c r="K14" s="495">
        <f>SUMIF('25年PDCA'!$AL$5:$AL$34,サマリ!$A14,'25年PDCA'!$BA$5:$BA$34)</f>
        <v>18</v>
      </c>
      <c r="L14" s="475">
        <f>SUMIF('25年PDCA'!$BD$5:$BD$34,サマリ!$A14,'25年PDCA'!$BS$5:$BS$34)</f>
        <v>78.083333333333329</v>
      </c>
      <c r="M14" s="475">
        <f>SUMIF('25年PDCA'!$BY$5:$BY$34,サマリ!$A14,'25年PDCA'!$CN$5:$CN$34)</f>
        <v>100.90600000000001</v>
      </c>
      <c r="N14" s="457">
        <f t="shared" si="4"/>
        <v>0.23052294557097119</v>
      </c>
      <c r="O14" s="475">
        <f t="shared" si="5"/>
        <v>-60.083333333333329</v>
      </c>
      <c r="P14" s="457">
        <f t="shared" si="6"/>
        <v>0.17838384238796504</v>
      </c>
      <c r="Q14" s="487">
        <f t="shared" si="7"/>
        <v>-82.906000000000006</v>
      </c>
    </row>
    <row r="15" spans="1:17" ht="20.100000000000001" customHeight="1">
      <c r="A15" s="715" t="s">
        <v>158</v>
      </c>
      <c r="B15" s="716"/>
      <c r="C15" s="474">
        <f>SUMIF('25年PDCA'!$AL$5:$AL$34,サマリ!$A15,'25年PDCA'!$AZ$5:$AZ$34)</f>
        <v>1140</v>
      </c>
      <c r="D15" s="475">
        <f>SUMIF('25年PDCA'!$BD$5:$BD$34,サマリ!$A15,'25年PDCA'!$BR$5:$BR$34)</f>
        <v>502.85200000000003</v>
      </c>
      <c r="E15" s="475">
        <f>SUMIF('25年PDCA'!$BY$5:$BY$34,サマリ!$A15,'25年PDCA'!$CM$5:$CM$35)</f>
        <v>150</v>
      </c>
      <c r="F15" s="457">
        <f t="shared" si="0"/>
        <v>2.267068640474732</v>
      </c>
      <c r="G15" s="475">
        <f t="shared" si="1"/>
        <v>637.14799999999991</v>
      </c>
      <c r="H15" s="457">
        <f t="shared" si="2"/>
        <v>7.6</v>
      </c>
      <c r="I15" s="487">
        <f t="shared" si="3"/>
        <v>990</v>
      </c>
      <c r="K15" s="495">
        <f>SUMIF('25年PDCA'!$AL$5:$AL$34,サマリ!$A15,'25年PDCA'!$BA$5:$BA$34)</f>
        <v>182.49999999999997</v>
      </c>
      <c r="L15" s="475">
        <f>SUMIF('25年PDCA'!$BD$5:$BD$34,サマリ!$A15,'25年PDCA'!$BS$5:$BS$34)</f>
        <v>95.548000000000016</v>
      </c>
      <c r="M15" s="475">
        <f>SUMIF('25年PDCA'!$BY$5:$BY$34,サマリ!$A15,'25年PDCA'!$CN$5:$CN$34)</f>
        <v>44.999999999999993</v>
      </c>
      <c r="N15" s="457">
        <f t="shared" si="4"/>
        <v>1.9100347469334777</v>
      </c>
      <c r="O15" s="475">
        <f t="shared" si="5"/>
        <v>86.951999999999956</v>
      </c>
      <c r="P15" s="457">
        <f t="shared" si="6"/>
        <v>4.0555555555555554</v>
      </c>
      <c r="Q15" s="487">
        <f t="shared" si="7"/>
        <v>137.49999999999997</v>
      </c>
    </row>
    <row r="16" spans="1:17" ht="20.100000000000001" customHeight="1">
      <c r="A16" s="715" t="s">
        <v>159</v>
      </c>
      <c r="B16" s="716"/>
      <c r="C16" s="474">
        <f>SUMIF('25年PDCA'!$AL$5:$AL$34,サマリ!$A16,'25年PDCA'!$AZ$5:$AZ$34)</f>
        <v>16204</v>
      </c>
      <c r="D16" s="475">
        <f>SUMIF('25年PDCA'!$BD$5:$BD$34,サマリ!$A16,'25年PDCA'!$BR$5:$BR$34)</f>
        <v>20644.300636363638</v>
      </c>
      <c r="E16" s="475">
        <f>SUMIF('25年PDCA'!$BY$5:$BY$34,サマリ!$A16,'25年PDCA'!$CM$5:$CM$35)</f>
        <v>18772</v>
      </c>
      <c r="F16" s="457">
        <f t="shared" si="0"/>
        <v>0.78491397143566455</v>
      </c>
      <c r="G16" s="475">
        <f t="shared" si="1"/>
        <v>-4440.3006363636378</v>
      </c>
      <c r="H16" s="457">
        <f t="shared" si="2"/>
        <v>0.86320051139995735</v>
      </c>
      <c r="I16" s="487">
        <f t="shared" si="3"/>
        <v>-2568</v>
      </c>
      <c r="K16" s="495">
        <f>SUMIF('25年PDCA'!$AL$5:$AL$34,サマリ!$A16,'25年PDCA'!$BA$5:$BA$34)</f>
        <v>0</v>
      </c>
      <c r="L16" s="475">
        <f>SUMIF('25年PDCA'!$BD$5:$BD$34,サマリ!$A16,'25年PDCA'!$BS$5:$BS$34)</f>
        <v>1598.3</v>
      </c>
      <c r="M16" s="475">
        <f>SUMIF('25年PDCA'!$BY$5:$BY$34,サマリ!$A16,'25年PDCA'!$CN$5:$CN$34)</f>
        <v>9511</v>
      </c>
      <c r="N16" s="457">
        <f t="shared" si="4"/>
        <v>0</v>
      </c>
      <c r="O16" s="475">
        <f t="shared" si="5"/>
        <v>-1598.3</v>
      </c>
      <c r="P16" s="457">
        <f t="shared" si="6"/>
        <v>0</v>
      </c>
      <c r="Q16" s="487">
        <f t="shared" si="7"/>
        <v>-9511</v>
      </c>
    </row>
    <row r="17" spans="1:18" ht="20.100000000000001" customHeight="1">
      <c r="A17" s="715" t="s">
        <v>160</v>
      </c>
      <c r="B17" s="716"/>
      <c r="C17" s="476">
        <f>SUMIF('25年PDCA'!$AL$5:$AL$34,サマリ!$A17,'25年PDCA'!$AZ$5:$AZ$34)</f>
        <v>33907.574454545458</v>
      </c>
      <c r="D17" s="477">
        <f>SUMIF('25年PDCA'!$BD$5:$BD$34,サマリ!$A17,'25年PDCA'!$BR$5:$BR$34)</f>
        <v>36967.255454545455</v>
      </c>
      <c r="E17" s="477">
        <f>SUMIF('25年PDCA'!$BY$5:$BY$34,サマリ!$A17,'25年PDCA'!$CM$5:$CM$35)</f>
        <v>26538.688181818132</v>
      </c>
      <c r="F17" s="458">
        <f t="shared" si="0"/>
        <v>0.9172326708494184</v>
      </c>
      <c r="G17" s="477">
        <f t="shared" si="1"/>
        <v>-3059.6809999999969</v>
      </c>
      <c r="H17" s="458">
        <f t="shared" si="2"/>
        <v>1.2776658070754157</v>
      </c>
      <c r="I17" s="488">
        <f t="shared" si="3"/>
        <v>7368.8862727273263</v>
      </c>
      <c r="K17" s="496">
        <f>SUMIF('25年PDCA'!$AL$5:$AL$34,サマリ!$A17,'25年PDCA'!$BA$5:$BA$34)</f>
        <v>9000.9172727272726</v>
      </c>
      <c r="L17" s="477">
        <f>SUMIF('25年PDCA'!$BD$5:$BD$34,サマリ!$A17,'25年PDCA'!$BS$5:$BS$34)</f>
        <v>9568.4190909090903</v>
      </c>
      <c r="M17" s="477">
        <f>SUMIF('25年PDCA'!$BY$5:$BY$34,サマリ!$A17,'25年PDCA'!$CN$5:$CN$34)</f>
        <v>5601.7809090909104</v>
      </c>
      <c r="N17" s="458">
        <f t="shared" si="4"/>
        <v>0.94069011685315929</v>
      </c>
      <c r="O17" s="477">
        <f t="shared" si="5"/>
        <v>-567.50181818181773</v>
      </c>
      <c r="P17" s="458">
        <f t="shared" si="6"/>
        <v>1.6067956635219411</v>
      </c>
      <c r="Q17" s="488">
        <f t="shared" si="7"/>
        <v>3399.1363636363621</v>
      </c>
    </row>
    <row r="18" spans="1:18" ht="20.100000000000001" customHeight="1">
      <c r="A18" s="652" t="s">
        <v>161</v>
      </c>
      <c r="B18" s="653"/>
      <c r="C18" s="482">
        <f>SUM(C13:C17)</f>
        <v>80249.698999999993</v>
      </c>
      <c r="D18" s="483">
        <f t="shared" ref="D18:E18" si="14">SUM(D13:D17)</f>
        <v>84079.417101991334</v>
      </c>
      <c r="E18" s="483">
        <f t="shared" si="14"/>
        <v>64086.052090909041</v>
      </c>
      <c r="F18" s="461">
        <f t="shared" si="0"/>
        <v>0.95445118158531295</v>
      </c>
      <c r="G18" s="483">
        <f t="shared" si="1"/>
        <v>-3829.7181019913405</v>
      </c>
      <c r="H18" s="461">
        <f t="shared" si="2"/>
        <v>1.2522178599200036</v>
      </c>
      <c r="I18" s="491">
        <f t="shared" si="3"/>
        <v>16163.646909090952</v>
      </c>
      <c r="K18" s="500">
        <f t="shared" ref="K18:M18" si="15">SUM(K13:K17)</f>
        <v>13310.153636363637</v>
      </c>
      <c r="L18" s="483">
        <f>SUM(L13:L17)</f>
        <v>14477.443396709954</v>
      </c>
      <c r="M18" s="483">
        <f t="shared" si="15"/>
        <v>17380.414181818182</v>
      </c>
      <c r="N18" s="461">
        <f t="shared" si="4"/>
        <v>0.91937183048413174</v>
      </c>
      <c r="O18" s="483">
        <f t="shared" si="5"/>
        <v>-1167.2897603463171</v>
      </c>
      <c r="P18" s="461">
        <f t="shared" si="6"/>
        <v>0.76581337459078025</v>
      </c>
      <c r="Q18" s="491">
        <f t="shared" si="7"/>
        <v>-4070.2605454545446</v>
      </c>
    </row>
    <row r="19" spans="1:18" ht="20.100000000000001" customHeight="1" thickBot="1">
      <c r="A19" s="654" t="s">
        <v>162</v>
      </c>
      <c r="B19" s="655"/>
      <c r="C19" s="484">
        <f>C9+C12+C18</f>
        <v>138841.42690909092</v>
      </c>
      <c r="D19" s="485">
        <f t="shared" ref="D19:E19" si="16">D9+D12+D18</f>
        <v>145966.55510199134</v>
      </c>
      <c r="E19" s="485">
        <f t="shared" si="16"/>
        <v>113024.00481818177</v>
      </c>
      <c r="F19" s="462">
        <f t="shared" si="0"/>
        <v>0.95118657018436947</v>
      </c>
      <c r="G19" s="485">
        <f t="shared" si="1"/>
        <v>-7125.1281929004181</v>
      </c>
      <c r="H19" s="462">
        <f t="shared" si="2"/>
        <v>1.228424237244476</v>
      </c>
      <c r="I19" s="492">
        <f t="shared" si="3"/>
        <v>25817.422090909153</v>
      </c>
      <c r="J19" s="444"/>
      <c r="K19" s="501">
        <f t="shared" ref="K19:M19" si="17">K9+K12+K18</f>
        <v>21020.105636363638</v>
      </c>
      <c r="L19" s="502">
        <f t="shared" si="17"/>
        <v>28006.060036709954</v>
      </c>
      <c r="M19" s="502">
        <f t="shared" si="17"/>
        <v>25027.037818181816</v>
      </c>
      <c r="N19" s="464">
        <f t="shared" si="4"/>
        <v>0.75055561577782726</v>
      </c>
      <c r="O19" s="502">
        <f t="shared" si="5"/>
        <v>-6985.9544003463161</v>
      </c>
      <c r="P19" s="464">
        <f t="shared" si="6"/>
        <v>0.8398958673843856</v>
      </c>
      <c r="Q19" s="504">
        <f t="shared" si="7"/>
        <v>-4006.9321818181779</v>
      </c>
    </row>
    <row r="21" spans="1:18" ht="16.5" thickBot="1">
      <c r="A21" s="455" t="s">
        <v>163</v>
      </c>
      <c r="B21" s="447"/>
    </row>
    <row r="22" spans="1:18" ht="15.75">
      <c r="A22" s="656" t="s">
        <v>141</v>
      </c>
      <c r="B22" s="671" t="s">
        <v>164</v>
      </c>
      <c r="C22" s="658">
        <f>A1</f>
        <v>7</v>
      </c>
      <c r="D22" s="658"/>
      <c r="E22" s="658"/>
      <c r="F22" s="658"/>
      <c r="G22" s="658"/>
      <c r="H22" s="658"/>
      <c r="I22" s="659"/>
      <c r="K22" s="660">
        <f>A1</f>
        <v>7</v>
      </c>
      <c r="L22" s="661"/>
      <c r="M22" s="661"/>
      <c r="N22" s="661"/>
      <c r="O22" s="661"/>
      <c r="P22" s="661"/>
      <c r="Q22" s="662"/>
    </row>
    <row r="23" spans="1:18" s="443" customFormat="1" ht="15" thickBot="1">
      <c r="A23" s="657"/>
      <c r="B23" s="672"/>
      <c r="C23" s="470" t="s">
        <v>142</v>
      </c>
      <c r="D23" s="446" t="s">
        <v>143</v>
      </c>
      <c r="E23" s="446" t="s">
        <v>144</v>
      </c>
      <c r="F23" s="446" t="s">
        <v>145</v>
      </c>
      <c r="G23" s="446" t="s">
        <v>146</v>
      </c>
      <c r="H23" s="446" t="s">
        <v>147</v>
      </c>
      <c r="I23" s="448" t="s">
        <v>148</v>
      </c>
      <c r="K23" s="449" t="s">
        <v>142</v>
      </c>
      <c r="L23" s="446" t="s">
        <v>143</v>
      </c>
      <c r="M23" s="446" t="s">
        <v>144</v>
      </c>
      <c r="N23" s="446" t="s">
        <v>145</v>
      </c>
      <c r="O23" s="446" t="s">
        <v>146</v>
      </c>
      <c r="P23" s="446" t="s">
        <v>147</v>
      </c>
      <c r="Q23" s="448" t="s">
        <v>148</v>
      </c>
    </row>
    <row r="24" spans="1:18" ht="20.100000000000001" customHeight="1" thickTop="1">
      <c r="A24" s="648" t="s">
        <v>149</v>
      </c>
      <c r="B24" s="471" t="s">
        <v>165</v>
      </c>
      <c r="C24" s="512">
        <f>SUMIFS('25年PDCA'!$AZ$102:$AZ$140,'25年PDCA'!$AK$102:$AK$140,サマリ!$A24,'25年PDCA'!$AL$102:$AL$140,サマリ!$B24)</f>
        <v>3095</v>
      </c>
      <c r="D24" s="505">
        <f>SUMIFS('25年PDCA'!$BR$102:$BR$140,'25年PDCA'!$BC$102:$BC$140,サマリ!$A24,'25年PDCA'!$BD$102:$BD$140,サマリ!$B24)</f>
        <v>2319</v>
      </c>
      <c r="E24" s="505">
        <v>275</v>
      </c>
      <c r="F24" s="457">
        <f t="shared" ref="F24" si="18">IFERROR(C24/D24,0)</f>
        <v>1.3346269943941353</v>
      </c>
      <c r="G24" s="475">
        <f t="shared" ref="G24" si="19">C24-D24</f>
        <v>776</v>
      </c>
      <c r="H24" s="457">
        <f t="shared" ref="H24" si="20">IFERROR(C24/E24,0)</f>
        <v>11.254545454545454</v>
      </c>
      <c r="I24" s="487">
        <f t="shared" ref="I24" si="21">C24-E24</f>
        <v>2820</v>
      </c>
      <c r="K24" s="496">
        <f>SUMIFS('25年PDCA'!$BA$102:$BA$140,'25年PDCA'!$AK$102:$AK$140,サマリ!$A24,'25年PDCA'!$AL$102:$AL$140,サマリ!$B24)</f>
        <v>288</v>
      </c>
      <c r="L24" s="475">
        <f>SUMIFS('25年PDCA'!$BS$102:$BS$140,'25年PDCA'!$BC$102:$BC$140,サマリ!$A24,'25年PDCA'!$BD$102:$BD$140,サマリ!$B24)</f>
        <v>518</v>
      </c>
      <c r="M24" s="475">
        <v>63</v>
      </c>
      <c r="N24" s="457">
        <f t="shared" ref="N24" si="22">IFERROR(K24/L24,0)</f>
        <v>0.55598455598455598</v>
      </c>
      <c r="O24" s="475">
        <f t="shared" ref="O24" si="23">K24-L24</f>
        <v>-230</v>
      </c>
      <c r="P24" s="457">
        <f>IFERROR(K24/M24,0)</f>
        <v>4.5714285714285712</v>
      </c>
      <c r="Q24" s="487">
        <f>K24-M24</f>
        <v>225</v>
      </c>
    </row>
    <row r="25" spans="1:18" ht="20.100000000000001" customHeight="1">
      <c r="A25" s="649"/>
      <c r="B25" s="539" t="s">
        <v>166</v>
      </c>
      <c r="C25" s="540"/>
      <c r="D25" s="507"/>
      <c r="E25" s="507"/>
      <c r="F25" s="465"/>
      <c r="G25" s="507"/>
      <c r="H25" s="465"/>
      <c r="I25" s="520"/>
      <c r="K25" s="496">
        <f>SUMIFS('25年PDCA'!$BA$102:$BA$140,'25年PDCA'!$AK$102:$AK$140,サマリ!$A24,'25年PDCA'!$AL$102:$AL$140,サマリ!$B25)</f>
        <v>503</v>
      </c>
      <c r="L25" s="475">
        <f>SUMIFS('25年PDCA'!$BS$102:$BS$140,'25年PDCA'!$BC$102:$BC$140,サマリ!$A24,'25年PDCA'!$BD$102:$BD$140,サマリ!$B25)</f>
        <v>3147.3333333333339</v>
      </c>
      <c r="M25" s="475"/>
      <c r="N25" s="457">
        <f>IFERROR(K25/L25,0)</f>
        <v>0.15981783520440582</v>
      </c>
      <c r="O25" s="475">
        <f>K25-L25</f>
        <v>-2644.3333333333339</v>
      </c>
      <c r="P25" s="457">
        <f>IFERROR(K25/M25,0)</f>
        <v>0</v>
      </c>
      <c r="Q25" s="487">
        <f>K25-M25</f>
        <v>503</v>
      </c>
    </row>
    <row r="26" spans="1:18" ht="20.100000000000001" customHeight="1">
      <c r="A26" s="649"/>
      <c r="B26" s="450" t="s">
        <v>167</v>
      </c>
      <c r="C26" s="506"/>
      <c r="D26" s="507"/>
      <c r="E26" s="507"/>
      <c r="F26" s="465"/>
      <c r="G26" s="507"/>
      <c r="H26" s="465"/>
      <c r="I26" s="520"/>
      <c r="K26" s="496">
        <f>SUMIFS('25年PDCA'!$BA$102:$BA$140,'25年PDCA'!$AK$102:$AK$140,サマリ!$A24,'25年PDCA'!$AL$102:$AL$140,サマリ!$B26)</f>
        <v>9</v>
      </c>
      <c r="L26" s="475">
        <f>SUMIFS('25年PDCA'!$BS$102:$BS$140,'25年PDCA'!$BC$102:$BC$140,サマリ!$A24,'25年PDCA'!$BD$102:$BD$140,サマリ!$B26)</f>
        <v>322</v>
      </c>
      <c r="M26" s="475"/>
      <c r="N26" s="457">
        <f>IFERROR(K26/L26,0)</f>
        <v>2.7950310559006212E-2</v>
      </c>
      <c r="O26" s="475">
        <f t="shared" ref="O26:O27" si="24">K26-L26</f>
        <v>-313</v>
      </c>
      <c r="P26" s="457">
        <f>IFERROR(K26/M26,0)</f>
        <v>0</v>
      </c>
      <c r="Q26" s="487">
        <f>K26-M26</f>
        <v>9</v>
      </c>
    </row>
    <row r="27" spans="1:18" ht="20.100000000000001" customHeight="1">
      <c r="A27" s="649"/>
      <c r="B27" s="451" t="s">
        <v>168</v>
      </c>
      <c r="C27" s="508"/>
      <c r="D27" s="509"/>
      <c r="E27" s="509"/>
      <c r="F27" s="466"/>
      <c r="G27" s="509"/>
      <c r="H27" s="466"/>
      <c r="I27" s="521"/>
      <c r="K27" s="496">
        <f>SUMIFS('25年PDCA'!$BA$102:$BA$140,'25年PDCA'!$AK$102:$AK$140,サマリ!$A24,'25年PDCA'!$AL$102:$AL$140,サマリ!$B27)</f>
        <v>3</v>
      </c>
      <c r="L27" s="477">
        <f>SUMIFS('25年PDCA'!$BS$102:$BS$140,'25年PDCA'!$BC$102:$BC$140,サマリ!$A24,'25年PDCA'!$BD$102:$BD$140,サマリ!$B27)</f>
        <v>26</v>
      </c>
      <c r="M27" s="477"/>
      <c r="N27" s="458">
        <f>IFERROR(K27/L27,0)</f>
        <v>0.11538461538461539</v>
      </c>
      <c r="O27" s="477">
        <f t="shared" si="24"/>
        <v>-23</v>
      </c>
      <c r="P27" s="458">
        <f t="shared" ref="P27" si="25">IFERROR(K27/M27,0)</f>
        <v>0</v>
      </c>
      <c r="Q27" s="488">
        <f t="shared" ref="Q27" si="26">K27-M27</f>
        <v>3</v>
      </c>
    </row>
    <row r="28" spans="1:18" ht="20.100000000000001" customHeight="1">
      <c r="A28" s="650"/>
      <c r="B28" s="453" t="s">
        <v>169</v>
      </c>
      <c r="C28" s="510">
        <f>SUMIFS('25年PDCA'!$AZ$102:$AZ$140,'25年PDCA'!$AK$102:$AK$140,サマリ!$A24,'25年PDCA'!$AL$102:$AL$140,サマリ!$B28)</f>
        <v>0</v>
      </c>
      <c r="D28" s="511">
        <f>SUMIFS('25年PDCA'!$BR$102:$BR$140,'25年PDCA'!$BC$102:$BC$140,サマリ!$A24,'25年PDCA'!$BD$102:$BD$140,サマリ!$B28)</f>
        <v>14</v>
      </c>
      <c r="E28" s="511"/>
      <c r="F28" s="458">
        <f t="shared" ref="F28:F29" si="27">IFERROR(C28/D28,0)</f>
        <v>0</v>
      </c>
      <c r="G28" s="477">
        <f t="shared" ref="G28:G29" si="28">C28-D28</f>
        <v>-14</v>
      </c>
      <c r="H28" s="458">
        <f t="shared" ref="H28:H29" si="29">IFERROR(C28/E28,0)</f>
        <v>0</v>
      </c>
      <c r="I28" s="488">
        <f t="shared" ref="I28:I29" si="30">C28-E28</f>
        <v>0</v>
      </c>
      <c r="K28" s="496">
        <f>SUMIFS('25年PDCA'!$BA$102:$BA$140,'25年PDCA'!$AK$102:$AK$140,サマリ!$A24,'25年PDCA'!$AL$102:$AL$140,サマリ!$B28)</f>
        <v>0</v>
      </c>
      <c r="L28" s="477">
        <f>SUMIFS('25年PDCA'!$BS$102:$BS$140,'25年PDCA'!$BC$102:$BC$140,サマリ!$A24,'25年PDCA'!$BD$102:$BD$140,サマリ!$B28)</f>
        <v>14</v>
      </c>
      <c r="M28" s="477"/>
      <c r="N28" s="458">
        <f t="shared" ref="N28:N32" si="31">IFERROR(K28/L28,0)</f>
        <v>0</v>
      </c>
      <c r="O28" s="477">
        <f t="shared" ref="O28:O32" si="32">K28-L28</f>
        <v>-14</v>
      </c>
      <c r="P28" s="458">
        <f t="shared" ref="P28:P32" si="33">IFERROR(K28/M28,0)</f>
        <v>0</v>
      </c>
      <c r="Q28" s="488">
        <f t="shared" ref="Q28:Q32" si="34">K28-M28</f>
        <v>0</v>
      </c>
    </row>
    <row r="29" spans="1:18" ht="20.100000000000001" customHeight="1">
      <c r="A29" s="651" t="s">
        <v>150</v>
      </c>
      <c r="B29" s="452" t="s">
        <v>165</v>
      </c>
      <c r="C29" s="512">
        <f>SUMIFS('25年PDCA'!$AZ$102:$AZ$140,'25年PDCA'!$AK$102:$AK$140,サマリ!$A29,'25年PDCA'!$AL$102:$AL$140,サマリ!$B29)</f>
        <v>0</v>
      </c>
      <c r="D29" s="513">
        <f>SUMIFS('25年PDCA'!$BR$102:$BR$140,'25年PDCA'!$BC$102:$BC$140,サマリ!$A29,'25年PDCA'!$BD$102:$BD$140,サマリ!$B29)</f>
        <v>0</v>
      </c>
      <c r="E29" s="513"/>
      <c r="F29" s="467">
        <f t="shared" si="27"/>
        <v>0</v>
      </c>
      <c r="G29" s="517">
        <f t="shared" si="28"/>
        <v>0</v>
      </c>
      <c r="H29" s="467">
        <f t="shared" si="29"/>
        <v>0</v>
      </c>
      <c r="I29" s="522">
        <f t="shared" si="30"/>
        <v>0</v>
      </c>
      <c r="K29" s="525">
        <f>SUMIFS('25年PDCA'!$BA$102:$BA$140,'25年PDCA'!$AK$102:$AK$140,サマリ!$A29,'25年PDCA'!$AL$102:$AL$140,サマリ!$B29)</f>
        <v>0</v>
      </c>
      <c r="L29" s="517">
        <f>SUMIFS('25年PDCA'!$BS$102:$BS$140,'25年PDCA'!$BC$102:$BC$140,サマリ!$A29,'25年PDCA'!$BD$102:$BD$140,サマリ!$B29)</f>
        <v>0</v>
      </c>
      <c r="M29" s="517"/>
      <c r="N29" s="467">
        <f t="shared" si="31"/>
        <v>0</v>
      </c>
      <c r="O29" s="517">
        <f t="shared" si="32"/>
        <v>0</v>
      </c>
      <c r="P29" s="467">
        <f t="shared" si="33"/>
        <v>0</v>
      </c>
      <c r="Q29" s="522">
        <f t="shared" si="34"/>
        <v>0</v>
      </c>
      <c r="R29" s="435" t="s">
        <v>170</v>
      </c>
    </row>
    <row r="30" spans="1:18" ht="20.100000000000001" customHeight="1">
      <c r="A30" s="649"/>
      <c r="B30" s="539" t="s">
        <v>166</v>
      </c>
      <c r="C30" s="540"/>
      <c r="D30" s="541"/>
      <c r="E30" s="541"/>
      <c r="F30" s="542"/>
      <c r="G30" s="541"/>
      <c r="H30" s="542"/>
      <c r="I30" s="543"/>
      <c r="K30" s="495">
        <f>SUMIFS('25年PDCA'!$BA$102:$BA$140,'25年PDCA'!$AK$102:$AK$140,サマリ!$A29,'25年PDCA'!$AL$102:$AL$140,サマリ!$B30)</f>
        <v>77</v>
      </c>
      <c r="L30" s="475">
        <f>SUMIFS('25年PDCA'!$BS$102:$BS$140,'25年PDCA'!$BC$102:$BC$140,サマリ!$A29,'25年PDCA'!$BD$102:$BD$140,サマリ!$B30)</f>
        <v>85</v>
      </c>
      <c r="M30" s="475"/>
      <c r="N30" s="457">
        <f t="shared" ref="N30" si="35">IFERROR(K30/L30,0)</f>
        <v>0.90588235294117647</v>
      </c>
      <c r="O30" s="475">
        <f t="shared" ref="O30" si="36">K30-L30</f>
        <v>-8</v>
      </c>
      <c r="P30" s="457">
        <f t="shared" ref="P30" si="37">IFERROR(K30/M30,0)</f>
        <v>0</v>
      </c>
      <c r="Q30" s="487">
        <f t="shared" ref="Q30" si="38">K30-M30</f>
        <v>77</v>
      </c>
    </row>
    <row r="31" spans="1:18" ht="20.100000000000001" customHeight="1">
      <c r="A31" s="649"/>
      <c r="B31" s="450" t="s">
        <v>167</v>
      </c>
      <c r="C31" s="506"/>
      <c r="D31" s="507"/>
      <c r="E31" s="507"/>
      <c r="F31" s="465"/>
      <c r="G31" s="507"/>
      <c r="H31" s="465"/>
      <c r="I31" s="520"/>
      <c r="K31" s="495">
        <f>SUMIFS('25年PDCA'!$BA$102:$BA$140,'25年PDCA'!$AK$102:$AK$140,サマリ!$A29,'25年PDCA'!$AL$102:$AL$140,サマリ!$B31)</f>
        <v>0</v>
      </c>
      <c r="L31" s="475">
        <f>SUMIFS('25年PDCA'!$BS$102:$BS$140,'25年PDCA'!$BC$102:$BC$140,サマリ!$A29,'25年PDCA'!$BD$102:$BD$140,サマリ!$B31)</f>
        <v>22</v>
      </c>
      <c r="M31" s="475"/>
      <c r="N31" s="457">
        <f t="shared" si="31"/>
        <v>0</v>
      </c>
      <c r="O31" s="475">
        <f t="shared" si="32"/>
        <v>-22</v>
      </c>
      <c r="P31" s="457">
        <f t="shared" si="33"/>
        <v>0</v>
      </c>
      <c r="Q31" s="487">
        <f t="shared" si="34"/>
        <v>0</v>
      </c>
    </row>
    <row r="32" spans="1:18" ht="20.100000000000001" customHeight="1">
      <c r="A32" s="649"/>
      <c r="B32" s="451" t="s">
        <v>168</v>
      </c>
      <c r="C32" s="508"/>
      <c r="D32" s="509"/>
      <c r="E32" s="509"/>
      <c r="F32" s="466"/>
      <c r="G32" s="509"/>
      <c r="H32" s="466"/>
      <c r="I32" s="521"/>
      <c r="K32" s="496">
        <f>SUMIFS('25年PDCA'!$BA$102:$BA$140,'25年PDCA'!$AK$102:$AK$140,サマリ!$A29,'25年PDCA'!$AL$102:$AL$140,サマリ!$B32)</f>
        <v>3</v>
      </c>
      <c r="L32" s="477">
        <f>SUMIFS('25年PDCA'!$BS$102:$BS$140,'25年PDCA'!$BC$102:$BC$140,サマリ!$A29,'25年PDCA'!$BD$102:$BD$140,サマリ!$B32)</f>
        <v>4</v>
      </c>
      <c r="M32" s="477"/>
      <c r="N32" s="458">
        <f t="shared" si="31"/>
        <v>0.75</v>
      </c>
      <c r="O32" s="477">
        <f t="shared" si="32"/>
        <v>-1</v>
      </c>
      <c r="P32" s="458">
        <f t="shared" si="33"/>
        <v>0</v>
      </c>
      <c r="Q32" s="488">
        <f t="shared" si="34"/>
        <v>3</v>
      </c>
    </row>
    <row r="33" spans="1:17" ht="20.100000000000001" customHeight="1">
      <c r="A33" s="650"/>
      <c r="B33" s="453" t="s">
        <v>169</v>
      </c>
      <c r="C33" s="510">
        <f>SUMIFS('25年PDCA'!$AZ$102:$AZ$140,'25年PDCA'!$AK$102:$AK$140,サマリ!$A29,'25年PDCA'!$AL$102:$AL$140,サマリ!$B33)</f>
        <v>0</v>
      </c>
      <c r="D33" s="514">
        <f>SUMIFS('25年PDCA'!$BR$102:$BR$140,'25年PDCA'!$BC$102:$BC$140,サマリ!$A29,'25年PDCA'!$BD$102:$BD$140,サマリ!$B33)</f>
        <v>1</v>
      </c>
      <c r="E33" s="514"/>
      <c r="F33" s="468">
        <f t="shared" ref="F33" si="39">IFERROR(C33/D33,0)</f>
        <v>0</v>
      </c>
      <c r="G33" s="518">
        <f t="shared" ref="G33:G34" si="40">C33-D33</f>
        <v>-1</v>
      </c>
      <c r="H33" s="468">
        <f t="shared" ref="H33:H34" si="41">IFERROR(C33/E33,0)</f>
        <v>0</v>
      </c>
      <c r="I33" s="523">
        <f t="shared" ref="I33:I34" si="42">C33-E33</f>
        <v>0</v>
      </c>
      <c r="K33" s="526">
        <f>SUMIFS('25年PDCA'!$BA$102:$BA$140,'25年PDCA'!$AK$102:$AK$140,サマリ!$A29,'25年PDCA'!$AL$102:$AL$140,サマリ!$B33)</f>
        <v>0</v>
      </c>
      <c r="L33" s="518">
        <f>SUMIFS('25年PDCA'!$BS$102:$BS$140,'25年PDCA'!$BC$102:$BC$140,サマリ!$A29,'25年PDCA'!$BD$102:$BD$140,サマリ!$B33)</f>
        <v>1</v>
      </c>
      <c r="M33" s="518"/>
      <c r="N33" s="468">
        <f t="shared" ref="N33:N37" si="43">IFERROR(K33/L33,0)</f>
        <v>0</v>
      </c>
      <c r="O33" s="518">
        <f t="shared" ref="O33:O37" si="44">K33-L33</f>
        <v>-1</v>
      </c>
      <c r="P33" s="468">
        <f t="shared" ref="P33:P37" si="45">IFERROR(K33/M33,0)</f>
        <v>0</v>
      </c>
      <c r="Q33" s="523">
        <f t="shared" ref="Q33:Q37" si="46">K33-M33</f>
        <v>0</v>
      </c>
    </row>
    <row r="34" spans="1:17" ht="20.100000000000001" customHeight="1">
      <c r="A34" s="651" t="s">
        <v>151</v>
      </c>
      <c r="B34" s="452" t="s">
        <v>165</v>
      </c>
      <c r="C34" s="512">
        <f>SUMIFS('25年PDCA'!$AZ$102:$AZ$140,'25年PDCA'!$AK$102:$AK$140,サマリ!$A34,'25年PDCA'!$AL$102:$AL$140,サマリ!$B34)</f>
        <v>21</v>
      </c>
      <c r="D34" s="513">
        <f>SUMIFS('25年PDCA'!$BR$102:$BR$140,'25年PDCA'!$BC$102:$BC$140,サマリ!$A34,'25年PDCA'!$BD$102:$BD$140,サマリ!$B34)</f>
        <v>524.44444444444457</v>
      </c>
      <c r="E34" s="513"/>
      <c r="F34" s="467">
        <f>IFERROR(C34/D34,0)</f>
        <v>4.0042372881355925E-2</v>
      </c>
      <c r="G34" s="517">
        <f t="shared" si="40"/>
        <v>-503.44444444444457</v>
      </c>
      <c r="H34" s="467">
        <f t="shared" si="41"/>
        <v>0</v>
      </c>
      <c r="I34" s="522">
        <f t="shared" si="42"/>
        <v>21</v>
      </c>
      <c r="K34" s="525">
        <f>SUMIFS('25年PDCA'!$BA$102:$BA$140,'25年PDCA'!$AK$102:$AK$140,サマリ!$A34,'25年PDCA'!$AL$102:$AL$140,サマリ!$B34)</f>
        <v>1</v>
      </c>
      <c r="L34" s="517">
        <f>SUMIFS('25年PDCA'!$BS$102:$BS$140,'25年PDCA'!$BC$102:$BC$140,サマリ!$A34,'25年PDCA'!$BD$102:$BD$140,サマリ!$B34)</f>
        <v>182.22222222222226</v>
      </c>
      <c r="M34" s="517"/>
      <c r="N34" s="467">
        <f t="shared" si="43"/>
        <v>5.4878048780487793E-3</v>
      </c>
      <c r="O34" s="517">
        <f t="shared" si="44"/>
        <v>-181.22222222222226</v>
      </c>
      <c r="P34" s="467">
        <f t="shared" si="45"/>
        <v>0</v>
      </c>
      <c r="Q34" s="522">
        <f t="shared" si="46"/>
        <v>1</v>
      </c>
    </row>
    <row r="35" spans="1:17" ht="20.100000000000001" customHeight="1">
      <c r="A35" s="649"/>
      <c r="B35" s="539" t="s">
        <v>166</v>
      </c>
      <c r="C35" s="540"/>
      <c r="D35" s="541"/>
      <c r="E35" s="541"/>
      <c r="F35" s="542"/>
      <c r="G35" s="541"/>
      <c r="H35" s="542"/>
      <c r="I35" s="543"/>
      <c r="K35" s="495">
        <f>SUMIFS('25年PDCA'!$BA$102:$BA$140,'25年PDCA'!$AK$102:$AK$140,サマリ!$A34,'25年PDCA'!$AL$102:$AL$140,サマリ!$B35)</f>
        <v>5</v>
      </c>
      <c r="L35" s="475">
        <f>SUMIFS('25年PDCA'!$BS$102:$BS$140,'25年PDCA'!$BC$102:$BC$140,サマリ!$A34,'25年PDCA'!$BD$102:$BD$140,サマリ!$B35)</f>
        <v>421.77777777777783</v>
      </c>
      <c r="M35" s="475"/>
      <c r="N35" s="457">
        <f t="shared" ref="N35" si="47">IFERROR(K35/L35,0)</f>
        <v>1.1854583772391991E-2</v>
      </c>
      <c r="O35" s="475">
        <f t="shared" ref="O35" si="48">K35-L35</f>
        <v>-416.77777777777783</v>
      </c>
      <c r="P35" s="457">
        <f t="shared" ref="P35" si="49">IFERROR(K35/M35,0)</f>
        <v>0</v>
      </c>
      <c r="Q35" s="487">
        <f t="shared" ref="Q35" si="50">K35-M35</f>
        <v>5</v>
      </c>
    </row>
    <row r="36" spans="1:17" ht="20.100000000000001" customHeight="1">
      <c r="A36" s="649"/>
      <c r="B36" s="450" t="s">
        <v>167</v>
      </c>
      <c r="C36" s="506"/>
      <c r="D36" s="507"/>
      <c r="E36" s="507"/>
      <c r="F36" s="465"/>
      <c r="G36" s="507"/>
      <c r="H36" s="465"/>
      <c r="I36" s="520"/>
      <c r="K36" s="495">
        <f>SUMIFS('25年PDCA'!$BA$102:$BA$140,'25年PDCA'!$AK$102:$AK$140,サマリ!$A34,'25年PDCA'!$AL$102:$AL$140,サマリ!$B36)</f>
        <v>3</v>
      </c>
      <c r="L36" s="475">
        <f>SUMIFS('25年PDCA'!$BS$102:$BS$140,'25年PDCA'!$BC$102:$BC$140,サマリ!$A34,'25年PDCA'!$BD$102:$BD$140,サマリ!$B36)</f>
        <v>42.000000000000007</v>
      </c>
      <c r="M36" s="475"/>
      <c r="N36" s="457">
        <f t="shared" si="43"/>
        <v>7.1428571428571411E-2</v>
      </c>
      <c r="O36" s="475">
        <f t="shared" si="44"/>
        <v>-39.000000000000007</v>
      </c>
      <c r="P36" s="457">
        <f t="shared" si="45"/>
        <v>0</v>
      </c>
      <c r="Q36" s="487">
        <f t="shared" si="46"/>
        <v>3</v>
      </c>
    </row>
    <row r="37" spans="1:17" ht="20.100000000000001" customHeight="1">
      <c r="A37" s="649"/>
      <c r="B37" s="451" t="s">
        <v>168</v>
      </c>
      <c r="C37" s="508"/>
      <c r="D37" s="509"/>
      <c r="E37" s="509"/>
      <c r="F37" s="466"/>
      <c r="G37" s="509"/>
      <c r="H37" s="466"/>
      <c r="I37" s="521"/>
      <c r="K37" s="496">
        <f>SUMIFS('25年PDCA'!$BA$102:$BA$140,'25年PDCA'!$AK$102:$AK$140,サマリ!$A34,'25年PDCA'!$AL$102:$AL$140,サマリ!$B37)</f>
        <v>0</v>
      </c>
      <c r="L37" s="477">
        <f>SUMIFS('25年PDCA'!$BS$102:$BS$140,'25年PDCA'!$BC$102:$BC$140,サマリ!$A34,'25年PDCA'!$BD$102:$BD$140,サマリ!$B37)</f>
        <v>12</v>
      </c>
      <c r="M37" s="477"/>
      <c r="N37" s="458">
        <f t="shared" si="43"/>
        <v>0</v>
      </c>
      <c r="O37" s="477">
        <f t="shared" si="44"/>
        <v>-12</v>
      </c>
      <c r="P37" s="458">
        <f t="shared" si="45"/>
        <v>0</v>
      </c>
      <c r="Q37" s="488">
        <f t="shared" si="46"/>
        <v>0</v>
      </c>
    </row>
    <row r="38" spans="1:17" ht="20.100000000000001" customHeight="1">
      <c r="A38" s="650"/>
      <c r="B38" s="453" t="s">
        <v>169</v>
      </c>
      <c r="C38" s="510">
        <f>SUMIFS('25年PDCA'!$AZ$102:$AZ$140,'25年PDCA'!$AK$102:$AK$140,サマリ!$A34,'25年PDCA'!$AL$102:$AL$140,サマリ!$B38)</f>
        <v>0</v>
      </c>
      <c r="D38" s="514">
        <f>SUMIFS('25年PDCA'!$BR$102:$BR$140,'25年PDCA'!$BC$102:$BC$140,サマリ!$A34,'25年PDCA'!$BD$102:$BD$140,サマリ!$B38)</f>
        <v>5</v>
      </c>
      <c r="E38" s="514"/>
      <c r="F38" s="468">
        <f t="shared" ref="F38:F39" si="51">IFERROR(C38/D38,0)</f>
        <v>0</v>
      </c>
      <c r="G38" s="518">
        <f t="shared" ref="G38:G39" si="52">C38-D38</f>
        <v>-5</v>
      </c>
      <c r="H38" s="468">
        <f t="shared" ref="H38:H39" si="53">IFERROR(C38/E38,0)</f>
        <v>0</v>
      </c>
      <c r="I38" s="523">
        <f t="shared" ref="I38:I39" si="54">C38-E38</f>
        <v>0</v>
      </c>
      <c r="K38" s="526">
        <f>SUMIFS('25年PDCA'!$BA$102:$BA$140,'25年PDCA'!$AK$102:$AK$140,サマリ!$A34,'25年PDCA'!$AL$102:$AL$140,サマリ!$B38)</f>
        <v>0</v>
      </c>
      <c r="L38" s="518">
        <f>SUMIFS('25年PDCA'!$BS$102:$BS$140,'25年PDCA'!$BC$102:$BC$140,サマリ!$A34,'25年PDCA'!$BD$102:$BD$140,サマリ!$B38)</f>
        <v>5</v>
      </c>
      <c r="M38" s="518"/>
      <c r="N38" s="468">
        <f t="shared" ref="N38:N41" si="55">IFERROR(K38/L38,0)</f>
        <v>0</v>
      </c>
      <c r="O38" s="518">
        <f t="shared" ref="O38:O41" si="56">K38-L38</f>
        <v>-5</v>
      </c>
      <c r="P38" s="468">
        <f t="shared" ref="P38:P41" si="57">IFERROR(K38/M38,0)</f>
        <v>0</v>
      </c>
      <c r="Q38" s="523">
        <f t="shared" ref="Q38:Q41" si="58">K38-M38</f>
        <v>0</v>
      </c>
    </row>
    <row r="39" spans="1:17" ht="20.100000000000001" customHeight="1">
      <c r="A39" s="651" t="s">
        <v>153</v>
      </c>
      <c r="B39" s="452" t="s">
        <v>166</v>
      </c>
      <c r="C39" s="512">
        <f>SUMIFS('25年PDCA'!$AZ$102:$AZ$140,'25年PDCA'!$AK$102:$AK$140,サマリ!$A39,'25年PDCA'!$AL$102:$AL$140,サマリ!$B39)</f>
        <v>310</v>
      </c>
      <c r="D39" s="513">
        <f>SUMIFS('25年PDCA'!$BR$102:$BR$140,'25年PDCA'!$BC$102:$BC$140,サマリ!$A39,'25年PDCA'!$BD$102:$BD$140,サマリ!$B39)</f>
        <v>805.24363840000001</v>
      </c>
      <c r="E39" s="513"/>
      <c r="F39" s="467">
        <f t="shared" si="51"/>
        <v>0.38497665205522474</v>
      </c>
      <c r="G39" s="517">
        <f t="shared" si="52"/>
        <v>-495.24363840000001</v>
      </c>
      <c r="H39" s="467">
        <f t="shared" si="53"/>
        <v>0</v>
      </c>
      <c r="I39" s="522">
        <f t="shared" si="54"/>
        <v>310</v>
      </c>
      <c r="K39" s="525">
        <f>SUMIFS('25年PDCA'!$BA$102:$BA$140,'25年PDCA'!$AK$102:$AK$140,サマリ!$A39,'25年PDCA'!$AL$102:$AL$140,サマリ!$B39)</f>
        <v>40</v>
      </c>
      <c r="L39" s="517">
        <f>SUMIFS('25年PDCA'!$BS$102:$BS$140,'25年PDCA'!$BC$102:$BC$140,サマリ!$A39,'25年PDCA'!$BD$102:$BD$140,サマリ!$B39)</f>
        <v>198.42344639999999</v>
      </c>
      <c r="M39" s="517"/>
      <c r="N39" s="467">
        <f t="shared" si="55"/>
        <v>0.20158907994856803</v>
      </c>
      <c r="O39" s="517">
        <f t="shared" si="56"/>
        <v>-158.42344639999999</v>
      </c>
      <c r="P39" s="467">
        <f t="shared" si="57"/>
        <v>0</v>
      </c>
      <c r="Q39" s="522">
        <f t="shared" si="58"/>
        <v>40</v>
      </c>
    </row>
    <row r="40" spans="1:17" ht="20.100000000000001" customHeight="1">
      <c r="A40" s="649"/>
      <c r="B40" s="450" t="s">
        <v>167</v>
      </c>
      <c r="C40" s="506"/>
      <c r="D40" s="507"/>
      <c r="E40" s="507"/>
      <c r="F40" s="465"/>
      <c r="G40" s="507"/>
      <c r="H40" s="465"/>
      <c r="I40" s="520"/>
      <c r="K40" s="495">
        <f>SUMIFS('25年PDCA'!$BA$102:$BA$140,'25年PDCA'!$AK$102:$AK$140,サマリ!$A39,'25年PDCA'!$AL$102:$AL$140,サマリ!$B40)</f>
        <v>30</v>
      </c>
      <c r="L40" s="475">
        <f>SUMIFS('25年PDCA'!$BS$102:$BS$140,'25年PDCA'!$BC$102:$BC$140,サマリ!$A39,'25年PDCA'!$BD$102:$BD$140,サマリ!$B40)</f>
        <v>60.551913599999999</v>
      </c>
      <c r="M40" s="475"/>
      <c r="N40" s="457">
        <f t="shared" si="55"/>
        <v>0.49544264113892511</v>
      </c>
      <c r="O40" s="475">
        <f t="shared" si="56"/>
        <v>-30.551913599999999</v>
      </c>
      <c r="P40" s="457">
        <f t="shared" si="57"/>
        <v>0</v>
      </c>
      <c r="Q40" s="487">
        <f t="shared" si="58"/>
        <v>30</v>
      </c>
    </row>
    <row r="41" spans="1:17" ht="20.100000000000001" customHeight="1">
      <c r="A41" s="649"/>
      <c r="B41" s="451" t="s">
        <v>168</v>
      </c>
      <c r="C41" s="508"/>
      <c r="D41" s="509"/>
      <c r="E41" s="509"/>
      <c r="F41" s="466"/>
      <c r="G41" s="509"/>
      <c r="H41" s="466"/>
      <c r="I41" s="521"/>
      <c r="K41" s="496">
        <f>SUMIFS('25年PDCA'!$BA$102:$BA$140,'25年PDCA'!$AK$102:$AK$140,サマリ!$A39,'25年PDCA'!$AL$102:$AL$140,サマリ!$B41)</f>
        <v>0</v>
      </c>
      <c r="L41" s="477">
        <f>SUMIFS('25年PDCA'!$BS$102:$BS$140,'25年PDCA'!$BC$102:$BC$140,サマリ!$A39,'25年PDCA'!$BD$102:$BD$140,サマリ!$B41)</f>
        <v>11.024639999999998</v>
      </c>
      <c r="M41" s="477"/>
      <c r="N41" s="458">
        <f t="shared" si="55"/>
        <v>0</v>
      </c>
      <c r="O41" s="477">
        <f t="shared" si="56"/>
        <v>-11.024639999999998</v>
      </c>
      <c r="P41" s="458">
        <f t="shared" si="57"/>
        <v>0</v>
      </c>
      <c r="Q41" s="488">
        <f t="shared" si="58"/>
        <v>0</v>
      </c>
    </row>
    <row r="42" spans="1:17" ht="20.100000000000001" customHeight="1" thickBot="1">
      <c r="A42" s="670"/>
      <c r="B42" s="454" t="s">
        <v>169</v>
      </c>
      <c r="C42" s="515">
        <f>SUMIFS('25年PDCA'!$AZ$102:$AZ$140,'25年PDCA'!$AK$102:$AK$140,サマリ!$A39,'25年PDCA'!$AL$102:$AL$140,サマリ!$B42)</f>
        <v>0</v>
      </c>
      <c r="D42" s="516">
        <f>SUMIFS('25年PDCA'!$BR$102:$BR$140,'25年PDCA'!$BC$102:$BC$140,サマリ!$A39,'25年PDCA'!$BD$102:$BD$140,サマリ!$B42)</f>
        <v>3.8879999999999995</v>
      </c>
      <c r="E42" s="516"/>
      <c r="F42" s="469">
        <f t="shared" ref="F42" si="59">IFERROR(C42/D42,0)</f>
        <v>0</v>
      </c>
      <c r="G42" s="519">
        <f t="shared" ref="G42" si="60">C42-D42</f>
        <v>-3.8879999999999995</v>
      </c>
      <c r="H42" s="469">
        <f t="shared" ref="H42" si="61">IFERROR(C42/E42,0)</f>
        <v>0</v>
      </c>
      <c r="I42" s="524">
        <f t="shared" ref="I42" si="62">C42-E42</f>
        <v>0</v>
      </c>
      <c r="K42" s="527">
        <f>SUMIFS('25年PDCA'!$BA$102:$BA$140,'25年PDCA'!$AK$102:$AK$140,サマリ!$A39,'25年PDCA'!$AL$102:$AL$140,サマリ!$B42)</f>
        <v>0</v>
      </c>
      <c r="L42" s="519">
        <f>SUMIFS('25年PDCA'!$BS$102:$BS$140,'25年PDCA'!$BC$102:$BC$140,サマリ!$A39,'25年PDCA'!$BD$102:$BD$140,サマリ!$B42)</f>
        <v>3.8879999999999995</v>
      </c>
      <c r="M42" s="519"/>
      <c r="N42" s="469">
        <f t="shared" ref="N42" si="63">IFERROR(K42/L42,0)</f>
        <v>0</v>
      </c>
      <c r="O42" s="519">
        <f t="shared" ref="O42" si="64">K42-L42</f>
        <v>-3.8879999999999995</v>
      </c>
      <c r="P42" s="469">
        <f t="shared" ref="P42" si="65">IFERROR(K42/M42,0)</f>
        <v>0</v>
      </c>
      <c r="Q42" s="524">
        <f t="shared" ref="Q42" si="66">K42-M42</f>
        <v>0</v>
      </c>
    </row>
  </sheetData>
  <mergeCells count="26">
    <mergeCell ref="A39:A42"/>
    <mergeCell ref="A14:B14"/>
    <mergeCell ref="B22:B23"/>
    <mergeCell ref="C22:I22"/>
    <mergeCell ref="K22:Q22"/>
    <mergeCell ref="A1:B1"/>
    <mergeCell ref="A4:B5"/>
    <mergeCell ref="A6:B6"/>
    <mergeCell ref="A7:B7"/>
    <mergeCell ref="A8:B8"/>
    <mergeCell ref="C4:I4"/>
    <mergeCell ref="K4:Q4"/>
    <mergeCell ref="A9:B9"/>
    <mergeCell ref="A10:B10"/>
    <mergeCell ref="A11:B11"/>
    <mergeCell ref="A12:B12"/>
    <mergeCell ref="A13:B13"/>
    <mergeCell ref="A24:A28"/>
    <mergeCell ref="A29:A33"/>
    <mergeCell ref="A34:A38"/>
    <mergeCell ref="A15:B15"/>
    <mergeCell ref="A16:B16"/>
    <mergeCell ref="A17:B17"/>
    <mergeCell ref="A18:B18"/>
    <mergeCell ref="A19:B19"/>
    <mergeCell ref="A22:A23"/>
  </mergeCells>
  <phoneticPr fontId="4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074E-237B-4267-B0DA-636B851260FE}">
  <sheetPr>
    <tabColor rgb="FFFF5050"/>
  </sheetPr>
  <dimension ref="A1:P49"/>
  <sheetViews>
    <sheetView topLeftCell="A67" workbookViewId="0">
      <selection activeCell="R138" sqref="R138"/>
    </sheetView>
  </sheetViews>
  <sheetFormatPr defaultRowHeight="12"/>
  <cols>
    <col min="1" max="3" width="9.140625" style="544"/>
    <col min="4" max="4" width="9.5703125" style="544" bestFit="1" customWidth="1"/>
    <col min="5" max="7" width="10.42578125" style="544" bestFit="1" customWidth="1"/>
    <col min="8" max="9" width="9.28515625" style="544" bestFit="1" customWidth="1"/>
    <col min="10" max="15" width="10.42578125" style="544" bestFit="1" customWidth="1"/>
    <col min="16" max="16384" width="9.140625" style="544"/>
  </cols>
  <sheetData>
    <row r="1" spans="1:15">
      <c r="D1" s="544" t="s">
        <v>171</v>
      </c>
      <c r="E1" s="544" t="s">
        <v>172</v>
      </c>
      <c r="F1" s="544" t="s">
        <v>173</v>
      </c>
      <c r="G1" s="544" t="s">
        <v>174</v>
      </c>
      <c r="H1" s="544" t="s">
        <v>175</v>
      </c>
      <c r="I1" s="544" t="s">
        <v>176</v>
      </c>
      <c r="J1" s="544" t="s">
        <v>177</v>
      </c>
      <c r="K1" s="544" t="s">
        <v>178</v>
      </c>
      <c r="L1" s="544" t="s">
        <v>179</v>
      </c>
      <c r="M1" s="544" t="s">
        <v>180</v>
      </c>
      <c r="N1" s="544" t="s">
        <v>181</v>
      </c>
      <c r="O1" s="544" t="s">
        <v>182</v>
      </c>
    </row>
    <row r="2" spans="1:15">
      <c r="A2" s="604" t="s">
        <v>183</v>
      </c>
      <c r="B2" s="544" t="s">
        <v>184</v>
      </c>
      <c r="C2" s="544" t="s">
        <v>185</v>
      </c>
      <c r="D2" s="547" cm="1">
        <f t="array" ref="D2:O2">'25年PDCA'!BE105:BP105</f>
        <v>0</v>
      </c>
      <c r="E2" s="547">
        <v>0</v>
      </c>
      <c r="F2" s="547">
        <v>207.40740740740742</v>
      </c>
      <c r="G2" s="547">
        <v>656.29629629629642</v>
      </c>
      <c r="H2" s="547">
        <v>1271.8518518518522</v>
      </c>
      <c r="I2" s="547">
        <v>2114.5185185185192</v>
      </c>
      <c r="J2" s="547">
        <v>3147.3333333333339</v>
      </c>
      <c r="K2" s="547">
        <v>4486.8148148148157</v>
      </c>
      <c r="L2" s="547">
        <v>5587.4814814814827</v>
      </c>
      <c r="M2" s="547">
        <v>6724.592592592594</v>
      </c>
      <c r="N2" s="547">
        <v>6237.2592592592609</v>
      </c>
      <c r="O2" s="547">
        <v>0</v>
      </c>
    </row>
    <row r="3" spans="1:15">
      <c r="C3" s="544" t="s">
        <v>142</v>
      </c>
      <c r="D3" s="547" cm="1">
        <f t="array" ref="D3:O3">'25年PDCA'!AM105:AX105</f>
        <v>0</v>
      </c>
      <c r="E3" s="547">
        <v>0</v>
      </c>
      <c r="F3" s="547">
        <v>0</v>
      </c>
      <c r="G3" s="547">
        <v>404</v>
      </c>
      <c r="H3" s="547">
        <v>454</v>
      </c>
      <c r="I3" s="547">
        <v>496</v>
      </c>
      <c r="J3" s="547">
        <v>503</v>
      </c>
      <c r="K3" s="547">
        <v>0</v>
      </c>
      <c r="L3" s="547">
        <v>0</v>
      </c>
      <c r="M3" s="547">
        <v>0</v>
      </c>
      <c r="N3" s="547">
        <v>0</v>
      </c>
      <c r="O3" s="547">
        <v>0</v>
      </c>
    </row>
    <row r="4" spans="1:15">
      <c r="B4" s="544" t="s">
        <v>40</v>
      </c>
      <c r="C4" s="544" t="s">
        <v>185</v>
      </c>
      <c r="D4" s="547" cm="1">
        <f t="array" ref="D4:O4">'25年PDCA'!BE114:BP114</f>
        <v>0</v>
      </c>
      <c r="E4" s="547">
        <v>6.5789473684210522</v>
      </c>
      <c r="F4" s="547">
        <v>23.815789473684209</v>
      </c>
      <c r="G4" s="547">
        <v>42.631578947368418</v>
      </c>
      <c r="H4" s="547">
        <v>58.94736842105263</v>
      </c>
      <c r="I4" s="547">
        <v>75.263157894736835</v>
      </c>
      <c r="J4" s="547">
        <v>85</v>
      </c>
      <c r="K4" s="547">
        <v>77.5</v>
      </c>
      <c r="L4" s="547">
        <v>77.5</v>
      </c>
      <c r="M4" s="547">
        <v>77.5</v>
      </c>
      <c r="N4" s="547">
        <v>77.5</v>
      </c>
      <c r="O4" s="547">
        <v>77.5</v>
      </c>
    </row>
    <row r="5" spans="1:15">
      <c r="C5" s="544" t="s">
        <v>142</v>
      </c>
      <c r="D5" s="547" cm="1">
        <f t="array" ref="D5:O5">'25年PDCA'!AM114:AX114</f>
        <v>0</v>
      </c>
      <c r="E5" s="547">
        <v>2</v>
      </c>
      <c r="F5" s="547">
        <v>13</v>
      </c>
      <c r="G5" s="547">
        <v>29</v>
      </c>
      <c r="H5" s="547">
        <v>50</v>
      </c>
      <c r="I5" s="547">
        <v>63</v>
      </c>
      <c r="J5" s="547">
        <v>77</v>
      </c>
      <c r="K5" s="547">
        <v>0</v>
      </c>
      <c r="L5" s="547">
        <v>0</v>
      </c>
      <c r="M5" s="547">
        <v>0</v>
      </c>
      <c r="N5" s="547">
        <v>0</v>
      </c>
      <c r="O5" s="547">
        <v>0</v>
      </c>
    </row>
    <row r="6" spans="1:15">
      <c r="B6" s="544" t="s">
        <v>41</v>
      </c>
      <c r="C6" s="544" t="s">
        <v>185</v>
      </c>
      <c r="D6" s="547" cm="1">
        <f t="array" ref="D6:O6">'25年PDCA'!BE124:BP124</f>
        <v>0</v>
      </c>
      <c r="E6" s="547">
        <v>0</v>
      </c>
      <c r="F6" s="547">
        <v>27.777777777777782</v>
      </c>
      <c r="G6" s="547">
        <v>72.222222222222243</v>
      </c>
      <c r="H6" s="547">
        <v>102.22222222222224</v>
      </c>
      <c r="I6" s="547">
        <v>140.00000000000003</v>
      </c>
      <c r="J6" s="547">
        <v>182.22222222222226</v>
      </c>
      <c r="K6" s="547">
        <v>217.77777777777783</v>
      </c>
      <c r="L6" s="547">
        <v>164.44444444444449</v>
      </c>
      <c r="M6" s="547">
        <v>164.44444444444449</v>
      </c>
      <c r="N6" s="547">
        <v>0</v>
      </c>
      <c r="O6" s="547">
        <v>0</v>
      </c>
    </row>
    <row r="7" spans="1:15">
      <c r="C7" s="544" t="s">
        <v>142</v>
      </c>
      <c r="D7" s="547" cm="1">
        <f t="array" ref="D7:O7">'25年PDCA'!AM124:AX124</f>
        <v>2</v>
      </c>
      <c r="E7" s="547">
        <v>2</v>
      </c>
      <c r="F7" s="547">
        <v>4</v>
      </c>
      <c r="G7" s="547">
        <v>2</v>
      </c>
      <c r="H7" s="547">
        <v>7</v>
      </c>
      <c r="I7" s="547">
        <v>3</v>
      </c>
      <c r="J7" s="547">
        <v>1</v>
      </c>
      <c r="K7" s="547">
        <v>0</v>
      </c>
      <c r="L7" s="547">
        <v>0</v>
      </c>
      <c r="M7" s="547">
        <v>0</v>
      </c>
      <c r="N7" s="547">
        <v>0</v>
      </c>
      <c r="O7" s="547">
        <v>0</v>
      </c>
    </row>
    <row r="8" spans="1:15">
      <c r="B8" s="544" t="s">
        <v>153</v>
      </c>
      <c r="C8" s="544" t="s">
        <v>185</v>
      </c>
      <c r="D8" s="547" cm="1">
        <f t="array" ref="D8:O8">'25年PDCA'!BE136:BP136</f>
        <v>0</v>
      </c>
      <c r="E8" s="547">
        <v>0</v>
      </c>
      <c r="F8" s="547">
        <v>57.2</v>
      </c>
      <c r="G8" s="547">
        <v>156.80000000000001</v>
      </c>
      <c r="H8" s="547">
        <v>199.23840000000001</v>
      </c>
      <c r="I8" s="547">
        <v>193.58179199999998</v>
      </c>
      <c r="J8" s="547">
        <v>198.42344639999999</v>
      </c>
      <c r="K8" s="547">
        <v>201.579548544</v>
      </c>
      <c r="L8" s="547">
        <v>205.570191744</v>
      </c>
      <c r="M8" s="547">
        <v>208.81752998399998</v>
      </c>
      <c r="N8" s="547">
        <v>270</v>
      </c>
      <c r="O8" s="547">
        <v>270</v>
      </c>
    </row>
    <row r="9" spans="1:15">
      <c r="C9" s="544" t="s">
        <v>142</v>
      </c>
      <c r="D9" s="547" cm="1">
        <f t="array" ref="D9:O9">'25年PDCA'!AM136:AX136</f>
        <v>0</v>
      </c>
      <c r="E9" s="547">
        <v>0</v>
      </c>
      <c r="F9" s="547">
        <v>36</v>
      </c>
      <c r="G9" s="547">
        <v>71</v>
      </c>
      <c r="H9" s="547">
        <v>81</v>
      </c>
      <c r="I9" s="547">
        <v>82</v>
      </c>
      <c r="J9" s="547">
        <v>40</v>
      </c>
      <c r="K9" s="547">
        <v>0</v>
      </c>
      <c r="L9" s="547">
        <v>0</v>
      </c>
      <c r="M9" s="547">
        <v>0</v>
      </c>
      <c r="N9" s="547">
        <v>0</v>
      </c>
      <c r="O9" s="547">
        <v>0</v>
      </c>
    </row>
    <row r="10" spans="1:15">
      <c r="D10" s="547"/>
      <c r="E10" s="547"/>
      <c r="F10" s="547"/>
      <c r="G10" s="547"/>
      <c r="H10" s="547"/>
      <c r="I10" s="547"/>
      <c r="J10" s="547"/>
      <c r="K10" s="547"/>
      <c r="L10" s="547"/>
      <c r="M10" s="547"/>
      <c r="N10" s="547"/>
      <c r="O10" s="547"/>
    </row>
    <row r="11" spans="1:15">
      <c r="A11" s="604" t="s">
        <v>186</v>
      </c>
      <c r="B11" s="544" t="s">
        <v>184</v>
      </c>
      <c r="C11" s="544" t="s">
        <v>185</v>
      </c>
      <c r="D11" s="547" cm="1">
        <f t="array" ref="D11:O11">'25年PDCA'!BE106:BP106</f>
        <v>0</v>
      </c>
      <c r="E11" s="547">
        <v>0</v>
      </c>
      <c r="F11" s="547">
        <v>0</v>
      </c>
      <c r="G11" s="547">
        <v>62.222222222222221</v>
      </c>
      <c r="H11" s="547">
        <v>153.33333333333334</v>
      </c>
      <c r="I11" s="547">
        <v>230.66666666666671</v>
      </c>
      <c r="J11" s="547">
        <v>322</v>
      </c>
      <c r="K11" s="547">
        <v>406.44444444444446</v>
      </c>
      <c r="L11" s="547">
        <v>523.77777777777771</v>
      </c>
      <c r="M11" s="547">
        <v>487.33333333333326</v>
      </c>
      <c r="N11" s="547">
        <v>487.33333333333326</v>
      </c>
      <c r="O11" s="547">
        <v>0</v>
      </c>
    </row>
    <row r="12" spans="1:15">
      <c r="C12" s="544" t="s">
        <v>142</v>
      </c>
      <c r="D12" s="547" cm="1">
        <f t="array" ref="D12:O12">'25年PDCA'!AM106:AX106</f>
        <v>0</v>
      </c>
      <c r="E12" s="547">
        <v>2</v>
      </c>
      <c r="F12" s="547">
        <v>0</v>
      </c>
      <c r="G12" s="547">
        <v>1</v>
      </c>
      <c r="H12" s="547">
        <v>8</v>
      </c>
      <c r="I12" s="547">
        <v>10</v>
      </c>
      <c r="J12" s="547">
        <v>9</v>
      </c>
      <c r="K12" s="547">
        <v>0</v>
      </c>
      <c r="L12" s="547">
        <v>0</v>
      </c>
      <c r="M12" s="547">
        <v>0</v>
      </c>
      <c r="N12" s="547">
        <v>0</v>
      </c>
      <c r="O12" s="547">
        <v>0</v>
      </c>
    </row>
    <row r="13" spans="1:15">
      <c r="B13" s="544" t="s">
        <v>40</v>
      </c>
      <c r="C13" s="544" t="s">
        <v>185</v>
      </c>
      <c r="D13" s="547" cm="1">
        <f t="array" ref="D13:O13">'25年PDCA'!BE117:BP117</f>
        <v>0</v>
      </c>
      <c r="E13" s="547">
        <v>0</v>
      </c>
      <c r="F13" s="547">
        <v>2.5</v>
      </c>
      <c r="G13" s="547">
        <v>7.5</v>
      </c>
      <c r="H13" s="547">
        <v>11.5</v>
      </c>
      <c r="I13" s="547">
        <v>16</v>
      </c>
      <c r="J13" s="547">
        <v>22</v>
      </c>
      <c r="K13" s="547">
        <v>25.5</v>
      </c>
      <c r="L13" s="547">
        <v>24</v>
      </c>
      <c r="M13" s="547">
        <v>28.5</v>
      </c>
      <c r="N13" s="547">
        <v>0</v>
      </c>
      <c r="O13" s="547">
        <v>0</v>
      </c>
    </row>
    <row r="14" spans="1:15">
      <c r="C14" s="544" t="s">
        <v>142</v>
      </c>
      <c r="D14" s="547" cm="1">
        <f t="array" ref="D14:O14">'25年PDCA'!AM128:AX128</f>
        <v>0</v>
      </c>
      <c r="E14" s="547">
        <v>0</v>
      </c>
      <c r="F14" s="547">
        <v>0</v>
      </c>
      <c r="G14" s="547">
        <v>0</v>
      </c>
      <c r="H14" s="547">
        <v>1</v>
      </c>
      <c r="I14" s="547">
        <v>3</v>
      </c>
      <c r="J14" s="547">
        <v>3</v>
      </c>
      <c r="K14" s="547">
        <v>0</v>
      </c>
      <c r="L14" s="547">
        <v>0</v>
      </c>
      <c r="M14" s="547">
        <v>0</v>
      </c>
      <c r="N14" s="547">
        <v>0</v>
      </c>
      <c r="O14" s="547">
        <v>0</v>
      </c>
    </row>
    <row r="15" spans="1:15">
      <c r="B15" s="544" t="s">
        <v>41</v>
      </c>
      <c r="C15" s="544" t="s">
        <v>185</v>
      </c>
      <c r="D15" s="547" cm="1">
        <f t="array" ref="D15:O15">'25年PDCA'!BE128:BP128</f>
        <v>0</v>
      </c>
      <c r="E15" s="547">
        <v>0</v>
      </c>
      <c r="F15" s="547">
        <v>0</v>
      </c>
      <c r="G15" s="547">
        <v>8.3333333333333339</v>
      </c>
      <c r="H15" s="547">
        <v>21.666666666666671</v>
      </c>
      <c r="I15" s="547">
        <v>30.666666666666671</v>
      </c>
      <c r="J15" s="547">
        <v>42.000000000000007</v>
      </c>
      <c r="K15" s="547">
        <v>54.666666666666671</v>
      </c>
      <c r="L15" s="547">
        <v>65.333333333333343</v>
      </c>
      <c r="M15" s="547">
        <v>49.333333333333343</v>
      </c>
      <c r="N15" s="547">
        <v>49.333333333333343</v>
      </c>
      <c r="O15" s="547">
        <v>0</v>
      </c>
    </row>
    <row r="16" spans="1:15">
      <c r="C16" s="544" t="s">
        <v>142</v>
      </c>
      <c r="D16" s="547" cm="1">
        <f t="array" ref="D16:O16">'25年PDCA'!AM128:AX128</f>
        <v>0</v>
      </c>
      <c r="E16" s="547">
        <v>0</v>
      </c>
      <c r="F16" s="547">
        <v>0</v>
      </c>
      <c r="G16" s="547">
        <v>0</v>
      </c>
      <c r="H16" s="547">
        <v>1</v>
      </c>
      <c r="I16" s="547">
        <v>3</v>
      </c>
      <c r="J16" s="547">
        <v>3</v>
      </c>
      <c r="K16" s="547">
        <v>0</v>
      </c>
      <c r="L16" s="547">
        <v>0</v>
      </c>
      <c r="M16" s="547">
        <v>0</v>
      </c>
      <c r="N16" s="547">
        <v>0</v>
      </c>
      <c r="O16" s="547">
        <v>0</v>
      </c>
    </row>
    <row r="17" spans="1:15">
      <c r="B17" s="544" t="s">
        <v>153</v>
      </c>
      <c r="C17" s="544" t="s">
        <v>185</v>
      </c>
      <c r="D17" s="547" cm="1">
        <f t="array" ref="D17:O17">'25年PDCA'!BE137:BP137</f>
        <v>0</v>
      </c>
      <c r="E17" s="547">
        <v>0</v>
      </c>
      <c r="F17" s="547">
        <v>10.799999999999997</v>
      </c>
      <c r="G17" s="547">
        <v>43.199999999999989</v>
      </c>
      <c r="H17" s="547">
        <v>66.441599999999994</v>
      </c>
      <c r="I17" s="547">
        <v>63.458207999999999</v>
      </c>
      <c r="J17" s="547">
        <v>60.551913599999999</v>
      </c>
      <c r="K17" s="547">
        <v>64.429808256000001</v>
      </c>
      <c r="L17" s="547">
        <v>61.182470016000003</v>
      </c>
      <c r="M17" s="547">
        <v>58.035054873600004</v>
      </c>
      <c r="N17" s="547">
        <v>0</v>
      </c>
      <c r="O17" s="547">
        <v>0</v>
      </c>
    </row>
    <row r="18" spans="1:15">
      <c r="C18" s="544" t="s">
        <v>142</v>
      </c>
      <c r="D18" s="547" cm="1">
        <f t="array" ref="D18:O18">'25年PDCA'!AM137:AX137</f>
        <v>0</v>
      </c>
      <c r="E18" s="547">
        <v>0</v>
      </c>
      <c r="F18" s="547">
        <v>7</v>
      </c>
      <c r="G18" s="547">
        <v>12</v>
      </c>
      <c r="H18" s="547">
        <v>15</v>
      </c>
      <c r="I18" s="547">
        <v>15</v>
      </c>
      <c r="J18" s="547">
        <v>30</v>
      </c>
      <c r="K18" s="547">
        <v>0</v>
      </c>
      <c r="L18" s="547">
        <v>0</v>
      </c>
      <c r="M18" s="547">
        <v>0</v>
      </c>
      <c r="N18" s="547">
        <v>0</v>
      </c>
      <c r="O18" s="547">
        <v>0</v>
      </c>
    </row>
    <row r="20" spans="1:15">
      <c r="A20" s="604" t="s">
        <v>168</v>
      </c>
      <c r="B20" s="544" t="s">
        <v>184</v>
      </c>
      <c r="C20" s="544" t="s">
        <v>185</v>
      </c>
      <c r="D20" s="547" cm="1">
        <f t="array" ref="D20:O20">'25年PDCA'!BE107:BP107</f>
        <v>0</v>
      </c>
      <c r="E20" s="547">
        <v>0</v>
      </c>
      <c r="F20" s="547">
        <v>0</v>
      </c>
      <c r="G20" s="547">
        <v>0</v>
      </c>
      <c r="H20" s="547">
        <v>15.555555555555555</v>
      </c>
      <c r="I20" s="547">
        <v>26.666666666666664</v>
      </c>
      <c r="J20" s="547">
        <v>26</v>
      </c>
      <c r="K20" s="547">
        <v>29.333333333333329</v>
      </c>
      <c r="L20" s="547">
        <v>28.444444444444443</v>
      </c>
      <c r="M20" s="547">
        <v>36.444444444444443</v>
      </c>
      <c r="N20" s="547">
        <v>0</v>
      </c>
      <c r="O20" s="547">
        <v>0</v>
      </c>
    </row>
    <row r="21" spans="1:15">
      <c r="C21" s="544" t="s">
        <v>142</v>
      </c>
      <c r="D21" s="547" cm="1">
        <f t="array" ref="D21:O21">'25年PDCA'!AM107:AX107</f>
        <v>0</v>
      </c>
      <c r="E21" s="547">
        <v>0</v>
      </c>
      <c r="F21" s="547">
        <v>2</v>
      </c>
      <c r="G21" s="547">
        <v>2</v>
      </c>
      <c r="H21" s="547">
        <v>2</v>
      </c>
      <c r="I21" s="547">
        <v>2</v>
      </c>
      <c r="J21" s="547">
        <v>3</v>
      </c>
      <c r="K21" s="547">
        <v>0</v>
      </c>
      <c r="L21" s="547">
        <v>0</v>
      </c>
      <c r="M21" s="547">
        <v>0</v>
      </c>
      <c r="N21" s="547">
        <v>0</v>
      </c>
      <c r="O21" s="547">
        <v>0</v>
      </c>
    </row>
    <row r="22" spans="1:15">
      <c r="B22" s="544" t="s">
        <v>40</v>
      </c>
      <c r="C22" s="544" t="s">
        <v>185</v>
      </c>
      <c r="D22" s="547" cm="1">
        <f t="array" ref="D22:O22">'25年PDCA'!BE120:BP120</f>
        <v>0</v>
      </c>
      <c r="E22" s="547">
        <v>0</v>
      </c>
      <c r="F22" s="547">
        <v>0</v>
      </c>
      <c r="G22" s="547">
        <v>0</v>
      </c>
      <c r="H22" s="547">
        <v>1</v>
      </c>
      <c r="I22" s="547">
        <v>3</v>
      </c>
      <c r="J22" s="547">
        <v>4</v>
      </c>
      <c r="K22" s="547">
        <v>4</v>
      </c>
      <c r="L22" s="547">
        <v>4</v>
      </c>
      <c r="M22" s="547">
        <v>3</v>
      </c>
      <c r="N22" s="547">
        <v>0</v>
      </c>
      <c r="O22" s="547">
        <v>0</v>
      </c>
    </row>
    <row r="23" spans="1:15">
      <c r="C23" s="544" t="s">
        <v>142</v>
      </c>
      <c r="D23" s="547" cm="1">
        <f t="array" ref="D23:O23">'25年PDCA'!AM120:AX120</f>
        <v>0</v>
      </c>
      <c r="E23" s="547">
        <v>0</v>
      </c>
      <c r="F23" s="547">
        <v>2</v>
      </c>
      <c r="G23" s="547">
        <v>2</v>
      </c>
      <c r="H23" s="547">
        <v>3</v>
      </c>
      <c r="I23" s="547">
        <v>3</v>
      </c>
      <c r="J23" s="547">
        <v>3</v>
      </c>
      <c r="K23" s="547">
        <v>0</v>
      </c>
      <c r="L23" s="547">
        <v>0</v>
      </c>
      <c r="M23" s="547">
        <v>0</v>
      </c>
      <c r="N23" s="547">
        <v>0</v>
      </c>
      <c r="O23" s="547">
        <v>0</v>
      </c>
    </row>
    <row r="24" spans="1:15">
      <c r="B24" s="544" t="s">
        <v>41</v>
      </c>
      <c r="C24" s="544" t="s">
        <v>185</v>
      </c>
      <c r="D24" s="547" cm="1">
        <f t="array" ref="D24:O24">'25年PDCA'!BE129:BP129</f>
        <v>0</v>
      </c>
      <c r="E24" s="547">
        <v>0</v>
      </c>
      <c r="F24" s="547">
        <v>0</v>
      </c>
      <c r="G24" s="547">
        <v>0</v>
      </c>
      <c r="H24" s="547">
        <v>5</v>
      </c>
      <c r="I24" s="547">
        <v>11</v>
      </c>
      <c r="J24" s="547">
        <v>12</v>
      </c>
      <c r="K24" s="547">
        <v>14</v>
      </c>
      <c r="L24" s="547">
        <v>16</v>
      </c>
      <c r="M24" s="547">
        <v>16</v>
      </c>
      <c r="N24" s="547">
        <v>0</v>
      </c>
      <c r="O24" s="547">
        <v>0</v>
      </c>
    </row>
    <row r="25" spans="1:15">
      <c r="C25" s="544" t="s">
        <v>142</v>
      </c>
      <c r="D25" s="547" cm="1">
        <f t="array" ref="D25:O25">'25年PDCA'!AM129:AX129</f>
        <v>0</v>
      </c>
      <c r="E25" s="547">
        <v>0</v>
      </c>
      <c r="F25" s="547">
        <v>0</v>
      </c>
      <c r="G25" s="547">
        <v>0</v>
      </c>
      <c r="H25" s="547">
        <v>0</v>
      </c>
      <c r="I25" s="547">
        <v>0</v>
      </c>
      <c r="J25" s="547">
        <v>0</v>
      </c>
      <c r="K25" s="547">
        <v>0</v>
      </c>
      <c r="L25" s="547">
        <v>0</v>
      </c>
      <c r="M25" s="547">
        <v>0</v>
      </c>
      <c r="N25" s="547">
        <v>0</v>
      </c>
      <c r="O25" s="547">
        <v>0</v>
      </c>
    </row>
    <row r="26" spans="1:15">
      <c r="B26" s="544" t="s">
        <v>153</v>
      </c>
      <c r="C26" s="544" t="s">
        <v>185</v>
      </c>
      <c r="D26" s="547" cm="1">
        <f t="array" ref="D26:O26">'25年PDCA'!BE138:BP138</f>
        <v>0</v>
      </c>
      <c r="E26" s="547">
        <v>0</v>
      </c>
      <c r="F26" s="547">
        <v>0</v>
      </c>
      <c r="G26" s="547">
        <v>0</v>
      </c>
      <c r="H26" s="547">
        <v>4.3199999999999994</v>
      </c>
      <c r="I26" s="547">
        <v>12.959999999999997</v>
      </c>
      <c r="J26" s="547">
        <v>11.024639999999998</v>
      </c>
      <c r="K26" s="547">
        <v>3.9906431999999983</v>
      </c>
      <c r="L26" s="547">
        <v>3.2473382399999986</v>
      </c>
      <c r="M26" s="547">
        <v>3.1474151423999985</v>
      </c>
      <c r="N26" s="547">
        <v>0</v>
      </c>
      <c r="O26" s="547">
        <v>0</v>
      </c>
    </row>
    <row r="27" spans="1:15">
      <c r="C27" s="544" t="s">
        <v>142</v>
      </c>
      <c r="D27" s="547" cm="1">
        <f t="array" ref="D27:O27">'25年PDCA'!AM138:AX138</f>
        <v>0</v>
      </c>
      <c r="E27" s="547">
        <v>0</v>
      </c>
      <c r="F27" s="547">
        <v>0</v>
      </c>
      <c r="G27" s="547">
        <v>0</v>
      </c>
      <c r="H27" s="547">
        <v>0</v>
      </c>
      <c r="I27" s="547">
        <v>0</v>
      </c>
      <c r="J27" s="547">
        <v>0</v>
      </c>
      <c r="K27" s="547">
        <v>0</v>
      </c>
      <c r="L27" s="547">
        <v>0</v>
      </c>
      <c r="M27" s="547">
        <v>0</v>
      </c>
      <c r="N27" s="547">
        <v>0</v>
      </c>
      <c r="O27" s="547">
        <v>0</v>
      </c>
    </row>
    <row r="30" spans="1:15">
      <c r="A30" s="544" t="s">
        <v>187</v>
      </c>
      <c r="B30" s="544" t="s">
        <v>184</v>
      </c>
      <c r="C30" s="544" t="s">
        <v>185</v>
      </c>
      <c r="D30" s="546">
        <f>'25年PDCA'!BE142</f>
        <v>1</v>
      </c>
      <c r="E30" s="546">
        <f>'25年PDCA'!BF142</f>
        <v>2</v>
      </c>
      <c r="F30" s="546">
        <f>'25年PDCA'!BG142</f>
        <v>3</v>
      </c>
      <c r="G30" s="546">
        <f>'25年PDCA'!BH142</f>
        <v>4</v>
      </c>
      <c r="H30" s="546">
        <f>'25年PDCA'!BI142</f>
        <v>5</v>
      </c>
      <c r="I30" s="546">
        <f>'25年PDCA'!BJ142</f>
        <v>6</v>
      </c>
      <c r="J30" s="546">
        <f>'25年PDCA'!BK142</f>
        <v>7</v>
      </c>
      <c r="K30" s="546">
        <f>'25年PDCA'!BL142</f>
        <v>8</v>
      </c>
      <c r="L30" s="546">
        <f>'25年PDCA'!BM142</f>
        <v>9</v>
      </c>
      <c r="M30" s="546">
        <f>'25年PDCA'!BN142</f>
        <v>10</v>
      </c>
      <c r="N30" s="546">
        <f>'25年PDCA'!BO142</f>
        <v>11</v>
      </c>
      <c r="O30" s="546">
        <f>'25年PDCA'!BP142</f>
        <v>12</v>
      </c>
    </row>
    <row r="31" spans="1:15">
      <c r="C31" s="544" t="s">
        <v>142</v>
      </c>
      <c r="D31" s="546">
        <f>'25年PDCA'!AM142</f>
        <v>1</v>
      </c>
      <c r="E31" s="546">
        <f>'25年PDCA'!AN142</f>
        <v>2</v>
      </c>
      <c r="F31" s="546">
        <f>'25年PDCA'!AO142</f>
        <v>3</v>
      </c>
      <c r="G31" s="546">
        <f>'25年PDCA'!AP142</f>
        <v>4</v>
      </c>
      <c r="H31" s="546">
        <f>'25年PDCA'!AQ142</f>
        <v>5</v>
      </c>
      <c r="I31" s="546">
        <f>'25年PDCA'!AR142</f>
        <v>6</v>
      </c>
      <c r="J31" s="546">
        <f>'25年PDCA'!AS142</f>
        <v>7</v>
      </c>
      <c r="K31" s="546">
        <f>'25年PDCA'!AT142</f>
        <v>8</v>
      </c>
      <c r="L31" s="546">
        <f>'25年PDCA'!AU142</f>
        <v>9</v>
      </c>
      <c r="M31" s="546">
        <f>'25年PDCA'!AV142</f>
        <v>10</v>
      </c>
      <c r="N31" s="546">
        <f>'25年PDCA'!AW142</f>
        <v>11</v>
      </c>
      <c r="O31" s="546">
        <f>'25年PDCA'!AX142</f>
        <v>12</v>
      </c>
    </row>
    <row r="32" spans="1:15">
      <c r="B32" s="544" t="s">
        <v>40</v>
      </c>
      <c r="C32" s="544" t="s">
        <v>185</v>
      </c>
      <c r="D32" s="546" t="e">
        <f>'25年PDCA'!#REF!</f>
        <v>#REF!</v>
      </c>
      <c r="E32" s="546" t="e">
        <f>'25年PDCA'!#REF!</f>
        <v>#REF!</v>
      </c>
      <c r="F32" s="546" t="e">
        <f>'25年PDCA'!#REF!</f>
        <v>#REF!</v>
      </c>
      <c r="G32" s="546" t="e">
        <f>'25年PDCA'!#REF!</f>
        <v>#REF!</v>
      </c>
      <c r="H32" s="546" t="e">
        <f>'25年PDCA'!#REF!</f>
        <v>#REF!</v>
      </c>
      <c r="I32" s="546" t="e">
        <f>'25年PDCA'!#REF!</f>
        <v>#REF!</v>
      </c>
      <c r="J32" s="546" t="e">
        <f>'25年PDCA'!#REF!</f>
        <v>#REF!</v>
      </c>
      <c r="K32" s="546" t="e">
        <f>'25年PDCA'!#REF!</f>
        <v>#REF!</v>
      </c>
      <c r="L32" s="546" t="e">
        <f>'25年PDCA'!#REF!</f>
        <v>#REF!</v>
      </c>
      <c r="M32" s="546" t="e">
        <f>'25年PDCA'!#REF!</f>
        <v>#REF!</v>
      </c>
      <c r="N32" s="546" t="e">
        <f>'25年PDCA'!#REF!</f>
        <v>#REF!</v>
      </c>
      <c r="O32" s="546" t="e">
        <f>'25年PDCA'!#REF!</f>
        <v>#REF!</v>
      </c>
    </row>
    <row r="33" spans="2:15">
      <c r="C33" s="544" t="s">
        <v>142</v>
      </c>
      <c r="D33" s="546" t="e">
        <f>'25年PDCA'!#REF!</f>
        <v>#REF!</v>
      </c>
      <c r="E33" s="546" t="e">
        <f>'25年PDCA'!#REF!</f>
        <v>#REF!</v>
      </c>
      <c r="F33" s="546" t="e">
        <f>'25年PDCA'!#REF!</f>
        <v>#REF!</v>
      </c>
      <c r="G33" s="546" t="e">
        <f>'25年PDCA'!#REF!</f>
        <v>#REF!</v>
      </c>
      <c r="H33" s="546" t="e">
        <f>'25年PDCA'!#REF!</f>
        <v>#REF!</v>
      </c>
      <c r="I33" s="546" t="e">
        <f>'25年PDCA'!#REF!</f>
        <v>#REF!</v>
      </c>
      <c r="J33" s="546" t="e">
        <f>'25年PDCA'!#REF!</f>
        <v>#REF!</v>
      </c>
      <c r="K33" s="546" t="e">
        <f>'25年PDCA'!#REF!</f>
        <v>#REF!</v>
      </c>
      <c r="L33" s="546" t="e">
        <f>'25年PDCA'!#REF!</f>
        <v>#REF!</v>
      </c>
      <c r="M33" s="546" t="e">
        <f>'25年PDCA'!#REF!</f>
        <v>#REF!</v>
      </c>
      <c r="N33" s="546" t="e">
        <f>'25年PDCA'!#REF!</f>
        <v>#REF!</v>
      </c>
      <c r="O33" s="546" t="e">
        <f>'25年PDCA'!#REF!</f>
        <v>#REF!</v>
      </c>
    </row>
    <row r="34" spans="2:15">
      <c r="B34" s="544" t="s">
        <v>41</v>
      </c>
      <c r="C34" s="544" t="s">
        <v>185</v>
      </c>
      <c r="D34" s="546" t="e">
        <f>'25年PDCA'!#REF!</f>
        <v>#REF!</v>
      </c>
      <c r="E34" s="546" t="e">
        <f>'25年PDCA'!#REF!</f>
        <v>#REF!</v>
      </c>
      <c r="F34" s="546" t="e">
        <f>'25年PDCA'!#REF!</f>
        <v>#REF!</v>
      </c>
      <c r="G34" s="546" t="e">
        <f>'25年PDCA'!#REF!</f>
        <v>#REF!</v>
      </c>
      <c r="H34" s="546" t="e">
        <f>'25年PDCA'!#REF!</f>
        <v>#REF!</v>
      </c>
      <c r="I34" s="546" t="e">
        <f>'25年PDCA'!#REF!</f>
        <v>#REF!</v>
      </c>
      <c r="J34" s="546" t="e">
        <f>'25年PDCA'!#REF!</f>
        <v>#REF!</v>
      </c>
      <c r="K34" s="546" t="e">
        <f>'25年PDCA'!#REF!</f>
        <v>#REF!</v>
      </c>
      <c r="L34" s="546" t="e">
        <f>'25年PDCA'!#REF!</f>
        <v>#REF!</v>
      </c>
      <c r="M34" s="546" t="e">
        <f>'25年PDCA'!#REF!</f>
        <v>#REF!</v>
      </c>
      <c r="N34" s="546" t="e">
        <f>'25年PDCA'!#REF!</f>
        <v>#REF!</v>
      </c>
      <c r="O34" s="546" t="e">
        <f>'25年PDCA'!#REF!</f>
        <v>#REF!</v>
      </c>
    </row>
    <row r="35" spans="2:15">
      <c r="C35" s="544" t="s">
        <v>142</v>
      </c>
      <c r="D35" s="546" t="e">
        <f>'25年PDCA'!#REF!</f>
        <v>#REF!</v>
      </c>
      <c r="E35" s="546" t="e">
        <f>'25年PDCA'!#REF!</f>
        <v>#REF!</v>
      </c>
      <c r="F35" s="546" t="e">
        <f>'25年PDCA'!#REF!</f>
        <v>#REF!</v>
      </c>
      <c r="G35" s="546" t="e">
        <f>'25年PDCA'!#REF!</f>
        <v>#REF!</v>
      </c>
      <c r="H35" s="546" t="e">
        <f>'25年PDCA'!#REF!</f>
        <v>#REF!</v>
      </c>
      <c r="I35" s="546" t="e">
        <f>'25年PDCA'!#REF!</f>
        <v>#REF!</v>
      </c>
      <c r="J35" s="546" t="e">
        <f>'25年PDCA'!#REF!</f>
        <v>#REF!</v>
      </c>
      <c r="K35" s="546" t="e">
        <f>'25年PDCA'!#REF!</f>
        <v>#REF!</v>
      </c>
      <c r="L35" s="546" t="e">
        <f>'25年PDCA'!#REF!</f>
        <v>#REF!</v>
      </c>
      <c r="M35" s="546" t="e">
        <f>'25年PDCA'!#REF!</f>
        <v>#REF!</v>
      </c>
      <c r="N35" s="546" t="e">
        <f>'25年PDCA'!#REF!</f>
        <v>#REF!</v>
      </c>
      <c r="O35" s="546" t="e">
        <f>'25年PDCA'!#REF!</f>
        <v>#REF!</v>
      </c>
    </row>
    <row r="36" spans="2:15">
      <c r="B36" s="544" t="s">
        <v>153</v>
      </c>
      <c r="C36" s="544" t="s">
        <v>185</v>
      </c>
      <c r="D36" s="546">
        <f>'25年PDCA'!BE143</f>
        <v>0</v>
      </c>
      <c r="E36" s="546">
        <f>'25年PDCA'!BF143</f>
        <v>0</v>
      </c>
      <c r="F36" s="546">
        <f>'25年PDCA'!BG143</f>
        <v>0</v>
      </c>
      <c r="G36" s="546">
        <f>'25年PDCA'!BH143</f>
        <v>0</v>
      </c>
      <c r="H36" s="546">
        <f>'25年PDCA'!BI143</f>
        <v>0</v>
      </c>
      <c r="I36" s="546">
        <f>'25年PDCA'!BJ143</f>
        <v>0</v>
      </c>
      <c r="J36" s="546">
        <f>'25年PDCA'!BK143</f>
        <v>0</v>
      </c>
      <c r="K36" s="546">
        <f>'25年PDCA'!BL143</f>
        <v>0</v>
      </c>
      <c r="L36" s="546">
        <f>'25年PDCA'!BM143</f>
        <v>0</v>
      </c>
      <c r="M36" s="546">
        <f>'25年PDCA'!BN143</f>
        <v>0</v>
      </c>
      <c r="N36" s="546">
        <f>'25年PDCA'!BO143</f>
        <v>0</v>
      </c>
      <c r="O36" s="546">
        <f>'25年PDCA'!BP143</f>
        <v>0</v>
      </c>
    </row>
    <row r="37" spans="2:15">
      <c r="C37" s="544" t="s">
        <v>142</v>
      </c>
      <c r="D37" s="546">
        <f>'25年PDCA'!AM143</f>
        <v>0</v>
      </c>
      <c r="E37" s="546">
        <f>'25年PDCA'!AN143</f>
        <v>0</v>
      </c>
      <c r="F37" s="546">
        <f>'25年PDCA'!AO143</f>
        <v>0</v>
      </c>
      <c r="G37" s="546">
        <f>'25年PDCA'!AP143</f>
        <v>0</v>
      </c>
      <c r="H37" s="546">
        <f>'25年PDCA'!AQ143</f>
        <v>0</v>
      </c>
      <c r="I37" s="546">
        <f>'25年PDCA'!AR143</f>
        <v>0</v>
      </c>
      <c r="J37" s="546">
        <f>'25年PDCA'!AS143</f>
        <v>0</v>
      </c>
      <c r="K37" s="546">
        <f>'25年PDCA'!AT143</f>
        <v>0</v>
      </c>
      <c r="L37" s="546">
        <f>'25年PDCA'!AU143</f>
        <v>0</v>
      </c>
      <c r="M37" s="546">
        <f>'25年PDCA'!AV143</f>
        <v>0</v>
      </c>
      <c r="N37" s="546">
        <f>'25年PDCA'!AW143</f>
        <v>0</v>
      </c>
      <c r="O37" s="546">
        <f>'25年PDCA'!AX143</f>
        <v>0</v>
      </c>
    </row>
    <row r="38" spans="2:15"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</row>
    <row r="39" spans="2:15">
      <c r="B39" s="544" t="s">
        <v>159</v>
      </c>
      <c r="C39" s="544" t="s">
        <v>185</v>
      </c>
      <c r="D39" s="547">
        <f>'25年PDCA'!BE32</f>
        <v>0</v>
      </c>
      <c r="E39" s="547">
        <f>'25年PDCA'!BF32</f>
        <v>0</v>
      </c>
      <c r="F39" s="547">
        <f>'25年PDCA'!BG32</f>
        <v>28.425999999999998</v>
      </c>
      <c r="G39" s="547">
        <f>'25年PDCA'!BH32</f>
        <v>4096.1350000000002</v>
      </c>
      <c r="H39" s="547">
        <f>'25年PDCA'!BI32</f>
        <v>5309.533636363637</v>
      </c>
      <c r="I39" s="547">
        <f>'25年PDCA'!BJ32</f>
        <v>9611.9060000000009</v>
      </c>
      <c r="J39" s="547">
        <f>'25年PDCA'!BK32</f>
        <v>1598.3</v>
      </c>
      <c r="K39" s="547">
        <f>'25年PDCA'!BL32</f>
        <v>2495.0169999999998</v>
      </c>
      <c r="L39" s="547">
        <f>'25年PDCA'!BM32</f>
        <v>1647.184</v>
      </c>
      <c r="M39" s="547">
        <f>'25年PDCA'!BN32</f>
        <v>189.56299999999999</v>
      </c>
      <c r="N39" s="547">
        <f>'25年PDCA'!BO32</f>
        <v>188.20099999999999</v>
      </c>
      <c r="O39" s="547">
        <f>'25年PDCA'!BP32</f>
        <v>186.68899999999999</v>
      </c>
    </row>
    <row r="40" spans="2:15">
      <c r="C40" s="544" t="s">
        <v>142</v>
      </c>
      <c r="D40" s="547">
        <f>'25年PDCA'!AM32</f>
        <v>0</v>
      </c>
      <c r="E40" s="547">
        <f>'25年PDCA'!AN32</f>
        <v>0</v>
      </c>
      <c r="F40" s="547">
        <f>'25年PDCA'!AO32</f>
        <v>0</v>
      </c>
      <c r="G40" s="547">
        <f>'25年PDCA'!AP32</f>
        <v>5004</v>
      </c>
      <c r="H40" s="547">
        <f>'25年PDCA'!AQ32</f>
        <v>0</v>
      </c>
      <c r="I40" s="547">
        <f>'25年PDCA'!AR32</f>
        <v>11200</v>
      </c>
      <c r="J40" s="547">
        <f>'25年PDCA'!AS32</f>
        <v>0</v>
      </c>
      <c r="K40" s="547">
        <f>'25年PDCA'!AT32</f>
        <v>0</v>
      </c>
      <c r="L40" s="547">
        <f>'25年PDCA'!AU32</f>
        <v>0</v>
      </c>
      <c r="M40" s="547">
        <f>'25年PDCA'!AV32</f>
        <v>0</v>
      </c>
      <c r="N40" s="547">
        <f>'25年PDCA'!AW32</f>
        <v>0</v>
      </c>
      <c r="O40" s="547">
        <f>'25年PDCA'!AX32</f>
        <v>0</v>
      </c>
    </row>
    <row r="41" spans="2:15">
      <c r="B41" s="544" t="s">
        <v>160</v>
      </c>
      <c r="C41" s="544" t="s">
        <v>185</v>
      </c>
      <c r="D41" s="547">
        <f>'25年PDCA'!BE33</f>
        <v>3900.0635454545454</v>
      </c>
      <c r="E41" s="547">
        <f>'25年PDCA'!BF33</f>
        <v>1929.8710000000001</v>
      </c>
      <c r="F41" s="547">
        <f>'25年PDCA'!BG33</f>
        <v>2686.5590909090906</v>
      </c>
      <c r="G41" s="547">
        <f>'25年PDCA'!BH33</f>
        <v>2581.7972727272727</v>
      </c>
      <c r="H41" s="547">
        <f>'25年PDCA'!BI33</f>
        <v>10698.764545454545</v>
      </c>
      <c r="I41" s="547">
        <f>'25年PDCA'!BJ33</f>
        <v>5601.7809090909086</v>
      </c>
      <c r="J41" s="547">
        <f>'25年PDCA'!BK33</f>
        <v>9568.4190909090903</v>
      </c>
      <c r="K41" s="547">
        <f>'25年PDCA'!BL33</f>
        <v>7611.4327272727296</v>
      </c>
      <c r="L41" s="547">
        <f>'25年PDCA'!BM33</f>
        <v>5022.8236363636397</v>
      </c>
      <c r="M41" s="547">
        <f>'25年PDCA'!BN33</f>
        <v>2611.8799999999997</v>
      </c>
      <c r="N41" s="547">
        <f>'25年PDCA'!BO33</f>
        <v>3777.4863636363625</v>
      </c>
      <c r="O41" s="547">
        <f>'25年PDCA'!BP33</f>
        <v>9966.4</v>
      </c>
    </row>
    <row r="42" spans="2:15">
      <c r="C42" s="544" t="s">
        <v>142</v>
      </c>
      <c r="D42" s="547">
        <f>'25年PDCA'!AM33</f>
        <v>3895.0635454545454</v>
      </c>
      <c r="E42" s="547">
        <f>'25年PDCA'!AN33</f>
        <v>1893.9273636363635</v>
      </c>
      <c r="F42" s="547">
        <f>'25年PDCA'!AO33</f>
        <v>3463.8222727272719</v>
      </c>
      <c r="G42" s="547">
        <f>'25年PDCA'!AP33</f>
        <v>2307.9294545454541</v>
      </c>
      <c r="H42" s="547">
        <f>'25年PDCA'!AQ33</f>
        <v>5646.6850909090899</v>
      </c>
      <c r="I42" s="547">
        <f>'25年PDCA'!AR33</f>
        <v>7699.2294545454552</v>
      </c>
      <c r="J42" s="547">
        <f>'25年PDCA'!AS33</f>
        <v>9000.9172727272726</v>
      </c>
      <c r="K42" s="547">
        <f>'25年PDCA'!AT33</f>
        <v>0</v>
      </c>
      <c r="L42" s="547">
        <f>'25年PDCA'!AU33</f>
        <v>0</v>
      </c>
      <c r="M42" s="547">
        <f>'25年PDCA'!AV33</f>
        <v>0</v>
      </c>
      <c r="N42" s="547">
        <f>'25年PDCA'!AW33</f>
        <v>0</v>
      </c>
      <c r="O42" s="547">
        <f>'25年PDCA'!AX33</f>
        <v>0</v>
      </c>
    </row>
    <row r="43" spans="2:15"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46"/>
    </row>
    <row r="44" spans="2:15"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46"/>
    </row>
    <row r="45" spans="2:15"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</row>
    <row r="46" spans="2:15">
      <c r="D46" s="546"/>
      <c r="E46" s="546"/>
      <c r="F46" s="546"/>
      <c r="G46" s="546"/>
      <c r="H46" s="546"/>
      <c r="I46" s="546"/>
      <c r="J46" s="546"/>
      <c r="K46" s="546"/>
      <c r="L46" s="546"/>
      <c r="M46" s="546"/>
      <c r="N46" s="546"/>
      <c r="O46" s="546"/>
    </row>
    <row r="47" spans="2:15"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46"/>
    </row>
    <row r="48" spans="2:15"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46"/>
    </row>
    <row r="49" spans="2:16">
      <c r="B49" s="603" t="s">
        <v>184</v>
      </c>
      <c r="C49" s="603"/>
      <c r="D49" s="604"/>
      <c r="E49" s="546"/>
      <c r="F49" s="603" t="s">
        <v>40</v>
      </c>
      <c r="G49" s="603"/>
      <c r="H49" s="604"/>
      <c r="I49" s="546"/>
      <c r="J49" s="603" t="s">
        <v>41</v>
      </c>
      <c r="K49" s="603"/>
      <c r="L49" s="604"/>
      <c r="M49" s="546"/>
      <c r="N49" s="603" t="s">
        <v>153</v>
      </c>
      <c r="O49" s="603"/>
      <c r="P49" s="604"/>
    </row>
  </sheetData>
  <phoneticPr fontId="4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58E5-8D38-478B-96EB-875B09F521E6}">
  <sheetPr>
    <tabColor rgb="FFFF5050"/>
  </sheetPr>
  <dimension ref="A1:AQ186"/>
  <sheetViews>
    <sheetView topLeftCell="A19" workbookViewId="0">
      <selection activeCell="AF66" sqref="AF66"/>
    </sheetView>
  </sheetViews>
  <sheetFormatPr defaultColWidth="6.28515625" defaultRowHeight="12"/>
  <cols>
    <col min="1" max="1" width="13.5703125" style="544" customWidth="1"/>
    <col min="2" max="2" width="21.42578125" style="544" customWidth="1"/>
    <col min="3" max="33" width="6.28515625" style="544"/>
    <col min="34" max="34" width="7.85546875" style="544" customWidth="1"/>
    <col min="35" max="16384" width="6.28515625" style="544"/>
  </cols>
  <sheetData>
    <row r="1" spans="1:38">
      <c r="C1" s="544" t="s">
        <v>188</v>
      </c>
      <c r="E1" s="544" t="s">
        <v>189</v>
      </c>
      <c r="F1" s="544" t="s">
        <v>190</v>
      </c>
      <c r="H1" s="544" t="s">
        <v>189</v>
      </c>
      <c r="I1" s="544" t="s">
        <v>191</v>
      </c>
      <c r="K1" s="544" t="s">
        <v>189</v>
      </c>
      <c r="L1" s="544" t="s">
        <v>192</v>
      </c>
      <c r="N1" s="544" t="s">
        <v>189</v>
      </c>
      <c r="O1" s="544" t="s">
        <v>193</v>
      </c>
      <c r="Q1" s="544" t="s">
        <v>189</v>
      </c>
      <c r="R1" s="544" t="s">
        <v>194</v>
      </c>
      <c r="T1" s="544" t="s">
        <v>189</v>
      </c>
      <c r="U1" s="544" t="s">
        <v>195</v>
      </c>
      <c r="W1" s="544" t="s">
        <v>189</v>
      </c>
      <c r="X1" s="544" t="s">
        <v>196</v>
      </c>
      <c r="Z1" s="544" t="s">
        <v>189</v>
      </c>
      <c r="AA1" s="544" t="s">
        <v>197</v>
      </c>
      <c r="AC1" s="544" t="s">
        <v>189</v>
      </c>
      <c r="AD1" s="544" t="s">
        <v>198</v>
      </c>
      <c r="AF1" s="544" t="s">
        <v>189</v>
      </c>
      <c r="AG1" s="544" t="s">
        <v>199</v>
      </c>
      <c r="AI1" s="544" t="s">
        <v>189</v>
      </c>
      <c r="AJ1" s="544" t="s">
        <v>200</v>
      </c>
      <c r="AL1" s="544" t="s">
        <v>189</v>
      </c>
    </row>
    <row r="2" spans="1:38">
      <c r="C2" s="544" t="s">
        <v>142</v>
      </c>
      <c r="D2" s="544" t="s">
        <v>185</v>
      </c>
      <c r="F2" s="544" t="s">
        <v>142</v>
      </c>
      <c r="G2" s="544" t="s">
        <v>185</v>
      </c>
      <c r="I2" s="544" t="s">
        <v>142</v>
      </c>
      <c r="J2" s="544" t="s">
        <v>185</v>
      </c>
      <c r="L2" s="544" t="s">
        <v>142</v>
      </c>
      <c r="M2" s="544" t="s">
        <v>185</v>
      </c>
      <c r="O2" s="544" t="s">
        <v>142</v>
      </c>
      <c r="P2" s="544" t="s">
        <v>185</v>
      </c>
      <c r="R2" s="544" t="s">
        <v>142</v>
      </c>
      <c r="S2" s="544" t="s">
        <v>185</v>
      </c>
      <c r="U2" s="544" t="s">
        <v>142</v>
      </c>
      <c r="V2" s="544" t="s">
        <v>185</v>
      </c>
      <c r="X2" s="544" t="s">
        <v>142</v>
      </c>
      <c r="Y2" s="544" t="s">
        <v>185</v>
      </c>
      <c r="AA2" s="544" t="s">
        <v>142</v>
      </c>
      <c r="AB2" s="544" t="s">
        <v>185</v>
      </c>
      <c r="AD2" s="544" t="s">
        <v>142</v>
      </c>
      <c r="AE2" s="544" t="s">
        <v>185</v>
      </c>
      <c r="AG2" s="544" t="s">
        <v>142</v>
      </c>
      <c r="AH2" s="544" t="s">
        <v>185</v>
      </c>
      <c r="AJ2" s="544" t="s">
        <v>142</v>
      </c>
      <c r="AK2" s="544" t="s">
        <v>185</v>
      </c>
    </row>
    <row r="3" spans="1:38">
      <c r="A3" s="544" t="s">
        <v>201</v>
      </c>
      <c r="B3" s="544" t="s">
        <v>202</v>
      </c>
      <c r="C3" s="593">
        <v>0</v>
      </c>
      <c r="D3" s="545">
        <f>'25年PDCA'!BE161</f>
        <v>0</v>
      </c>
      <c r="E3" s="545"/>
      <c r="F3" s="593">
        <v>0</v>
      </c>
      <c r="G3" s="545">
        <f>'25年PDCA'!BF161</f>
        <v>0</v>
      </c>
      <c r="H3" s="545"/>
      <c r="I3" s="593">
        <v>3</v>
      </c>
      <c r="J3" s="545">
        <f>'25年PDCA'!BG161</f>
        <v>27.777777777777782</v>
      </c>
      <c r="K3" s="545"/>
      <c r="L3" s="593">
        <v>2</v>
      </c>
      <c r="M3" s="545">
        <f>'25年PDCA'!BH161</f>
        <v>72.222222222222243</v>
      </c>
      <c r="N3" s="545"/>
      <c r="O3" s="593">
        <v>6</v>
      </c>
      <c r="P3" s="545">
        <f>'25年PDCA'!BI161</f>
        <v>80</v>
      </c>
      <c r="Q3" s="545"/>
      <c r="R3" s="593">
        <v>2</v>
      </c>
      <c r="S3" s="545">
        <f>'25年PDCA'!BJ161</f>
        <v>98</v>
      </c>
      <c r="T3" s="545"/>
      <c r="U3" s="545">
        <f>'25年PDCA'!AS161</f>
        <v>1</v>
      </c>
      <c r="V3" s="545">
        <f>'25年PDCA'!BK161</f>
        <v>19</v>
      </c>
      <c r="W3" s="545"/>
      <c r="X3" s="545">
        <f>'25年PDCA'!AT161</f>
        <v>0</v>
      </c>
      <c r="Y3" s="545">
        <f>'25年PDCA'!BL161</f>
        <v>21</v>
      </c>
      <c r="Z3" s="545"/>
      <c r="AA3" s="545">
        <f>'25年PDCA'!AU161</f>
        <v>0</v>
      </c>
      <c r="AB3" s="545">
        <f>'25年PDCA'!BM161</f>
        <v>16</v>
      </c>
      <c r="AC3" s="545"/>
      <c r="AD3" s="545">
        <f>'25年PDCA'!AV161</f>
        <v>0</v>
      </c>
      <c r="AE3" s="545">
        <f>'25年PDCA'!BN161</f>
        <v>16</v>
      </c>
      <c r="AF3" s="545"/>
      <c r="AG3" s="545">
        <f>'25年PDCA'!AW161</f>
        <v>0</v>
      </c>
      <c r="AH3" s="545">
        <f>'25年PDCA'!BO161</f>
        <v>0</v>
      </c>
      <c r="AI3" s="545"/>
      <c r="AJ3" s="545">
        <f>'25年PDCA'!AX161</f>
        <v>0</v>
      </c>
      <c r="AK3" s="545">
        <f>'25年PDCA'!BP161</f>
        <v>0</v>
      </c>
    </row>
    <row r="4" spans="1:38">
      <c r="A4" s="544" t="s">
        <v>201</v>
      </c>
      <c r="B4" s="544" t="s">
        <v>203</v>
      </c>
      <c r="C4" s="545">
        <v>2</v>
      </c>
      <c r="D4" s="545">
        <f>'25年PDCA'!BE162</f>
        <v>0</v>
      </c>
      <c r="E4" s="545"/>
      <c r="F4" s="545">
        <v>2</v>
      </c>
      <c r="G4" s="545">
        <f>'25年PDCA'!BF162</f>
        <v>0</v>
      </c>
      <c r="H4" s="545"/>
      <c r="I4" s="545">
        <v>1</v>
      </c>
      <c r="J4" s="545">
        <f>'25年PDCA'!BG162</f>
        <v>0</v>
      </c>
      <c r="K4" s="545"/>
      <c r="L4" s="545">
        <v>0</v>
      </c>
      <c r="M4" s="545">
        <f>'25年PDCA'!BH162</f>
        <v>0</v>
      </c>
      <c r="N4" s="545"/>
      <c r="O4" s="545">
        <v>0</v>
      </c>
      <c r="P4" s="545">
        <f>'25年PDCA'!BI162</f>
        <v>20</v>
      </c>
      <c r="Q4" s="545"/>
      <c r="R4" s="545">
        <v>0</v>
      </c>
      <c r="S4" s="545">
        <f>'25年PDCA'!BJ162</f>
        <v>28</v>
      </c>
      <c r="T4" s="545"/>
      <c r="U4" s="545">
        <f>'25年PDCA'!AS162</f>
        <v>0</v>
      </c>
      <c r="V4" s="545">
        <f>'25年PDCA'!BK162</f>
        <v>36</v>
      </c>
      <c r="W4" s="545"/>
      <c r="X4" s="545">
        <f>'25年PDCA'!AT162</f>
        <v>0</v>
      </c>
      <c r="Y4" s="545">
        <f>'25年PDCA'!BL162</f>
        <v>44</v>
      </c>
      <c r="Z4" s="545"/>
      <c r="AA4" s="545">
        <f>'25年PDCA'!AU162</f>
        <v>0</v>
      </c>
      <c r="AB4" s="545">
        <f>'25年PDCA'!BM162</f>
        <v>33</v>
      </c>
      <c r="AC4" s="545"/>
      <c r="AD4" s="545">
        <f>'25年PDCA'!AV162</f>
        <v>0</v>
      </c>
      <c r="AE4" s="545">
        <f>'25年PDCA'!BN162</f>
        <v>33</v>
      </c>
      <c r="AF4" s="545"/>
      <c r="AG4" s="545">
        <f>'25年PDCA'!AW162</f>
        <v>0</v>
      </c>
      <c r="AH4" s="545">
        <f>'25年PDCA'!BO162</f>
        <v>0</v>
      </c>
      <c r="AI4" s="545"/>
      <c r="AJ4" s="545">
        <f>'25年PDCA'!AX162</f>
        <v>0</v>
      </c>
      <c r="AK4" s="545">
        <f>'25年PDCA'!BP162</f>
        <v>0</v>
      </c>
    </row>
    <row r="5" spans="1:38">
      <c r="A5" s="544" t="s">
        <v>201</v>
      </c>
      <c r="B5" s="544" t="s">
        <v>204</v>
      </c>
      <c r="C5" s="545">
        <v>0</v>
      </c>
      <c r="D5" s="545">
        <f>'25年PDCA'!BE163</f>
        <v>0</v>
      </c>
      <c r="E5" s="545"/>
      <c r="F5" s="545">
        <v>0</v>
      </c>
      <c r="G5" s="545">
        <f>'25年PDCA'!BF163</f>
        <v>0</v>
      </c>
      <c r="H5" s="545"/>
      <c r="I5" s="545">
        <v>0</v>
      </c>
      <c r="J5" s="545">
        <f>'25年PDCA'!BG163</f>
        <v>0</v>
      </c>
      <c r="K5" s="545"/>
      <c r="L5" s="545">
        <v>0</v>
      </c>
      <c r="M5" s="545">
        <f>'25年PDCA'!BH163</f>
        <v>0</v>
      </c>
      <c r="N5" s="545"/>
      <c r="O5" s="545">
        <v>1</v>
      </c>
      <c r="P5" s="545">
        <f>'25年PDCA'!BI163</f>
        <v>2</v>
      </c>
      <c r="Q5" s="545"/>
      <c r="R5" s="545">
        <v>1</v>
      </c>
      <c r="S5" s="545">
        <f>'25年PDCA'!BJ163</f>
        <v>14</v>
      </c>
      <c r="T5" s="545"/>
      <c r="U5" s="545">
        <f>'25年PDCA'!AS163</f>
        <v>0</v>
      </c>
      <c r="V5" s="545">
        <f>'25年PDCA'!BK163</f>
        <v>127</v>
      </c>
      <c r="W5" s="545"/>
      <c r="X5" s="545">
        <f>'25年PDCA'!AT163</f>
        <v>0</v>
      </c>
      <c r="Y5" s="545">
        <f>'25年PDCA'!BL163</f>
        <v>153</v>
      </c>
      <c r="Z5" s="545"/>
      <c r="AA5" s="545">
        <f>'25年PDCA'!AU163</f>
        <v>0</v>
      </c>
      <c r="AB5" s="545">
        <f>'25年PDCA'!BM163</f>
        <v>115</v>
      </c>
      <c r="AC5" s="545"/>
      <c r="AD5" s="545">
        <f>'25年PDCA'!AV163</f>
        <v>0</v>
      </c>
      <c r="AE5" s="545">
        <f>'25年PDCA'!BN163</f>
        <v>115</v>
      </c>
      <c r="AF5" s="545"/>
      <c r="AG5" s="545">
        <f>'25年PDCA'!AW163</f>
        <v>0</v>
      </c>
      <c r="AH5" s="545">
        <f>'25年PDCA'!BO163</f>
        <v>0</v>
      </c>
      <c r="AI5" s="545"/>
      <c r="AJ5" s="545">
        <f>'25年PDCA'!AX163</f>
        <v>0</v>
      </c>
      <c r="AK5" s="545">
        <f>'25年PDCA'!BP163</f>
        <v>0</v>
      </c>
    </row>
    <row r="6" spans="1:38">
      <c r="A6" s="544" t="s">
        <v>205</v>
      </c>
      <c r="B6" s="544" t="s">
        <v>206</v>
      </c>
      <c r="C6" s="545">
        <v>0</v>
      </c>
      <c r="D6" s="545">
        <f>'25年PDCA'!BE164</f>
        <v>0</v>
      </c>
      <c r="E6" s="545"/>
      <c r="F6" s="545">
        <v>0</v>
      </c>
      <c r="G6" s="545">
        <f>'25年PDCA'!BF164</f>
        <v>0</v>
      </c>
      <c r="H6" s="545"/>
      <c r="I6" s="545">
        <v>3</v>
      </c>
      <c r="J6" s="545">
        <f>'25年PDCA'!BG164</f>
        <v>0</v>
      </c>
      <c r="K6" s="545"/>
      <c r="L6" s="545">
        <v>3</v>
      </c>
      <c r="M6" s="545">
        <f>'25年PDCA'!BH164</f>
        <v>0</v>
      </c>
      <c r="N6" s="545"/>
      <c r="O6" s="545">
        <v>3</v>
      </c>
      <c r="P6" s="545">
        <f>'25年PDCA'!BI164</f>
        <v>0</v>
      </c>
      <c r="Q6" s="545"/>
      <c r="R6" s="545">
        <v>3</v>
      </c>
      <c r="S6" s="545">
        <f>'25年PDCA'!BJ164</f>
        <v>0</v>
      </c>
      <c r="T6" s="545"/>
      <c r="U6" s="545">
        <f>'25年PDCA'!AS164</f>
        <v>3</v>
      </c>
      <c r="V6" s="545">
        <f>'25年PDCA'!BK164</f>
        <v>0</v>
      </c>
      <c r="W6" s="545"/>
      <c r="X6" s="545">
        <f>'25年PDCA'!AT164</f>
        <v>0</v>
      </c>
      <c r="Y6" s="545">
        <f>'25年PDCA'!BL164</f>
        <v>0</v>
      </c>
      <c r="Z6" s="545"/>
      <c r="AA6" s="545">
        <f>'25年PDCA'!AU164</f>
        <v>0</v>
      </c>
      <c r="AB6" s="545">
        <f>'25年PDCA'!BM164</f>
        <v>0</v>
      </c>
      <c r="AC6" s="545"/>
      <c r="AD6" s="545">
        <f>'25年PDCA'!AV164</f>
        <v>0</v>
      </c>
      <c r="AE6" s="545">
        <f>'25年PDCA'!BN164</f>
        <v>0</v>
      </c>
      <c r="AF6" s="545"/>
      <c r="AG6" s="545">
        <f>'25年PDCA'!AW164</f>
        <v>0</v>
      </c>
      <c r="AH6" s="545">
        <f>'25年PDCA'!BO164</f>
        <v>0</v>
      </c>
      <c r="AI6" s="545"/>
      <c r="AJ6" s="545">
        <f>'25年PDCA'!AX164</f>
        <v>0</v>
      </c>
      <c r="AK6" s="545">
        <f>'25年PDCA'!BP164</f>
        <v>0</v>
      </c>
    </row>
    <row r="7" spans="1:38">
      <c r="A7" s="544" t="s">
        <v>205</v>
      </c>
      <c r="B7" s="544" t="s">
        <v>203</v>
      </c>
      <c r="C7" s="545">
        <v>1</v>
      </c>
      <c r="D7" s="545">
        <f>'25年PDCA'!BE165</f>
        <v>0</v>
      </c>
      <c r="E7" s="545"/>
      <c r="F7" s="545">
        <v>1</v>
      </c>
      <c r="G7" s="545">
        <f>'25年PDCA'!BF165</f>
        <v>0</v>
      </c>
      <c r="H7" s="545"/>
      <c r="I7" s="545">
        <v>0</v>
      </c>
      <c r="J7" s="545">
        <f>'25年PDCA'!BG165</f>
        <v>0</v>
      </c>
      <c r="K7" s="545"/>
      <c r="L7" s="545">
        <v>0</v>
      </c>
      <c r="M7" s="545">
        <f>'25年PDCA'!BH165</f>
        <v>0</v>
      </c>
      <c r="N7" s="545"/>
      <c r="O7" s="545">
        <v>0</v>
      </c>
      <c r="P7" s="545">
        <f>'25年PDCA'!BI165</f>
        <v>0</v>
      </c>
      <c r="Q7" s="545"/>
      <c r="R7" s="545">
        <v>0</v>
      </c>
      <c r="S7" s="545">
        <f>'25年PDCA'!BJ165</f>
        <v>0</v>
      </c>
      <c r="T7" s="545"/>
      <c r="U7" s="545">
        <f>'25年PDCA'!AS165</f>
        <v>0</v>
      </c>
      <c r="V7" s="545">
        <f>'25年PDCA'!BK165</f>
        <v>0</v>
      </c>
      <c r="W7" s="545"/>
      <c r="X7" s="545">
        <f>'25年PDCA'!AT165</f>
        <v>0</v>
      </c>
      <c r="Y7" s="545">
        <f>'25年PDCA'!BL165</f>
        <v>0</v>
      </c>
      <c r="Z7" s="545"/>
      <c r="AA7" s="545">
        <f>'25年PDCA'!AU165</f>
        <v>0</v>
      </c>
      <c r="AB7" s="545">
        <f>'25年PDCA'!BM165</f>
        <v>0</v>
      </c>
      <c r="AC7" s="545"/>
      <c r="AD7" s="545">
        <f>'25年PDCA'!AV165</f>
        <v>0</v>
      </c>
      <c r="AE7" s="545">
        <f>'25年PDCA'!BN165</f>
        <v>0</v>
      </c>
      <c r="AF7" s="545"/>
      <c r="AG7" s="545">
        <f>'25年PDCA'!AW165</f>
        <v>0</v>
      </c>
      <c r="AH7" s="545">
        <f>'25年PDCA'!BO165</f>
        <v>0</v>
      </c>
      <c r="AI7" s="545"/>
      <c r="AJ7" s="545">
        <f>'25年PDCA'!AX165</f>
        <v>0</v>
      </c>
      <c r="AK7" s="545">
        <f>'25年PDCA'!BP165</f>
        <v>0</v>
      </c>
    </row>
    <row r="8" spans="1:38">
      <c r="A8" s="544" t="s">
        <v>205</v>
      </c>
      <c r="B8" s="544" t="s">
        <v>207</v>
      </c>
      <c r="C8" s="545">
        <v>0</v>
      </c>
      <c r="D8" s="545">
        <f>'25年PDCA'!BE166</f>
        <v>0</v>
      </c>
      <c r="E8" s="545"/>
      <c r="F8" s="545">
        <v>0</v>
      </c>
      <c r="G8" s="545">
        <f>'25年PDCA'!BF166</f>
        <v>0</v>
      </c>
      <c r="H8" s="545"/>
      <c r="I8" s="545">
        <v>0</v>
      </c>
      <c r="J8" s="545">
        <f>'25年PDCA'!BG166</f>
        <v>0</v>
      </c>
      <c r="K8" s="545"/>
      <c r="L8" s="545">
        <v>0</v>
      </c>
      <c r="M8" s="545">
        <f>'25年PDCA'!BH166</f>
        <v>0</v>
      </c>
      <c r="N8" s="545"/>
      <c r="O8" s="545">
        <v>1</v>
      </c>
      <c r="P8" s="545">
        <f>'25年PDCA'!BI166</f>
        <v>0</v>
      </c>
      <c r="Q8" s="545"/>
      <c r="R8" s="545">
        <v>0</v>
      </c>
      <c r="S8" s="545">
        <f>'25年PDCA'!BJ166</f>
        <v>0</v>
      </c>
      <c r="T8" s="545"/>
      <c r="U8" s="545">
        <f>'25年PDCA'!AS166</f>
        <v>1</v>
      </c>
      <c r="V8" s="545">
        <f>'25年PDCA'!BK166</f>
        <v>0</v>
      </c>
      <c r="W8" s="545"/>
      <c r="X8" s="545">
        <f>'25年PDCA'!AT166</f>
        <v>0</v>
      </c>
      <c r="Y8" s="545">
        <f>'25年PDCA'!BL166</f>
        <v>0</v>
      </c>
      <c r="Z8" s="545"/>
      <c r="AA8" s="545">
        <f>'25年PDCA'!AU166</f>
        <v>0</v>
      </c>
      <c r="AB8" s="545">
        <f>'25年PDCA'!BM166</f>
        <v>0</v>
      </c>
      <c r="AC8" s="545"/>
      <c r="AD8" s="545">
        <f>'25年PDCA'!AV166</f>
        <v>0</v>
      </c>
      <c r="AE8" s="545">
        <f>'25年PDCA'!BN166</f>
        <v>0</v>
      </c>
      <c r="AF8" s="545"/>
      <c r="AG8" s="545">
        <f>'25年PDCA'!AW166</f>
        <v>0</v>
      </c>
      <c r="AH8" s="545">
        <f>'25年PDCA'!BO166</f>
        <v>0</v>
      </c>
      <c r="AI8" s="545"/>
      <c r="AJ8" s="545">
        <f>'25年PDCA'!AX166</f>
        <v>0</v>
      </c>
      <c r="AK8" s="545">
        <f>'25年PDCA'!BP166</f>
        <v>0</v>
      </c>
    </row>
    <row r="9" spans="1:38">
      <c r="A9" s="544" t="s">
        <v>208</v>
      </c>
      <c r="B9" s="544" t="s">
        <v>206</v>
      </c>
      <c r="C9" s="545">
        <v>0</v>
      </c>
      <c r="D9" s="545">
        <f>'25年PDCA'!BE167</f>
        <v>0</v>
      </c>
      <c r="E9" s="545"/>
      <c r="F9" s="545">
        <v>0</v>
      </c>
      <c r="G9" s="545">
        <f>'25年PDCA'!BF167</f>
        <v>0</v>
      </c>
      <c r="H9" s="545"/>
      <c r="I9" s="545">
        <v>0</v>
      </c>
      <c r="J9" s="545">
        <f>'25年PDCA'!BG167</f>
        <v>0</v>
      </c>
      <c r="K9" s="545"/>
      <c r="L9" s="545">
        <v>1</v>
      </c>
      <c r="M9" s="545">
        <f>'25年PDCA'!BH167</f>
        <v>0</v>
      </c>
      <c r="N9" s="545"/>
      <c r="O9" s="545">
        <v>0</v>
      </c>
      <c r="P9" s="545">
        <f>'25年PDCA'!BI167</f>
        <v>0</v>
      </c>
      <c r="Q9" s="545"/>
      <c r="R9" s="545">
        <v>0</v>
      </c>
      <c r="S9" s="545">
        <f>'25年PDCA'!BJ167</f>
        <v>0</v>
      </c>
      <c r="T9" s="545"/>
      <c r="U9" s="545">
        <f>'25年PDCA'!AS167</f>
        <v>0</v>
      </c>
      <c r="V9" s="545">
        <f>'25年PDCA'!BK167</f>
        <v>0</v>
      </c>
      <c r="W9" s="545"/>
      <c r="X9" s="545">
        <f>'25年PDCA'!AT167</f>
        <v>0</v>
      </c>
      <c r="Y9" s="545">
        <f>'25年PDCA'!BL167</f>
        <v>0</v>
      </c>
      <c r="Z9" s="545"/>
      <c r="AA9" s="545">
        <f>'25年PDCA'!AU167</f>
        <v>0</v>
      </c>
      <c r="AB9" s="545">
        <f>'25年PDCA'!BM167</f>
        <v>0</v>
      </c>
      <c r="AC9" s="545"/>
      <c r="AD9" s="545">
        <f>'25年PDCA'!AV167</f>
        <v>0</v>
      </c>
      <c r="AE9" s="545">
        <f>'25年PDCA'!BN167</f>
        <v>0</v>
      </c>
      <c r="AF9" s="545"/>
      <c r="AG9" s="545">
        <f>'25年PDCA'!AW167</f>
        <v>0</v>
      </c>
      <c r="AH9" s="545">
        <f>'25年PDCA'!BO167</f>
        <v>0</v>
      </c>
      <c r="AI9" s="545"/>
      <c r="AJ9" s="545">
        <f>'25年PDCA'!AX167</f>
        <v>0</v>
      </c>
      <c r="AK9" s="545">
        <f>'25年PDCA'!BP167</f>
        <v>0</v>
      </c>
    </row>
    <row r="10" spans="1:38">
      <c r="A10" s="544" t="s">
        <v>208</v>
      </c>
      <c r="B10" s="544" t="s">
        <v>203</v>
      </c>
      <c r="C10" s="545">
        <v>0</v>
      </c>
      <c r="D10" s="545">
        <f>'25年PDCA'!BE168</f>
        <v>0</v>
      </c>
      <c r="E10" s="545"/>
      <c r="F10" s="545">
        <v>0</v>
      </c>
      <c r="G10" s="545">
        <f>'25年PDCA'!BF168</f>
        <v>0</v>
      </c>
      <c r="H10" s="545"/>
      <c r="I10" s="545">
        <v>1</v>
      </c>
      <c r="J10" s="545">
        <f>'25年PDCA'!BG168</f>
        <v>0</v>
      </c>
      <c r="K10" s="545"/>
      <c r="L10" s="545">
        <v>1</v>
      </c>
      <c r="M10" s="545">
        <f>'25年PDCA'!BH168</f>
        <v>0</v>
      </c>
      <c r="N10" s="545"/>
      <c r="O10" s="545">
        <v>1</v>
      </c>
      <c r="P10" s="545">
        <f>'25年PDCA'!BI168</f>
        <v>0</v>
      </c>
      <c r="Q10" s="545"/>
      <c r="R10" s="545">
        <v>1</v>
      </c>
      <c r="S10" s="545">
        <f>'25年PDCA'!BJ168</f>
        <v>0</v>
      </c>
      <c r="T10" s="545"/>
      <c r="U10" s="545">
        <f>'25年PDCA'!AS168</f>
        <v>1</v>
      </c>
      <c r="V10" s="545">
        <f>'25年PDCA'!BK168</f>
        <v>0</v>
      </c>
      <c r="W10" s="545"/>
      <c r="X10" s="545">
        <f>'25年PDCA'!AT168</f>
        <v>0</v>
      </c>
      <c r="Y10" s="545">
        <f>'25年PDCA'!BL168</f>
        <v>0</v>
      </c>
      <c r="Z10" s="545"/>
      <c r="AA10" s="545">
        <f>'25年PDCA'!AU168</f>
        <v>0</v>
      </c>
      <c r="AB10" s="545">
        <f>'25年PDCA'!BM168</f>
        <v>0</v>
      </c>
      <c r="AC10" s="545"/>
      <c r="AD10" s="545">
        <f>'25年PDCA'!AV168</f>
        <v>0</v>
      </c>
      <c r="AE10" s="545">
        <f>'25年PDCA'!BN168</f>
        <v>0</v>
      </c>
      <c r="AF10" s="545"/>
      <c r="AG10" s="545">
        <f>'25年PDCA'!AW168</f>
        <v>0</v>
      </c>
      <c r="AH10" s="545">
        <f>'25年PDCA'!BO168</f>
        <v>0</v>
      </c>
      <c r="AI10" s="545"/>
      <c r="AJ10" s="545">
        <f>'25年PDCA'!AX168</f>
        <v>0</v>
      </c>
      <c r="AK10" s="545">
        <f>'25年PDCA'!BP168</f>
        <v>0</v>
      </c>
    </row>
    <row r="11" spans="1:38">
      <c r="A11" s="544" t="s">
        <v>208</v>
      </c>
      <c r="B11" s="544" t="s">
        <v>207</v>
      </c>
      <c r="C11" s="545">
        <v>0</v>
      </c>
      <c r="D11" s="545">
        <f>'25年PDCA'!BE169</f>
        <v>0</v>
      </c>
      <c r="E11" s="545"/>
      <c r="F11" s="545">
        <v>0</v>
      </c>
      <c r="G11" s="545">
        <f>'25年PDCA'!BF169</f>
        <v>0</v>
      </c>
      <c r="H11" s="545"/>
      <c r="I11" s="545">
        <v>0</v>
      </c>
      <c r="J11" s="545">
        <f>'25年PDCA'!BG169</f>
        <v>0</v>
      </c>
      <c r="K11" s="545"/>
      <c r="L11" s="545">
        <v>0</v>
      </c>
      <c r="M11" s="545">
        <f>'25年PDCA'!BH169</f>
        <v>0</v>
      </c>
      <c r="N11" s="545"/>
      <c r="O11" s="545">
        <v>0</v>
      </c>
      <c r="P11" s="545">
        <f>'25年PDCA'!BI169</f>
        <v>0</v>
      </c>
      <c r="Q11" s="545"/>
      <c r="R11" s="545">
        <v>0</v>
      </c>
      <c r="S11" s="545">
        <f>'25年PDCA'!BJ169</f>
        <v>0</v>
      </c>
      <c r="T11" s="545"/>
      <c r="U11" s="545">
        <f>'25年PDCA'!AS169</f>
        <v>0</v>
      </c>
      <c r="V11" s="545">
        <f>'25年PDCA'!BK169</f>
        <v>0</v>
      </c>
      <c r="W11" s="545"/>
      <c r="X11" s="545">
        <f>'25年PDCA'!AT169</f>
        <v>0</v>
      </c>
      <c r="Y11" s="545">
        <f>'25年PDCA'!BL169</f>
        <v>0</v>
      </c>
      <c r="Z11" s="545"/>
      <c r="AA11" s="545">
        <f>'25年PDCA'!AU169</f>
        <v>0</v>
      </c>
      <c r="AB11" s="545">
        <f>'25年PDCA'!BM169</f>
        <v>0</v>
      </c>
      <c r="AC11" s="545"/>
      <c r="AD11" s="545">
        <f>'25年PDCA'!AV169</f>
        <v>0</v>
      </c>
      <c r="AE11" s="545">
        <f>'25年PDCA'!BN169</f>
        <v>0</v>
      </c>
      <c r="AF11" s="545"/>
      <c r="AG11" s="545">
        <f>'25年PDCA'!AW169</f>
        <v>0</v>
      </c>
      <c r="AH11" s="545">
        <f>'25年PDCA'!BO169</f>
        <v>0</v>
      </c>
      <c r="AI11" s="545"/>
      <c r="AJ11" s="545">
        <f>'25年PDCA'!AX169</f>
        <v>0</v>
      </c>
      <c r="AK11" s="545">
        <f>'25年PDCA'!BP169</f>
        <v>0</v>
      </c>
    </row>
    <row r="12" spans="1:38">
      <c r="A12" s="544" t="s">
        <v>166</v>
      </c>
      <c r="B12" s="544" t="s">
        <v>206</v>
      </c>
      <c r="C12" s="545">
        <v>0</v>
      </c>
      <c r="D12" s="545">
        <f>'25年PDCA'!BE170</f>
        <v>0</v>
      </c>
      <c r="E12" s="545"/>
      <c r="F12" s="545">
        <v>0</v>
      </c>
      <c r="G12" s="545">
        <f>'25年PDCA'!BF170</f>
        <v>0</v>
      </c>
      <c r="H12" s="545"/>
      <c r="I12" s="545">
        <v>0</v>
      </c>
      <c r="J12" s="545">
        <f>'25年PDCA'!BG170</f>
        <v>27.777777777777782</v>
      </c>
      <c r="K12" s="545"/>
      <c r="L12" s="545">
        <v>1</v>
      </c>
      <c r="M12" s="545">
        <f>'25年PDCA'!BH170</f>
        <v>91.6666666666667</v>
      </c>
      <c r="N12" s="545"/>
      <c r="O12" s="545">
        <v>2</v>
      </c>
      <c r="P12" s="545">
        <f>'25年PDCA'!BI170</f>
        <v>120</v>
      </c>
      <c r="Q12" s="545"/>
      <c r="R12" s="545">
        <v>1</v>
      </c>
      <c r="S12" s="545">
        <f>'25年PDCA'!BJ170</f>
        <v>197</v>
      </c>
      <c r="T12" s="545"/>
      <c r="U12" s="545">
        <f>'25年PDCA'!AS170</f>
        <v>1</v>
      </c>
      <c r="V12" s="545">
        <f>'25年PDCA'!BK170</f>
        <v>43</v>
      </c>
      <c r="W12" s="545"/>
      <c r="X12" s="545">
        <f>'25年PDCA'!AT170</f>
        <v>0</v>
      </c>
      <c r="Y12" s="545">
        <f>'25年PDCA'!BL170</f>
        <v>58</v>
      </c>
      <c r="Z12" s="545"/>
      <c r="AA12" s="545">
        <f>'25年PDCA'!AU170</f>
        <v>0</v>
      </c>
      <c r="AB12" s="545">
        <f>'25年PDCA'!BM170</f>
        <v>68</v>
      </c>
      <c r="AC12" s="545"/>
      <c r="AD12" s="545">
        <f>'25年PDCA'!AV170</f>
        <v>0</v>
      </c>
      <c r="AE12" s="545">
        <f>'25年PDCA'!BN170</f>
        <v>80</v>
      </c>
      <c r="AF12" s="545"/>
      <c r="AG12" s="545">
        <f>'25年PDCA'!AW170</f>
        <v>0</v>
      </c>
      <c r="AH12" s="545">
        <f>'25年PDCA'!BO170</f>
        <v>75</v>
      </c>
      <c r="AI12" s="545"/>
      <c r="AJ12" s="545">
        <f>'25年PDCA'!AX170</f>
        <v>0</v>
      </c>
      <c r="AK12" s="545">
        <f>'25年PDCA'!BP170</f>
        <v>0</v>
      </c>
    </row>
    <row r="13" spans="1:38">
      <c r="A13" s="544" t="s">
        <v>166</v>
      </c>
      <c r="B13" s="544" t="s">
        <v>203</v>
      </c>
      <c r="C13" s="545">
        <v>1</v>
      </c>
      <c r="D13" s="545">
        <f>'25年PDCA'!BE171</f>
        <v>0</v>
      </c>
      <c r="E13" s="545"/>
      <c r="F13" s="545">
        <v>3</v>
      </c>
      <c r="G13" s="545">
        <f>'25年PDCA'!BF171</f>
        <v>0</v>
      </c>
      <c r="H13" s="545"/>
      <c r="I13" s="545">
        <v>3</v>
      </c>
      <c r="J13" s="545">
        <f>'25年PDCA'!BG171</f>
        <v>0</v>
      </c>
      <c r="K13" s="545"/>
      <c r="L13" s="545">
        <v>3</v>
      </c>
      <c r="M13" s="545">
        <f>'25年PDCA'!BH171</f>
        <v>0</v>
      </c>
      <c r="N13" s="545"/>
      <c r="O13" s="545">
        <v>3</v>
      </c>
      <c r="P13" s="545">
        <f>'25年PDCA'!BI171</f>
        <v>34</v>
      </c>
      <c r="Q13" s="545"/>
      <c r="R13" s="545">
        <v>3</v>
      </c>
      <c r="S13" s="545">
        <f>'25年PDCA'!BJ171</f>
        <v>56</v>
      </c>
      <c r="T13" s="545"/>
      <c r="U13" s="545">
        <f>'25年PDCA'!AS171</f>
        <v>4</v>
      </c>
      <c r="V13" s="545">
        <f>'25年PDCA'!BK171</f>
        <v>84</v>
      </c>
      <c r="W13" s="545"/>
      <c r="X13" s="545">
        <f>'25年PDCA'!AT171</f>
        <v>0</v>
      </c>
      <c r="Y13" s="545">
        <f>'25年PDCA'!BL171</f>
        <v>117</v>
      </c>
      <c r="Z13" s="545"/>
      <c r="AA13" s="545">
        <f>'25年PDCA'!AU171</f>
        <v>0</v>
      </c>
      <c r="AB13" s="545">
        <f>'25年PDCA'!BM171</f>
        <v>137</v>
      </c>
      <c r="AC13" s="545"/>
      <c r="AD13" s="545">
        <f>'25年PDCA'!AV171</f>
        <v>0</v>
      </c>
      <c r="AE13" s="545">
        <f>'25年PDCA'!BN171</f>
        <v>160</v>
      </c>
      <c r="AF13" s="545"/>
      <c r="AG13" s="545">
        <f>'25年PDCA'!AW171</f>
        <v>0</v>
      </c>
      <c r="AH13" s="545">
        <f>'25年PDCA'!BO171</f>
        <v>150</v>
      </c>
      <c r="AI13" s="545"/>
      <c r="AJ13" s="545">
        <f>'25年PDCA'!AX171</f>
        <v>0</v>
      </c>
      <c r="AK13" s="545">
        <f>'25年PDCA'!BP171</f>
        <v>0</v>
      </c>
    </row>
    <row r="14" spans="1:38">
      <c r="A14" s="544" t="s">
        <v>166</v>
      </c>
      <c r="B14" s="544" t="s">
        <v>207</v>
      </c>
      <c r="C14" s="545">
        <v>0</v>
      </c>
      <c r="D14" s="545">
        <f>'25年PDCA'!BE172</f>
        <v>0</v>
      </c>
      <c r="E14" s="545"/>
      <c r="F14" s="545">
        <v>0</v>
      </c>
      <c r="G14" s="545">
        <f>'25年PDCA'!BF172</f>
        <v>0</v>
      </c>
      <c r="H14" s="545"/>
      <c r="I14" s="545">
        <v>0</v>
      </c>
      <c r="J14" s="545">
        <f>'25年PDCA'!BG172</f>
        <v>0</v>
      </c>
      <c r="K14" s="545"/>
      <c r="L14" s="545">
        <v>0</v>
      </c>
      <c r="M14" s="545">
        <f>'25年PDCA'!BH172</f>
        <v>0</v>
      </c>
      <c r="N14" s="545"/>
      <c r="O14" s="545">
        <v>0</v>
      </c>
      <c r="P14" s="545">
        <f>'25年PDCA'!BI172</f>
        <v>18</v>
      </c>
      <c r="Q14" s="545"/>
      <c r="R14" s="545">
        <v>1</v>
      </c>
      <c r="S14" s="545">
        <f>'25年PDCA'!BJ172</f>
        <v>29</v>
      </c>
      <c r="T14" s="545"/>
      <c r="U14" s="545">
        <f>'25年PDCA'!AS172</f>
        <v>1</v>
      </c>
      <c r="V14" s="545">
        <f>'25年PDCA'!BK172</f>
        <v>295</v>
      </c>
      <c r="W14" s="545"/>
      <c r="X14" s="545">
        <f>'25年PDCA'!AT172</f>
        <v>0</v>
      </c>
      <c r="Y14" s="545">
        <f>'25年PDCA'!BL172</f>
        <v>410</v>
      </c>
      <c r="Z14" s="545"/>
      <c r="AA14" s="545">
        <f>'25年PDCA'!AU172</f>
        <v>0</v>
      </c>
      <c r="AB14" s="545">
        <f>'25年PDCA'!BM172</f>
        <v>479</v>
      </c>
      <c r="AC14" s="545"/>
      <c r="AD14" s="545">
        <f>'25年PDCA'!AV172</f>
        <v>0</v>
      </c>
      <c r="AE14" s="545">
        <f>'25年PDCA'!BN172</f>
        <v>559</v>
      </c>
      <c r="AF14" s="545"/>
      <c r="AG14" s="545">
        <f>'25年PDCA'!AW172</f>
        <v>0</v>
      </c>
      <c r="AH14" s="545">
        <f>'25年PDCA'!BO172</f>
        <v>525</v>
      </c>
      <c r="AI14" s="545"/>
      <c r="AJ14" s="545">
        <f>'25年PDCA'!AX172</f>
        <v>0</v>
      </c>
      <c r="AK14" s="545">
        <f>'25年PDCA'!BP172</f>
        <v>0</v>
      </c>
    </row>
    <row r="15" spans="1:38">
      <c r="A15" s="544" t="s">
        <v>209</v>
      </c>
      <c r="B15" s="544" t="s">
        <v>206</v>
      </c>
      <c r="C15" s="545">
        <v>0</v>
      </c>
      <c r="D15" s="545">
        <f>'25年PDCA'!BE173</f>
        <v>0</v>
      </c>
      <c r="E15" s="545"/>
      <c r="F15" s="545">
        <v>0</v>
      </c>
      <c r="G15" s="545">
        <f>'25年PDCA'!BF173</f>
        <v>0</v>
      </c>
      <c r="H15" s="545"/>
      <c r="I15" s="545">
        <v>0</v>
      </c>
      <c r="J15" s="545">
        <f>'25年PDCA'!BG173</f>
        <v>0</v>
      </c>
      <c r="K15" s="545"/>
      <c r="L15" s="545">
        <v>0</v>
      </c>
      <c r="M15" s="545">
        <f>'25年PDCA'!BH173</f>
        <v>8.3333333333333339</v>
      </c>
      <c r="N15" s="545"/>
      <c r="O15" s="545">
        <v>1</v>
      </c>
      <c r="P15" s="545">
        <f>'25年PDCA'!BI173</f>
        <v>15</v>
      </c>
      <c r="Q15" s="545"/>
      <c r="R15" s="545">
        <v>3</v>
      </c>
      <c r="S15" s="545">
        <f>'25年PDCA'!BJ173</f>
        <v>22</v>
      </c>
      <c r="T15" s="545"/>
      <c r="U15" s="545">
        <f>'25年PDCA'!AS173</f>
        <v>3</v>
      </c>
      <c r="V15" s="545">
        <f>'25年PDCA'!BK173</f>
        <v>5</v>
      </c>
      <c r="W15" s="545"/>
      <c r="X15" s="545">
        <f>'25年PDCA'!AT173</f>
        <v>0</v>
      </c>
      <c r="Y15" s="545">
        <f>'25年PDCA'!BL173</f>
        <v>6</v>
      </c>
      <c r="Z15" s="545"/>
      <c r="AA15" s="545">
        <f>'25年PDCA'!AU173</f>
        <v>0</v>
      </c>
      <c r="AB15" s="545">
        <f>'25年PDCA'!BM173</f>
        <v>6</v>
      </c>
      <c r="AC15" s="545"/>
      <c r="AD15" s="545">
        <f>'25年PDCA'!AV173</f>
        <v>0</v>
      </c>
      <c r="AE15" s="545">
        <f>'25年PDCA'!BN173</f>
        <v>5</v>
      </c>
      <c r="AF15" s="545"/>
      <c r="AG15" s="545">
        <f>'25年PDCA'!AW173</f>
        <v>0</v>
      </c>
      <c r="AH15" s="545">
        <f>'25年PDCA'!BO173</f>
        <v>5</v>
      </c>
      <c r="AI15" s="545"/>
      <c r="AJ15" s="545">
        <f>'25年PDCA'!AX173</f>
        <v>0</v>
      </c>
      <c r="AK15" s="545">
        <f>'25年PDCA'!BP173</f>
        <v>0</v>
      </c>
    </row>
    <row r="16" spans="1:38">
      <c r="A16" s="544" t="s">
        <v>209</v>
      </c>
      <c r="B16" s="544" t="s">
        <v>203</v>
      </c>
      <c r="C16" s="545">
        <v>0</v>
      </c>
      <c r="D16" s="545">
        <f>'25年PDCA'!BE174</f>
        <v>0</v>
      </c>
      <c r="E16" s="545"/>
      <c r="F16" s="545">
        <v>0</v>
      </c>
      <c r="G16" s="545">
        <f>'25年PDCA'!BF174</f>
        <v>0</v>
      </c>
      <c r="H16" s="545"/>
      <c r="I16" s="545">
        <v>0</v>
      </c>
      <c r="J16" s="545">
        <f>'25年PDCA'!BG174</f>
        <v>0</v>
      </c>
      <c r="K16" s="545"/>
      <c r="L16" s="545">
        <v>0</v>
      </c>
      <c r="M16" s="545">
        <f>'25年PDCA'!BH174</f>
        <v>0</v>
      </c>
      <c r="N16" s="545"/>
      <c r="O16" s="545">
        <v>0</v>
      </c>
      <c r="P16" s="545">
        <f>'25年PDCA'!BI174</f>
        <v>4</v>
      </c>
      <c r="Q16" s="545"/>
      <c r="R16" s="545">
        <v>0</v>
      </c>
      <c r="S16" s="545">
        <f>'25年PDCA'!BJ174</f>
        <v>6</v>
      </c>
      <c r="T16" s="545"/>
      <c r="U16" s="545">
        <f>'25年PDCA'!AS174</f>
        <v>0</v>
      </c>
      <c r="V16" s="545">
        <f>'25年PDCA'!BK174</f>
        <v>8</v>
      </c>
      <c r="W16" s="545"/>
      <c r="X16" s="545">
        <f>'25年PDCA'!AT174</f>
        <v>0</v>
      </c>
      <c r="Y16" s="545">
        <f>'25年PDCA'!BL174</f>
        <v>11</v>
      </c>
      <c r="Z16" s="545"/>
      <c r="AA16" s="545">
        <f>'25年PDCA'!AU174</f>
        <v>0</v>
      </c>
      <c r="AB16" s="545">
        <f>'25年PDCA'!BM174</f>
        <v>13</v>
      </c>
      <c r="AC16" s="545"/>
      <c r="AD16" s="545">
        <f>'25年PDCA'!AV174</f>
        <v>0</v>
      </c>
      <c r="AE16" s="545">
        <f>'25年PDCA'!BN174</f>
        <v>10</v>
      </c>
      <c r="AF16" s="545"/>
      <c r="AG16" s="545">
        <f>'25年PDCA'!AW174</f>
        <v>0</v>
      </c>
      <c r="AH16" s="545">
        <f>'25年PDCA'!BO174</f>
        <v>10</v>
      </c>
      <c r="AI16" s="545"/>
      <c r="AJ16" s="545">
        <f>'25年PDCA'!AX174</f>
        <v>0</v>
      </c>
      <c r="AK16" s="545">
        <f>'25年PDCA'!BP174</f>
        <v>0</v>
      </c>
    </row>
    <row r="17" spans="1:37">
      <c r="A17" s="544" t="s">
        <v>209</v>
      </c>
      <c r="B17" s="544" t="s">
        <v>207</v>
      </c>
      <c r="C17" s="545">
        <v>0</v>
      </c>
      <c r="D17" s="545">
        <f>'25年PDCA'!BE175</f>
        <v>0</v>
      </c>
      <c r="E17" s="545"/>
      <c r="F17" s="545">
        <v>0</v>
      </c>
      <c r="G17" s="545">
        <f>'25年PDCA'!BF175</f>
        <v>0</v>
      </c>
      <c r="H17" s="545"/>
      <c r="I17" s="545">
        <v>0</v>
      </c>
      <c r="J17" s="545">
        <f>'25年PDCA'!BG175</f>
        <v>0</v>
      </c>
      <c r="K17" s="545"/>
      <c r="L17" s="545">
        <v>0</v>
      </c>
      <c r="M17" s="545">
        <f>'25年PDCA'!BH175</f>
        <v>0</v>
      </c>
      <c r="N17" s="545"/>
      <c r="O17" s="545">
        <v>0</v>
      </c>
      <c r="P17" s="545">
        <f>'25年PDCA'!BI175</f>
        <v>3</v>
      </c>
      <c r="Q17" s="545"/>
      <c r="R17" s="545">
        <v>0</v>
      </c>
      <c r="S17" s="545">
        <f>'25年PDCA'!BJ175</f>
        <v>3</v>
      </c>
      <c r="T17" s="545"/>
      <c r="U17" s="545">
        <f>'25年PDCA'!AS175</f>
        <v>0</v>
      </c>
      <c r="V17" s="545">
        <f>'25年PDCA'!BK175</f>
        <v>29</v>
      </c>
      <c r="W17" s="545"/>
      <c r="X17" s="545">
        <f>'25年PDCA'!AT175</f>
        <v>0</v>
      </c>
      <c r="Y17" s="545">
        <f>'25年PDCA'!BL175</f>
        <v>38</v>
      </c>
      <c r="Z17" s="545"/>
      <c r="AA17" s="545">
        <f>'25年PDCA'!AU175</f>
        <v>0</v>
      </c>
      <c r="AB17" s="545">
        <f>'25年PDCA'!BM175</f>
        <v>46</v>
      </c>
      <c r="AC17" s="545"/>
      <c r="AD17" s="545">
        <f>'25年PDCA'!AV175</f>
        <v>0</v>
      </c>
      <c r="AE17" s="545">
        <f>'25年PDCA'!BN175</f>
        <v>34</v>
      </c>
      <c r="AF17" s="545"/>
      <c r="AG17" s="545">
        <f>'25年PDCA'!AW175</f>
        <v>0</v>
      </c>
      <c r="AH17" s="545">
        <f>'25年PDCA'!BO175</f>
        <v>34</v>
      </c>
      <c r="AI17" s="545"/>
      <c r="AJ17" s="545">
        <f>'25年PDCA'!AX175</f>
        <v>0</v>
      </c>
      <c r="AK17" s="545">
        <f>'25年PDCA'!BP175</f>
        <v>0</v>
      </c>
    </row>
    <row r="18" spans="1:37">
      <c r="A18" s="544" t="s">
        <v>168</v>
      </c>
      <c r="B18" s="544" t="s">
        <v>206</v>
      </c>
      <c r="C18" s="545">
        <v>0</v>
      </c>
      <c r="D18" s="545">
        <f>'25年PDCA'!BE176</f>
        <v>0</v>
      </c>
      <c r="E18" s="545"/>
      <c r="F18" s="545">
        <v>0</v>
      </c>
      <c r="G18" s="545">
        <f>'25年PDCA'!BF176</f>
        <v>0</v>
      </c>
      <c r="H18" s="545"/>
      <c r="I18" s="545">
        <v>0</v>
      </c>
      <c r="J18" s="545">
        <f>'25年PDCA'!BG176</f>
        <v>0</v>
      </c>
      <c r="K18" s="545"/>
      <c r="L18" s="545">
        <v>0</v>
      </c>
      <c r="M18" s="545">
        <f>'25年PDCA'!BH176</f>
        <v>0</v>
      </c>
      <c r="N18" s="545"/>
      <c r="O18" s="545">
        <v>0</v>
      </c>
      <c r="P18" s="545">
        <f>'25年PDCA'!BI176</f>
        <v>4</v>
      </c>
      <c r="Q18" s="545"/>
      <c r="R18" s="545">
        <v>0</v>
      </c>
      <c r="S18" s="545">
        <f>'25年PDCA'!BJ176</f>
        <v>8</v>
      </c>
      <c r="T18" s="545"/>
      <c r="U18" s="545">
        <f>'25年PDCA'!AS176</f>
        <v>0</v>
      </c>
      <c r="V18" s="545">
        <f>'25年PDCA'!BK176</f>
        <v>2</v>
      </c>
      <c r="W18" s="545"/>
      <c r="X18" s="545">
        <f>'25年PDCA'!AT176</f>
        <v>0</v>
      </c>
      <c r="Y18" s="545">
        <f>'25年PDCA'!BL176</f>
        <v>1</v>
      </c>
      <c r="Z18" s="545"/>
      <c r="AA18" s="545">
        <f>'25年PDCA'!AU176</f>
        <v>0</v>
      </c>
      <c r="AB18" s="545">
        <f>'25年PDCA'!BM176</f>
        <v>2</v>
      </c>
      <c r="AC18" s="545"/>
      <c r="AD18" s="545">
        <f>'25年PDCA'!AV176</f>
        <v>0</v>
      </c>
      <c r="AE18" s="545">
        <f>'25年PDCA'!BN176</f>
        <v>2</v>
      </c>
      <c r="AF18" s="545"/>
      <c r="AG18" s="545">
        <f>'25年PDCA'!AW176</f>
        <v>0</v>
      </c>
      <c r="AH18" s="545">
        <f>'25年PDCA'!BO176</f>
        <v>0</v>
      </c>
      <c r="AI18" s="545"/>
      <c r="AJ18" s="545">
        <f>'25年PDCA'!AX176</f>
        <v>0</v>
      </c>
      <c r="AK18" s="545">
        <f>'25年PDCA'!BP176</f>
        <v>0</v>
      </c>
    </row>
    <row r="19" spans="1:37">
      <c r="A19" s="544" t="s">
        <v>168</v>
      </c>
      <c r="B19" s="544" t="s">
        <v>203</v>
      </c>
      <c r="C19" s="545">
        <v>0</v>
      </c>
      <c r="D19" s="545">
        <f>'25年PDCA'!BE177</f>
        <v>0</v>
      </c>
      <c r="E19" s="545"/>
      <c r="F19" s="545">
        <v>0</v>
      </c>
      <c r="G19" s="545">
        <f>'25年PDCA'!BF177</f>
        <v>0</v>
      </c>
      <c r="H19" s="545"/>
      <c r="I19" s="545">
        <v>0</v>
      </c>
      <c r="J19" s="545">
        <f>'25年PDCA'!BG177</f>
        <v>0</v>
      </c>
      <c r="K19" s="545"/>
      <c r="L19" s="545">
        <v>0</v>
      </c>
      <c r="M19" s="545">
        <f>'25年PDCA'!BH177</f>
        <v>0</v>
      </c>
      <c r="N19" s="545"/>
      <c r="O19" s="545">
        <v>0</v>
      </c>
      <c r="P19" s="545">
        <f>'25年PDCA'!BI177</f>
        <v>1</v>
      </c>
      <c r="Q19" s="545"/>
      <c r="R19" s="545">
        <v>0</v>
      </c>
      <c r="S19" s="545">
        <f>'25年PDCA'!BJ177</f>
        <v>2</v>
      </c>
      <c r="T19" s="545"/>
      <c r="U19" s="545">
        <f>'25年PDCA'!AS177</f>
        <v>0</v>
      </c>
      <c r="V19" s="545">
        <f>'25年PDCA'!BK177</f>
        <v>2</v>
      </c>
      <c r="W19" s="545"/>
      <c r="X19" s="545">
        <f>'25年PDCA'!AT177</f>
        <v>0</v>
      </c>
      <c r="Y19" s="545">
        <f>'25年PDCA'!BL177</f>
        <v>3</v>
      </c>
      <c r="Z19" s="545"/>
      <c r="AA19" s="545">
        <f>'25年PDCA'!AU177</f>
        <v>0</v>
      </c>
      <c r="AB19" s="545">
        <f>'25年PDCA'!BM177</f>
        <v>3</v>
      </c>
      <c r="AC19" s="545"/>
      <c r="AD19" s="545">
        <f>'25年PDCA'!AV177</f>
        <v>0</v>
      </c>
      <c r="AE19" s="545">
        <f>'25年PDCA'!BN177</f>
        <v>3</v>
      </c>
      <c r="AF19" s="545"/>
      <c r="AG19" s="545">
        <f>'25年PDCA'!AW177</f>
        <v>0</v>
      </c>
      <c r="AH19" s="545">
        <f>'25年PDCA'!BO177</f>
        <v>0</v>
      </c>
      <c r="AI19" s="545"/>
      <c r="AJ19" s="545">
        <f>'25年PDCA'!AX177</f>
        <v>0</v>
      </c>
      <c r="AK19" s="545">
        <f>'25年PDCA'!BP177</f>
        <v>0</v>
      </c>
    </row>
    <row r="20" spans="1:37">
      <c r="A20" s="544" t="s">
        <v>168</v>
      </c>
      <c r="B20" s="544" t="s">
        <v>207</v>
      </c>
      <c r="C20" s="545">
        <v>0</v>
      </c>
      <c r="D20" s="545">
        <f>'25年PDCA'!BE178</f>
        <v>0</v>
      </c>
      <c r="E20" s="545"/>
      <c r="F20" s="545">
        <v>0</v>
      </c>
      <c r="G20" s="545">
        <f>'25年PDCA'!BF178</f>
        <v>0</v>
      </c>
      <c r="H20" s="545"/>
      <c r="I20" s="545">
        <v>0</v>
      </c>
      <c r="J20" s="545">
        <f>'25年PDCA'!BG178</f>
        <v>0</v>
      </c>
      <c r="K20" s="545"/>
      <c r="L20" s="545">
        <v>0</v>
      </c>
      <c r="M20" s="545">
        <f>'25年PDCA'!BH178</f>
        <v>0</v>
      </c>
      <c r="N20" s="545"/>
      <c r="O20" s="545">
        <v>0</v>
      </c>
      <c r="P20" s="545">
        <f>'25年PDCA'!BI178</f>
        <v>0</v>
      </c>
      <c r="Q20" s="545"/>
      <c r="R20" s="545">
        <v>0</v>
      </c>
      <c r="S20" s="545">
        <f>'25年PDCA'!BJ178</f>
        <v>1</v>
      </c>
      <c r="T20" s="545"/>
      <c r="U20" s="545">
        <f>'25年PDCA'!AS178</f>
        <v>0</v>
      </c>
      <c r="V20" s="545">
        <f>'25年PDCA'!BK178</f>
        <v>8</v>
      </c>
      <c r="W20" s="545"/>
      <c r="X20" s="545">
        <f>'25年PDCA'!AT178</f>
        <v>0</v>
      </c>
      <c r="Y20" s="545">
        <f>'25年PDCA'!BL178</f>
        <v>10</v>
      </c>
      <c r="Z20" s="545"/>
      <c r="AA20" s="545">
        <f>'25年PDCA'!AU178</f>
        <v>0</v>
      </c>
      <c r="AB20" s="545">
        <f>'25年PDCA'!BM178</f>
        <v>11</v>
      </c>
      <c r="AC20" s="545"/>
      <c r="AD20" s="545">
        <f>'25年PDCA'!AV178</f>
        <v>0</v>
      </c>
      <c r="AE20" s="545">
        <f>'25年PDCA'!BN178</f>
        <v>11</v>
      </c>
      <c r="AF20" s="545"/>
      <c r="AG20" s="545">
        <f>'25年PDCA'!AW178</f>
        <v>0</v>
      </c>
      <c r="AH20" s="545">
        <f>'25年PDCA'!BO178</f>
        <v>0</v>
      </c>
      <c r="AI20" s="545"/>
      <c r="AJ20" s="545">
        <f>'25年PDCA'!AX178</f>
        <v>0</v>
      </c>
      <c r="AK20" s="545">
        <f>'25年PDCA'!BP178</f>
        <v>0</v>
      </c>
    </row>
    <row r="21" spans="1:37">
      <c r="A21" s="544" t="s">
        <v>210</v>
      </c>
      <c r="B21" s="544" t="s">
        <v>206</v>
      </c>
      <c r="C21" s="545">
        <v>0</v>
      </c>
      <c r="D21" s="545">
        <f>'25年PDCA'!BE179</f>
        <v>0</v>
      </c>
      <c r="E21" s="545"/>
      <c r="F21" s="545">
        <v>0</v>
      </c>
      <c r="G21" s="545">
        <f>'25年PDCA'!BF179</f>
        <v>0</v>
      </c>
      <c r="H21" s="545"/>
      <c r="I21" s="545">
        <v>0</v>
      </c>
      <c r="J21" s="545">
        <f>'25年PDCA'!BG179</f>
        <v>0</v>
      </c>
      <c r="K21" s="545"/>
      <c r="L21" s="545">
        <v>0</v>
      </c>
      <c r="M21" s="545">
        <f>'25年PDCA'!BH179</f>
        <v>0</v>
      </c>
      <c r="N21" s="545"/>
      <c r="O21" s="545">
        <v>0</v>
      </c>
      <c r="P21" s="545">
        <f>'25年PDCA'!BI179</f>
        <v>0</v>
      </c>
      <c r="Q21" s="545"/>
      <c r="R21" s="545">
        <v>0</v>
      </c>
      <c r="S21" s="545">
        <f>'25年PDCA'!BJ179</f>
        <v>2</v>
      </c>
      <c r="T21" s="545"/>
      <c r="U21" s="545">
        <f>'25年PDCA'!AS179</f>
        <v>0</v>
      </c>
      <c r="V21" s="545">
        <f>'25年PDCA'!BK179</f>
        <v>1</v>
      </c>
      <c r="W21" s="545"/>
      <c r="X21" s="545">
        <f>'25年PDCA'!AT179</f>
        <v>0</v>
      </c>
      <c r="Y21" s="545">
        <f>'25年PDCA'!BL179</f>
        <v>2</v>
      </c>
      <c r="Z21" s="545"/>
      <c r="AA21" s="545">
        <f>'25年PDCA'!AU179</f>
        <v>0</v>
      </c>
      <c r="AB21" s="545">
        <f>'25年PDCA'!BM179</f>
        <v>2</v>
      </c>
      <c r="AC21" s="545"/>
      <c r="AD21" s="545">
        <f>'25年PDCA'!AV179</f>
        <v>0</v>
      </c>
      <c r="AE21" s="545">
        <f>'25年PDCA'!BN179</f>
        <v>3</v>
      </c>
      <c r="AF21" s="545"/>
      <c r="AG21" s="545">
        <f>'25年PDCA'!AW179</f>
        <v>0</v>
      </c>
      <c r="AH21" s="545">
        <f>'25年PDCA'!BO179</f>
        <v>4</v>
      </c>
      <c r="AI21" s="545"/>
      <c r="AJ21" s="545">
        <f>'25年PDCA'!AX179</f>
        <v>0</v>
      </c>
      <c r="AK21" s="545">
        <f>'25年PDCA'!BP179</f>
        <v>0</v>
      </c>
    </row>
    <row r="22" spans="1:37">
      <c r="A22" s="544" t="s">
        <v>210</v>
      </c>
      <c r="B22" s="544" t="s">
        <v>203</v>
      </c>
      <c r="C22" s="545">
        <v>0</v>
      </c>
      <c r="D22" s="545">
        <f>'25年PDCA'!BE180</f>
        <v>0</v>
      </c>
      <c r="E22" s="545"/>
      <c r="F22" s="545">
        <v>0</v>
      </c>
      <c r="G22" s="545">
        <f>'25年PDCA'!BF180</f>
        <v>0</v>
      </c>
      <c r="H22" s="545"/>
      <c r="I22" s="545">
        <v>0</v>
      </c>
      <c r="J22" s="545">
        <f>'25年PDCA'!BG180</f>
        <v>0</v>
      </c>
      <c r="K22" s="545"/>
      <c r="L22" s="545">
        <v>0</v>
      </c>
      <c r="M22" s="545">
        <f>'25年PDCA'!BH180</f>
        <v>0</v>
      </c>
      <c r="N22" s="545"/>
      <c r="O22" s="545">
        <v>0</v>
      </c>
      <c r="P22" s="545">
        <f>'25年PDCA'!BI180</f>
        <v>0</v>
      </c>
      <c r="Q22" s="545"/>
      <c r="R22" s="545">
        <v>0</v>
      </c>
      <c r="S22" s="545">
        <f>'25年PDCA'!BJ180</f>
        <v>1</v>
      </c>
      <c r="T22" s="545"/>
      <c r="U22" s="545">
        <f>'25年PDCA'!AS180</f>
        <v>0</v>
      </c>
      <c r="V22" s="545">
        <f>'25年PDCA'!BK180</f>
        <v>1</v>
      </c>
      <c r="W22" s="545"/>
      <c r="X22" s="545">
        <f>'25年PDCA'!AT180</f>
        <v>0</v>
      </c>
      <c r="Y22" s="545">
        <f>'25年PDCA'!BL180</f>
        <v>1</v>
      </c>
      <c r="Z22" s="545"/>
      <c r="AA22" s="545">
        <f>'25年PDCA'!AU180</f>
        <v>0</v>
      </c>
      <c r="AB22" s="545">
        <f>'25年PDCA'!BM180</f>
        <v>2</v>
      </c>
      <c r="AC22" s="545"/>
      <c r="AD22" s="545">
        <f>'25年PDCA'!AV180</f>
        <v>0</v>
      </c>
      <c r="AE22" s="545">
        <f>'25年PDCA'!BN180</f>
        <v>3</v>
      </c>
      <c r="AF22" s="545"/>
      <c r="AG22" s="545">
        <f>'25年PDCA'!AW180</f>
        <v>0</v>
      </c>
      <c r="AH22" s="545">
        <f>'25年PDCA'!BO180</f>
        <v>4</v>
      </c>
      <c r="AI22" s="545"/>
      <c r="AJ22" s="545">
        <f>'25年PDCA'!AX180</f>
        <v>0</v>
      </c>
      <c r="AK22" s="545">
        <f>'25年PDCA'!BP180</f>
        <v>0</v>
      </c>
    </row>
    <row r="23" spans="1:37">
      <c r="A23" s="544" t="s">
        <v>210</v>
      </c>
      <c r="B23" s="544" t="s">
        <v>207</v>
      </c>
      <c r="C23" s="545">
        <v>0</v>
      </c>
      <c r="D23" s="545">
        <f>'25年PDCA'!BE181</f>
        <v>0</v>
      </c>
      <c r="E23" s="545"/>
      <c r="F23" s="545">
        <v>0</v>
      </c>
      <c r="G23" s="545">
        <f>'25年PDCA'!BF181</f>
        <v>0</v>
      </c>
      <c r="H23" s="545"/>
      <c r="I23" s="545">
        <v>0</v>
      </c>
      <c r="J23" s="545">
        <f>'25年PDCA'!BG181</f>
        <v>0</v>
      </c>
      <c r="K23" s="545"/>
      <c r="L23" s="545">
        <v>0</v>
      </c>
      <c r="M23" s="545">
        <f>'25年PDCA'!BH181</f>
        <v>0</v>
      </c>
      <c r="N23" s="545"/>
      <c r="O23" s="545">
        <v>1</v>
      </c>
      <c r="P23" s="545">
        <f>'25年PDCA'!BI181</f>
        <v>0</v>
      </c>
      <c r="Q23" s="545"/>
      <c r="R23" s="545">
        <v>1</v>
      </c>
      <c r="S23" s="545">
        <f>'25年PDCA'!BJ181</f>
        <v>1</v>
      </c>
      <c r="T23" s="545"/>
      <c r="U23" s="545">
        <f>'25年PDCA'!AS181</f>
        <v>1</v>
      </c>
      <c r="V23" s="545">
        <f>'25年PDCA'!BK181</f>
        <v>2</v>
      </c>
      <c r="W23" s="545"/>
      <c r="X23" s="545">
        <f>'25年PDCA'!AT181</f>
        <v>0</v>
      </c>
      <c r="Y23" s="545">
        <f>'25年PDCA'!BL181</f>
        <v>3</v>
      </c>
      <c r="Z23" s="545"/>
      <c r="AA23" s="545">
        <f>'25年PDCA'!AU181</f>
        <v>0</v>
      </c>
      <c r="AB23" s="545">
        <f>'25年PDCA'!BM181</f>
        <v>3</v>
      </c>
      <c r="AC23" s="545"/>
      <c r="AD23" s="545">
        <f>'25年PDCA'!AV181</f>
        <v>0</v>
      </c>
      <c r="AE23" s="545">
        <f>'25年PDCA'!BN181</f>
        <v>3</v>
      </c>
      <c r="AF23" s="545"/>
      <c r="AG23" s="545">
        <f>'25年PDCA'!AW181</f>
        <v>0</v>
      </c>
      <c r="AH23" s="545">
        <f>'25年PDCA'!BO181</f>
        <v>4</v>
      </c>
      <c r="AI23" s="545"/>
      <c r="AJ23" s="545">
        <f>'25年PDCA'!AX181</f>
        <v>0</v>
      </c>
      <c r="AK23" s="545">
        <f>'25年PDCA'!BP181</f>
        <v>0</v>
      </c>
    </row>
    <row r="24" spans="1:37">
      <c r="C24" s="545"/>
      <c r="D24" s="545"/>
      <c r="E24" s="545"/>
      <c r="F24" s="545"/>
      <c r="G24" s="545"/>
      <c r="H24" s="545"/>
      <c r="I24" s="545"/>
      <c r="J24" s="545"/>
      <c r="K24" s="545"/>
      <c r="L24" s="545"/>
      <c r="M24" s="545"/>
      <c r="N24" s="545"/>
      <c r="O24" s="545"/>
      <c r="P24" s="545"/>
      <c r="Q24" s="545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</row>
    <row r="25" spans="1:37">
      <c r="C25" s="544" t="s">
        <v>188</v>
      </c>
      <c r="E25" s="544" t="s">
        <v>189</v>
      </c>
      <c r="F25" s="544" t="s">
        <v>190</v>
      </c>
      <c r="H25" s="544" t="s">
        <v>189</v>
      </c>
      <c r="I25" s="544" t="s">
        <v>191</v>
      </c>
      <c r="K25" s="544" t="s">
        <v>189</v>
      </c>
      <c r="L25" s="544" t="s">
        <v>192</v>
      </c>
      <c r="N25" s="544" t="s">
        <v>189</v>
      </c>
      <c r="O25" s="544" t="s">
        <v>193</v>
      </c>
      <c r="Q25" s="544" t="s">
        <v>189</v>
      </c>
      <c r="R25" s="544" t="s">
        <v>194</v>
      </c>
      <c r="T25" s="544" t="s">
        <v>189</v>
      </c>
      <c r="U25" s="544" t="s">
        <v>195</v>
      </c>
      <c r="W25" s="544" t="s">
        <v>189</v>
      </c>
      <c r="X25" s="544" t="s">
        <v>196</v>
      </c>
      <c r="Z25" s="544" t="s">
        <v>189</v>
      </c>
      <c r="AA25" s="544" t="s">
        <v>197</v>
      </c>
      <c r="AC25" s="544" t="s">
        <v>189</v>
      </c>
      <c r="AD25" s="544" t="s">
        <v>198</v>
      </c>
      <c r="AF25" s="544" t="s">
        <v>189</v>
      </c>
      <c r="AG25" s="544" t="s">
        <v>199</v>
      </c>
      <c r="AI25" s="544" t="s">
        <v>189</v>
      </c>
      <c r="AJ25" s="544" t="s">
        <v>200</v>
      </c>
    </row>
    <row r="26" spans="1:37">
      <c r="C26" s="544" t="s">
        <v>142</v>
      </c>
      <c r="D26" s="544" t="s">
        <v>185</v>
      </c>
      <c r="F26" s="544" t="s">
        <v>142</v>
      </c>
      <c r="G26" s="544" t="s">
        <v>185</v>
      </c>
      <c r="I26" s="544" t="s">
        <v>142</v>
      </c>
      <c r="J26" s="544" t="s">
        <v>185</v>
      </c>
      <c r="L26" s="544" t="s">
        <v>142</v>
      </c>
      <c r="M26" s="544" t="s">
        <v>185</v>
      </c>
      <c r="O26" s="544" t="s">
        <v>142</v>
      </c>
      <c r="P26" s="544" t="s">
        <v>185</v>
      </c>
      <c r="R26" s="544" t="s">
        <v>142</v>
      </c>
      <c r="S26" s="544" t="s">
        <v>185</v>
      </c>
      <c r="U26" s="544" t="s">
        <v>142</v>
      </c>
      <c r="V26" s="544" t="s">
        <v>185</v>
      </c>
      <c r="X26" s="544" t="s">
        <v>142</v>
      </c>
      <c r="Y26" s="544" t="s">
        <v>185</v>
      </c>
      <c r="AA26" s="544" t="s">
        <v>142</v>
      </c>
      <c r="AB26" s="544" t="s">
        <v>185</v>
      </c>
      <c r="AD26" s="544" t="s">
        <v>142</v>
      </c>
      <c r="AE26" s="544" t="s">
        <v>185</v>
      </c>
      <c r="AG26" s="544" t="s">
        <v>142</v>
      </c>
      <c r="AH26" s="544" t="s">
        <v>185</v>
      </c>
      <c r="AJ26" s="544" t="s">
        <v>142</v>
      </c>
      <c r="AK26" s="544" t="s">
        <v>185</v>
      </c>
    </row>
    <row r="27" spans="1:37" s="546" customFormat="1">
      <c r="A27" s="546" t="s">
        <v>211</v>
      </c>
      <c r="B27" s="546" t="s">
        <v>202</v>
      </c>
      <c r="F27" s="546" t="e">
        <f t="shared" ref="F27:G32" si="0">((F15++F18)-(C15+C18))/C12</f>
        <v>#DIV/0!</v>
      </c>
      <c r="G27" s="546" t="e">
        <f t="shared" si="0"/>
        <v>#DIV/0!</v>
      </c>
      <c r="I27" s="546" t="e">
        <f>((I15++I18)-(F15+F18))/F12</f>
        <v>#DIV/0!</v>
      </c>
      <c r="J27" s="546" t="e">
        <f t="shared" ref="I27:J32" si="1">((J15++J18)-(G15+G18))/G12</f>
        <v>#DIV/0!</v>
      </c>
      <c r="L27" s="546" t="e">
        <f t="shared" ref="L27:M32" si="2">((L15++L18)-(I15+I18))/I12</f>
        <v>#DIV/0!</v>
      </c>
      <c r="M27" s="546">
        <f t="shared" si="2"/>
        <v>0.3</v>
      </c>
      <c r="O27" s="546">
        <f t="shared" ref="O27:P32" si="3">((O15++O18)-(L15+L18))/L12</f>
        <v>1</v>
      </c>
      <c r="P27" s="546">
        <f t="shared" si="3"/>
        <v>0.11636363636363632</v>
      </c>
      <c r="R27" s="546">
        <f t="shared" ref="R27:S32" si="4">((R15++R18)-(O15+O18))/O12</f>
        <v>1</v>
      </c>
      <c r="S27" s="546">
        <f t="shared" si="4"/>
        <v>9.166666666666666E-2</v>
      </c>
      <c r="U27" s="546">
        <f t="shared" ref="U27:V32" si="5">((U15++U18)-(R15+R18))/R12</f>
        <v>0</v>
      </c>
      <c r="V27" s="546">
        <f t="shared" si="5"/>
        <v>-0.116751269035533</v>
      </c>
      <c r="X27" s="546">
        <f t="shared" ref="X27:Y32" si="6">((X15++X18)-(U15+U18))/U12</f>
        <v>-3</v>
      </c>
      <c r="Y27" s="546">
        <f t="shared" si="6"/>
        <v>0</v>
      </c>
      <c r="AA27" s="546" t="e">
        <f t="shared" ref="AA27:AB32" si="7">((AA15++AA18)-(X15+X18))/X12</f>
        <v>#DIV/0!</v>
      </c>
      <c r="AB27" s="546">
        <f t="shared" si="7"/>
        <v>1.7241379310344827E-2</v>
      </c>
      <c r="AD27" s="546" t="e">
        <f t="shared" ref="AD27:AE32" si="8">((AD15++AD18)-(AA15+AA18))/AA12</f>
        <v>#DIV/0!</v>
      </c>
      <c r="AE27" s="546">
        <f t="shared" si="8"/>
        <v>-1.4705882352941176E-2</v>
      </c>
      <c r="AG27" s="546" t="e">
        <f t="shared" ref="AG27:AH32" si="9">((AG15++AG18)-(AD15+AD18))/AD12</f>
        <v>#DIV/0!</v>
      </c>
      <c r="AH27" s="546">
        <f t="shared" si="9"/>
        <v>-2.5000000000000001E-2</v>
      </c>
      <c r="AJ27" s="546" t="e">
        <f t="shared" ref="AJ27:AK32" si="10">((AJ15++AJ18)-(AG15+AG18))/AG12</f>
        <v>#DIV/0!</v>
      </c>
      <c r="AK27" s="546">
        <f t="shared" si="10"/>
        <v>-6.6666666666666666E-2</v>
      </c>
    </row>
    <row r="28" spans="1:37" s="546" customFormat="1">
      <c r="A28" s="546" t="s">
        <v>211</v>
      </c>
      <c r="B28" s="546" t="s">
        <v>203</v>
      </c>
      <c r="F28" s="546">
        <f t="shared" si="0"/>
        <v>0</v>
      </c>
      <c r="G28" s="546" t="e">
        <f t="shared" si="0"/>
        <v>#DIV/0!</v>
      </c>
      <c r="I28" s="546">
        <f t="shared" si="1"/>
        <v>0</v>
      </c>
      <c r="J28" s="546" t="e">
        <f t="shared" si="1"/>
        <v>#DIV/0!</v>
      </c>
      <c r="L28" s="546">
        <f t="shared" si="2"/>
        <v>0</v>
      </c>
      <c r="M28" s="546" t="e">
        <f t="shared" si="2"/>
        <v>#DIV/0!</v>
      </c>
      <c r="O28" s="546">
        <f t="shared" si="3"/>
        <v>0</v>
      </c>
      <c r="P28" s="546" t="e">
        <f t="shared" si="3"/>
        <v>#DIV/0!</v>
      </c>
      <c r="R28" s="546">
        <f t="shared" si="4"/>
        <v>0</v>
      </c>
      <c r="S28" s="546">
        <f t="shared" si="4"/>
        <v>8.8235294117647065E-2</v>
      </c>
      <c r="U28" s="546">
        <f t="shared" si="5"/>
        <v>0</v>
      </c>
      <c r="V28" s="546">
        <f t="shared" si="5"/>
        <v>3.5714285714285712E-2</v>
      </c>
      <c r="X28" s="546">
        <f t="shared" si="6"/>
        <v>0</v>
      </c>
      <c r="Y28" s="546">
        <f t="shared" si="6"/>
        <v>4.7619047619047616E-2</v>
      </c>
      <c r="AA28" s="546" t="e">
        <f t="shared" si="7"/>
        <v>#DIV/0!</v>
      </c>
      <c r="AB28" s="546">
        <f t="shared" si="7"/>
        <v>1.7094017094017096E-2</v>
      </c>
      <c r="AD28" s="546" t="e">
        <f t="shared" si="8"/>
        <v>#DIV/0!</v>
      </c>
      <c r="AE28" s="546">
        <f t="shared" si="8"/>
        <v>-2.1897810218978103E-2</v>
      </c>
      <c r="AG28" s="546" t="e">
        <f t="shared" si="9"/>
        <v>#DIV/0!</v>
      </c>
      <c r="AH28" s="546">
        <f t="shared" si="9"/>
        <v>-1.8749999999999999E-2</v>
      </c>
      <c r="AJ28" s="546" t="e">
        <f t="shared" si="10"/>
        <v>#DIV/0!</v>
      </c>
      <c r="AK28" s="546">
        <f t="shared" si="10"/>
        <v>-6.6666666666666666E-2</v>
      </c>
    </row>
    <row r="29" spans="1:37" s="546" customFormat="1">
      <c r="A29" s="546" t="s">
        <v>211</v>
      </c>
      <c r="B29" s="546" t="s">
        <v>204</v>
      </c>
      <c r="F29" s="546" t="e">
        <f t="shared" si="0"/>
        <v>#DIV/0!</v>
      </c>
      <c r="G29" s="546" t="e">
        <f t="shared" si="0"/>
        <v>#DIV/0!</v>
      </c>
      <c r="I29" s="546" t="e">
        <f t="shared" si="1"/>
        <v>#DIV/0!</v>
      </c>
      <c r="J29" s="546" t="e">
        <f t="shared" si="1"/>
        <v>#DIV/0!</v>
      </c>
      <c r="L29" s="546" t="e">
        <f t="shared" si="2"/>
        <v>#DIV/0!</v>
      </c>
      <c r="M29" s="546" t="e">
        <f t="shared" si="2"/>
        <v>#DIV/0!</v>
      </c>
      <c r="O29" s="546" t="e">
        <f t="shared" si="3"/>
        <v>#DIV/0!</v>
      </c>
      <c r="P29" s="546" t="e">
        <f t="shared" si="3"/>
        <v>#DIV/0!</v>
      </c>
      <c r="R29" s="546" t="e">
        <f t="shared" si="4"/>
        <v>#DIV/0!</v>
      </c>
      <c r="S29" s="546">
        <f t="shared" si="4"/>
        <v>5.5555555555555552E-2</v>
      </c>
      <c r="U29" s="546">
        <f t="shared" si="5"/>
        <v>0</v>
      </c>
      <c r="V29" s="546">
        <f t="shared" si="5"/>
        <v>1.1379310344827587</v>
      </c>
      <c r="X29" s="546">
        <f t="shared" si="6"/>
        <v>0</v>
      </c>
      <c r="Y29" s="546">
        <f t="shared" si="6"/>
        <v>3.7288135593220341E-2</v>
      </c>
      <c r="AA29" s="546" t="e">
        <f t="shared" si="7"/>
        <v>#DIV/0!</v>
      </c>
      <c r="AB29" s="546">
        <f t="shared" si="7"/>
        <v>2.1951219512195121E-2</v>
      </c>
      <c r="AD29" s="546" t="e">
        <f t="shared" si="8"/>
        <v>#DIV/0!</v>
      </c>
      <c r="AE29" s="546">
        <f t="shared" si="8"/>
        <v>-2.5052192066805846E-2</v>
      </c>
      <c r="AG29" s="546" t="e">
        <f t="shared" si="9"/>
        <v>#DIV/0!</v>
      </c>
      <c r="AH29" s="546">
        <f t="shared" si="9"/>
        <v>-1.9677996422182469E-2</v>
      </c>
      <c r="AJ29" s="546" t="e">
        <f t="shared" si="10"/>
        <v>#DIV/0!</v>
      </c>
      <c r="AK29" s="546">
        <f t="shared" si="10"/>
        <v>-6.4761904761904757E-2</v>
      </c>
    </row>
    <row r="30" spans="1:37" s="546" customFormat="1">
      <c r="A30" s="546" t="s">
        <v>212</v>
      </c>
      <c r="B30" s="546" t="s">
        <v>202</v>
      </c>
      <c r="F30" s="546" t="e">
        <f t="shared" si="0"/>
        <v>#DIV/0!</v>
      </c>
      <c r="G30" s="546" t="e">
        <f t="shared" si="0"/>
        <v>#DIV/0!</v>
      </c>
      <c r="I30" s="546" t="e">
        <f t="shared" si="1"/>
        <v>#DIV/0!</v>
      </c>
      <c r="J30" s="546" t="e">
        <f t="shared" si="1"/>
        <v>#DIV/0!</v>
      </c>
      <c r="L30" s="546" t="e">
        <f t="shared" si="2"/>
        <v>#DIV/0!</v>
      </c>
      <c r="M30" s="546" t="e">
        <f t="shared" si="2"/>
        <v>#DIV/0!</v>
      </c>
      <c r="O30" s="546" t="e">
        <f t="shared" si="3"/>
        <v>#DIV/0!</v>
      </c>
      <c r="P30" s="546">
        <f t="shared" si="3"/>
        <v>0.48</v>
      </c>
      <c r="R30" s="546">
        <f t="shared" si="4"/>
        <v>0</v>
      </c>
      <c r="S30" s="546">
        <f t="shared" si="4"/>
        <v>0.4</v>
      </c>
      <c r="U30" s="546">
        <f t="shared" si="5"/>
        <v>0</v>
      </c>
      <c r="V30" s="546">
        <f t="shared" si="5"/>
        <v>-0.31818181818181818</v>
      </c>
      <c r="X30" s="546">
        <f t="shared" si="6"/>
        <v>0</v>
      </c>
      <c r="Y30" s="546">
        <f t="shared" si="6"/>
        <v>0</v>
      </c>
      <c r="AA30" s="546" t="e">
        <f t="shared" si="7"/>
        <v>#DIV/0!</v>
      </c>
      <c r="AB30" s="546">
        <f t="shared" si="7"/>
        <v>0.16666666666666666</v>
      </c>
      <c r="AD30" s="546" t="e">
        <f t="shared" si="8"/>
        <v>#DIV/0!</v>
      </c>
      <c r="AE30" s="546">
        <f t="shared" si="8"/>
        <v>0.16666666666666666</v>
      </c>
      <c r="AG30" s="546" t="e">
        <f t="shared" si="9"/>
        <v>#DIV/0!</v>
      </c>
      <c r="AH30" s="546">
        <f t="shared" si="9"/>
        <v>-0.2</v>
      </c>
      <c r="AJ30" s="546" t="e">
        <f t="shared" si="10"/>
        <v>#DIV/0!</v>
      </c>
      <c r="AK30" s="546">
        <f t="shared" si="10"/>
        <v>-0.8</v>
      </c>
    </row>
    <row r="31" spans="1:37" s="546" customFormat="1">
      <c r="A31" s="546" t="s">
        <v>212</v>
      </c>
      <c r="B31" s="546" t="s">
        <v>203</v>
      </c>
      <c r="F31" s="546" t="e">
        <f t="shared" si="0"/>
        <v>#DIV/0!</v>
      </c>
      <c r="G31" s="546" t="e">
        <f t="shared" si="0"/>
        <v>#DIV/0!</v>
      </c>
      <c r="I31" s="546" t="e">
        <f t="shared" si="1"/>
        <v>#DIV/0!</v>
      </c>
      <c r="J31" s="546" t="e">
        <f t="shared" si="1"/>
        <v>#DIV/0!</v>
      </c>
      <c r="L31" s="546" t="e">
        <f t="shared" si="2"/>
        <v>#DIV/0!</v>
      </c>
      <c r="M31" s="546" t="e">
        <f t="shared" si="2"/>
        <v>#DIV/0!</v>
      </c>
      <c r="O31" s="546" t="e">
        <f t="shared" si="3"/>
        <v>#DIV/0!</v>
      </c>
      <c r="P31" s="546" t="e">
        <f t="shared" si="3"/>
        <v>#DIV/0!</v>
      </c>
      <c r="R31" s="546" t="e">
        <f t="shared" si="4"/>
        <v>#DIV/0!</v>
      </c>
      <c r="S31" s="546">
        <f t="shared" si="4"/>
        <v>0.5</v>
      </c>
      <c r="U31" s="546" t="e">
        <f t="shared" si="5"/>
        <v>#DIV/0!</v>
      </c>
      <c r="V31" s="546">
        <f t="shared" si="5"/>
        <v>0</v>
      </c>
      <c r="X31" s="546" t="e">
        <f t="shared" si="6"/>
        <v>#DIV/0!</v>
      </c>
      <c r="Y31" s="546">
        <f t="shared" si="6"/>
        <v>0.125</v>
      </c>
      <c r="AA31" s="546" t="e">
        <f t="shared" si="7"/>
        <v>#DIV/0!</v>
      </c>
      <c r="AB31" s="546">
        <f t="shared" si="7"/>
        <v>9.0909090909090912E-2</v>
      </c>
      <c r="AD31" s="546" t="e">
        <f t="shared" si="8"/>
        <v>#DIV/0!</v>
      </c>
      <c r="AE31" s="546">
        <f t="shared" si="8"/>
        <v>7.6923076923076927E-2</v>
      </c>
      <c r="AG31" s="546" t="e">
        <f t="shared" si="9"/>
        <v>#DIV/0!</v>
      </c>
      <c r="AH31" s="546">
        <f t="shared" si="9"/>
        <v>-0.2</v>
      </c>
      <c r="AJ31" s="546" t="e">
        <f t="shared" si="10"/>
        <v>#DIV/0!</v>
      </c>
      <c r="AK31" s="546">
        <f t="shared" si="10"/>
        <v>-0.4</v>
      </c>
    </row>
    <row r="32" spans="1:37" s="546" customFormat="1">
      <c r="A32" s="546" t="s">
        <v>212</v>
      </c>
      <c r="B32" s="546" t="s">
        <v>204</v>
      </c>
      <c r="F32" s="546" t="e">
        <f t="shared" si="0"/>
        <v>#DIV/0!</v>
      </c>
      <c r="G32" s="546" t="e">
        <f t="shared" si="0"/>
        <v>#DIV/0!</v>
      </c>
      <c r="I32" s="546" t="e">
        <f t="shared" si="1"/>
        <v>#DIV/0!</v>
      </c>
      <c r="J32" s="546" t="e">
        <f t="shared" si="1"/>
        <v>#DIV/0!</v>
      </c>
      <c r="L32" s="546" t="e">
        <f t="shared" si="2"/>
        <v>#DIV/0!</v>
      </c>
      <c r="M32" s="546" t="e">
        <f t="shared" si="2"/>
        <v>#DIV/0!</v>
      </c>
      <c r="O32" s="546" t="e">
        <f t="shared" si="3"/>
        <v>#DIV/0!</v>
      </c>
      <c r="P32" s="546" t="e">
        <f t="shared" si="3"/>
        <v>#DIV/0!</v>
      </c>
      <c r="R32" s="546" t="e">
        <f t="shared" si="4"/>
        <v>#DIV/0!</v>
      </c>
      <c r="S32" s="546">
        <f t="shared" si="4"/>
        <v>0.66666666666666663</v>
      </c>
      <c r="U32" s="546" t="e">
        <f t="shared" si="5"/>
        <v>#DIV/0!</v>
      </c>
      <c r="V32" s="546">
        <f t="shared" si="5"/>
        <v>2.6666666666666665</v>
      </c>
      <c r="X32" s="546" t="e">
        <f t="shared" si="6"/>
        <v>#DIV/0!</v>
      </c>
      <c r="Y32" s="546">
        <f t="shared" si="6"/>
        <v>0.10344827586206896</v>
      </c>
      <c r="AA32" s="546" t="e">
        <f t="shared" si="7"/>
        <v>#DIV/0!</v>
      </c>
      <c r="AB32" s="546">
        <f t="shared" si="7"/>
        <v>2.6315789473684209E-2</v>
      </c>
      <c r="AD32" s="546" t="e">
        <f t="shared" si="8"/>
        <v>#DIV/0!</v>
      </c>
      <c r="AE32" s="546">
        <f t="shared" si="8"/>
        <v>0</v>
      </c>
      <c r="AG32" s="546" t="e">
        <f t="shared" si="9"/>
        <v>#DIV/0!</v>
      </c>
      <c r="AH32" s="546">
        <f t="shared" si="9"/>
        <v>-0.29411764705882354</v>
      </c>
      <c r="AJ32" s="546" t="e">
        <f t="shared" si="10"/>
        <v>#DIV/0!</v>
      </c>
      <c r="AK32" s="546">
        <f t="shared" si="10"/>
        <v>-0.11764705882352941</v>
      </c>
    </row>
    <row r="34" spans="1:1" s="551" customFormat="1">
      <c r="A34" s="552" t="s">
        <v>213</v>
      </c>
    </row>
    <row r="55" spans="1:1" s="551" customFormat="1">
      <c r="A55" s="552" t="s">
        <v>214</v>
      </c>
    </row>
    <row r="95" spans="2:2" s="604" customFormat="1"/>
    <row r="96" spans="2:2">
      <c r="B96" s="544" t="s">
        <v>215</v>
      </c>
    </row>
    <row r="97" spans="1:37" s="604" customFormat="1"/>
    <row r="100" spans="1:37">
      <c r="C100" s="544" t="s">
        <v>188</v>
      </c>
      <c r="E100" s="544" t="s">
        <v>189</v>
      </c>
      <c r="F100" s="544" t="s">
        <v>190</v>
      </c>
      <c r="H100" s="544" t="s">
        <v>189</v>
      </c>
      <c r="I100" s="544" t="s">
        <v>191</v>
      </c>
      <c r="K100" s="544" t="s">
        <v>189</v>
      </c>
      <c r="L100" s="544" t="s">
        <v>192</v>
      </c>
      <c r="N100" s="544" t="s">
        <v>189</v>
      </c>
      <c r="O100" s="544" t="s">
        <v>193</v>
      </c>
      <c r="Q100" s="544" t="s">
        <v>189</v>
      </c>
      <c r="R100" s="544" t="s">
        <v>194</v>
      </c>
      <c r="T100" s="544" t="s">
        <v>189</v>
      </c>
      <c r="U100" s="544" t="s">
        <v>195</v>
      </c>
      <c r="W100" s="544" t="s">
        <v>189</v>
      </c>
      <c r="X100" s="544" t="s">
        <v>196</v>
      </c>
      <c r="Z100" s="544" t="s">
        <v>189</v>
      </c>
      <c r="AA100" s="544" t="s">
        <v>197</v>
      </c>
      <c r="AC100" s="544" t="s">
        <v>189</v>
      </c>
      <c r="AD100" s="544" t="s">
        <v>198</v>
      </c>
      <c r="AF100" s="544" t="s">
        <v>189</v>
      </c>
      <c r="AG100" s="544" t="s">
        <v>199</v>
      </c>
      <c r="AI100" s="544" t="s">
        <v>189</v>
      </c>
      <c r="AJ100" s="544" t="s">
        <v>200</v>
      </c>
    </row>
    <row r="101" spans="1:37">
      <c r="C101" s="544" t="s">
        <v>142</v>
      </c>
      <c r="D101" s="544" t="s">
        <v>216</v>
      </c>
      <c r="F101" s="544" t="s">
        <v>142</v>
      </c>
      <c r="G101" s="544" t="s">
        <v>216</v>
      </c>
      <c r="I101" s="544" t="s">
        <v>142</v>
      </c>
      <c r="J101" s="544" t="s">
        <v>216</v>
      </c>
      <c r="L101" s="544" t="s">
        <v>142</v>
      </c>
      <c r="M101" s="544" t="s">
        <v>216</v>
      </c>
      <c r="O101" s="544" t="s">
        <v>142</v>
      </c>
      <c r="P101" s="544" t="s">
        <v>216</v>
      </c>
      <c r="R101" s="544" t="s">
        <v>142</v>
      </c>
      <c r="S101" s="544" t="s">
        <v>216</v>
      </c>
      <c r="U101" s="544" t="s">
        <v>142</v>
      </c>
      <c r="V101" s="544" t="s">
        <v>216</v>
      </c>
      <c r="X101" s="544" t="s">
        <v>142</v>
      </c>
      <c r="Y101" s="544" t="s">
        <v>216</v>
      </c>
      <c r="AA101" s="544" t="s">
        <v>142</v>
      </c>
      <c r="AB101" s="544" t="s">
        <v>216</v>
      </c>
      <c r="AD101" s="544" t="s">
        <v>142</v>
      </c>
      <c r="AE101" s="544" t="s">
        <v>216</v>
      </c>
      <c r="AG101" s="544" t="s">
        <v>142</v>
      </c>
      <c r="AH101" s="544" t="s">
        <v>216</v>
      </c>
      <c r="AJ101" s="544" t="s">
        <v>142</v>
      </c>
      <c r="AK101" s="544" t="s">
        <v>216</v>
      </c>
    </row>
    <row r="102" spans="1:37" ht="13.5" customHeight="1">
      <c r="A102" s="544" t="s">
        <v>201</v>
      </c>
      <c r="B102" s="544" t="s">
        <v>202</v>
      </c>
      <c r="C102" s="593">
        <v>0</v>
      </c>
      <c r="D102" s="593"/>
      <c r="E102" s="593"/>
      <c r="F102" s="593">
        <v>0</v>
      </c>
      <c r="G102" s="593"/>
      <c r="H102" s="593"/>
      <c r="I102" s="593">
        <v>3</v>
      </c>
      <c r="J102" s="593" t="s">
        <v>217</v>
      </c>
      <c r="K102" s="593"/>
      <c r="L102" s="593">
        <v>2</v>
      </c>
      <c r="M102" s="593" t="s">
        <v>218</v>
      </c>
      <c r="N102" s="593"/>
      <c r="O102" s="593">
        <v>6</v>
      </c>
      <c r="P102" s="593" t="s">
        <v>219</v>
      </c>
      <c r="Q102" s="593"/>
      <c r="R102" s="593">
        <v>2</v>
      </c>
      <c r="S102" s="600" t="s">
        <v>220</v>
      </c>
      <c r="T102" s="593"/>
      <c r="U102" s="593">
        <v>1</v>
      </c>
      <c r="V102" s="593" t="s">
        <v>221</v>
      </c>
      <c r="W102" s="593"/>
      <c r="X102" s="593">
        <v>0</v>
      </c>
      <c r="Y102" s="593"/>
      <c r="Z102" s="593"/>
      <c r="AA102" s="593">
        <v>0</v>
      </c>
      <c r="AB102" s="593"/>
      <c r="AC102" s="593"/>
      <c r="AD102" s="593">
        <v>0</v>
      </c>
      <c r="AE102" s="593"/>
      <c r="AF102" s="593"/>
      <c r="AG102" s="593">
        <v>0</v>
      </c>
      <c r="AH102" s="593"/>
      <c r="AI102" s="593"/>
      <c r="AJ102" s="593">
        <v>0</v>
      </c>
      <c r="AK102" s="593"/>
    </row>
    <row r="103" spans="1:37">
      <c r="A103" s="544" t="s">
        <v>201</v>
      </c>
      <c r="B103" s="544" t="s">
        <v>203</v>
      </c>
      <c r="C103" s="593">
        <v>2</v>
      </c>
      <c r="D103" s="593" t="s">
        <v>222</v>
      </c>
      <c r="E103" s="593"/>
      <c r="F103" s="593">
        <v>2</v>
      </c>
      <c r="G103" s="593" t="s">
        <v>223</v>
      </c>
      <c r="H103" s="593"/>
      <c r="I103" s="593">
        <v>1</v>
      </c>
      <c r="J103" s="593" t="s">
        <v>224</v>
      </c>
      <c r="K103" s="593"/>
      <c r="L103" s="593">
        <v>0</v>
      </c>
      <c r="M103" s="593"/>
      <c r="N103" s="593"/>
      <c r="O103" s="593">
        <v>0</v>
      </c>
      <c r="P103" s="593"/>
      <c r="Q103" s="593"/>
      <c r="R103" s="593">
        <v>0</v>
      </c>
      <c r="S103" s="593"/>
      <c r="T103" s="593"/>
      <c r="U103" s="593">
        <v>0</v>
      </c>
      <c r="V103" s="593"/>
      <c r="W103" s="593"/>
      <c r="X103" s="593">
        <v>0</v>
      </c>
      <c r="Y103" s="593"/>
      <c r="Z103" s="593"/>
      <c r="AA103" s="593">
        <v>0</v>
      </c>
      <c r="AB103" s="593"/>
      <c r="AC103" s="593"/>
      <c r="AD103" s="593">
        <v>0</v>
      </c>
      <c r="AE103" s="593"/>
      <c r="AF103" s="593"/>
      <c r="AG103" s="593">
        <v>0</v>
      </c>
      <c r="AH103" s="593"/>
      <c r="AI103" s="593"/>
      <c r="AJ103" s="593">
        <v>0</v>
      </c>
      <c r="AK103" s="593"/>
    </row>
    <row r="104" spans="1:37">
      <c r="A104" s="544" t="s">
        <v>201</v>
      </c>
      <c r="B104" s="544" t="s">
        <v>204</v>
      </c>
      <c r="C104" s="593">
        <v>0</v>
      </c>
      <c r="D104" s="593"/>
      <c r="E104" s="593"/>
      <c r="F104" s="593">
        <v>0</v>
      </c>
      <c r="G104" s="593"/>
      <c r="H104" s="593"/>
      <c r="I104" s="593">
        <v>0</v>
      </c>
      <c r="J104" s="593"/>
      <c r="K104" s="593"/>
      <c r="L104" s="593">
        <v>0</v>
      </c>
      <c r="M104" s="593"/>
      <c r="N104" s="593"/>
      <c r="O104" s="593">
        <v>1</v>
      </c>
      <c r="P104" s="593" t="s">
        <v>225</v>
      </c>
      <c r="Q104" s="593"/>
      <c r="R104" s="593">
        <v>1</v>
      </c>
      <c r="S104" s="593"/>
      <c r="T104" s="593"/>
      <c r="U104" s="593">
        <v>0</v>
      </c>
      <c r="V104" s="593"/>
      <c r="W104" s="593"/>
      <c r="X104" s="593">
        <v>0</v>
      </c>
      <c r="Y104" s="593"/>
      <c r="Z104" s="593"/>
      <c r="AA104" s="593">
        <v>0</v>
      </c>
      <c r="AB104" s="593"/>
      <c r="AC104" s="593"/>
      <c r="AD104" s="593">
        <v>0</v>
      </c>
      <c r="AE104" s="593"/>
      <c r="AF104" s="593"/>
      <c r="AG104" s="593">
        <v>0</v>
      </c>
      <c r="AH104" s="593"/>
      <c r="AI104" s="593"/>
      <c r="AJ104" s="593">
        <v>0</v>
      </c>
      <c r="AK104" s="593"/>
    </row>
    <row r="105" spans="1:37">
      <c r="A105" s="544" t="s">
        <v>205</v>
      </c>
      <c r="B105" s="544" t="s">
        <v>206</v>
      </c>
      <c r="C105" s="593">
        <v>0</v>
      </c>
      <c r="D105" s="593"/>
      <c r="E105" s="593"/>
      <c r="F105" s="593">
        <v>0</v>
      </c>
      <c r="G105" s="593"/>
      <c r="H105" s="593"/>
      <c r="I105" s="593">
        <v>3</v>
      </c>
      <c r="J105" s="593" t="s">
        <v>217</v>
      </c>
      <c r="K105" s="593"/>
      <c r="L105" s="593">
        <v>3</v>
      </c>
      <c r="M105" s="593" t="s">
        <v>226</v>
      </c>
      <c r="N105" s="593"/>
      <c r="O105" s="593">
        <v>3</v>
      </c>
      <c r="P105" s="593" t="s">
        <v>226</v>
      </c>
      <c r="Q105" s="593"/>
      <c r="R105" s="593">
        <v>3</v>
      </c>
      <c r="S105" s="593" t="s">
        <v>226</v>
      </c>
      <c r="T105" s="593"/>
      <c r="U105" s="593">
        <v>3</v>
      </c>
      <c r="V105" s="593" t="s">
        <v>226</v>
      </c>
      <c r="W105" s="593"/>
      <c r="X105" s="593">
        <v>0</v>
      </c>
      <c r="Y105" s="593"/>
      <c r="Z105" s="593"/>
      <c r="AA105" s="593">
        <v>0</v>
      </c>
      <c r="AB105" s="593"/>
      <c r="AC105" s="593"/>
      <c r="AD105" s="593">
        <v>0</v>
      </c>
      <c r="AE105" s="593"/>
      <c r="AF105" s="593"/>
      <c r="AG105" s="593">
        <v>0</v>
      </c>
      <c r="AH105" s="593"/>
      <c r="AI105" s="593"/>
      <c r="AJ105" s="593">
        <v>0</v>
      </c>
      <c r="AK105" s="593"/>
    </row>
    <row r="106" spans="1:37">
      <c r="A106" s="544" t="s">
        <v>205</v>
      </c>
      <c r="B106" s="544" t="s">
        <v>203</v>
      </c>
      <c r="C106" s="593">
        <v>1</v>
      </c>
      <c r="D106" s="593" t="s">
        <v>227</v>
      </c>
      <c r="E106" s="593"/>
      <c r="F106" s="593">
        <v>1</v>
      </c>
      <c r="G106" s="593" t="s">
        <v>227</v>
      </c>
      <c r="H106" s="593"/>
      <c r="I106" s="593">
        <v>0</v>
      </c>
      <c r="J106" s="593"/>
      <c r="K106" s="593"/>
      <c r="L106" s="593">
        <v>0</v>
      </c>
      <c r="M106" s="593"/>
      <c r="N106" s="593"/>
      <c r="O106" s="593">
        <v>0</v>
      </c>
      <c r="P106" s="593"/>
      <c r="Q106" s="593"/>
      <c r="R106" s="593">
        <v>0</v>
      </c>
      <c r="T106" s="593"/>
      <c r="U106" s="593">
        <v>0</v>
      </c>
      <c r="V106" s="599"/>
      <c r="W106" s="593"/>
      <c r="X106" s="593">
        <v>0</v>
      </c>
      <c r="Y106" s="593"/>
      <c r="Z106" s="593"/>
      <c r="AA106" s="593">
        <v>0</v>
      </c>
      <c r="AB106" s="593"/>
      <c r="AC106" s="593"/>
      <c r="AD106" s="593">
        <v>0</v>
      </c>
      <c r="AE106" s="593"/>
      <c r="AF106" s="593"/>
      <c r="AG106" s="593">
        <v>0</v>
      </c>
      <c r="AH106" s="593"/>
      <c r="AI106" s="593"/>
      <c r="AJ106" s="593">
        <v>0</v>
      </c>
      <c r="AK106" s="593"/>
    </row>
    <row r="107" spans="1:37">
      <c r="A107" s="544" t="s">
        <v>205</v>
      </c>
      <c r="B107" s="544" t="s">
        <v>207</v>
      </c>
      <c r="C107" s="593">
        <v>0</v>
      </c>
      <c r="D107" s="593"/>
      <c r="E107" s="593"/>
      <c r="F107" s="593">
        <v>0</v>
      </c>
      <c r="G107" s="593"/>
      <c r="H107" s="593"/>
      <c r="I107" s="593">
        <v>0</v>
      </c>
      <c r="J107" s="593"/>
      <c r="K107" s="593"/>
      <c r="L107" s="593">
        <v>0</v>
      </c>
      <c r="M107" s="593"/>
      <c r="N107" s="593"/>
      <c r="O107" s="593">
        <v>1</v>
      </c>
      <c r="P107" s="593" t="s">
        <v>225</v>
      </c>
      <c r="Q107" s="593"/>
      <c r="R107" s="593">
        <v>0</v>
      </c>
      <c r="S107" s="593"/>
      <c r="T107" s="593"/>
      <c r="U107" s="593">
        <v>1</v>
      </c>
      <c r="V107" s="593" t="s">
        <v>221</v>
      </c>
      <c r="W107" s="593"/>
      <c r="X107" s="593">
        <v>0</v>
      </c>
      <c r="Y107" s="593"/>
      <c r="Z107" s="593"/>
      <c r="AA107" s="593">
        <v>0</v>
      </c>
      <c r="AB107" s="593"/>
      <c r="AC107" s="593"/>
      <c r="AD107" s="593">
        <v>0</v>
      </c>
      <c r="AE107" s="593"/>
      <c r="AF107" s="593"/>
      <c r="AG107" s="593">
        <v>0</v>
      </c>
      <c r="AH107" s="593"/>
      <c r="AI107" s="593"/>
      <c r="AJ107" s="593">
        <v>0</v>
      </c>
      <c r="AK107" s="593"/>
    </row>
    <row r="108" spans="1:37">
      <c r="A108" s="544" t="s">
        <v>208</v>
      </c>
      <c r="B108" s="544" t="s">
        <v>206</v>
      </c>
      <c r="C108" s="593">
        <v>0</v>
      </c>
      <c r="D108" s="593"/>
      <c r="E108" s="593"/>
      <c r="F108" s="593">
        <v>0</v>
      </c>
      <c r="G108" s="593"/>
      <c r="H108" s="593"/>
      <c r="I108" s="593">
        <v>0</v>
      </c>
      <c r="J108" s="593"/>
      <c r="K108" s="593"/>
      <c r="L108" s="593">
        <v>1</v>
      </c>
      <c r="M108" s="593" t="s">
        <v>228</v>
      </c>
      <c r="N108" s="593"/>
      <c r="O108" s="593">
        <v>0</v>
      </c>
      <c r="P108" s="593"/>
      <c r="Q108" s="593"/>
      <c r="R108" s="593">
        <v>0</v>
      </c>
      <c r="S108" s="593"/>
      <c r="T108" s="593"/>
      <c r="U108" s="593">
        <v>0</v>
      </c>
      <c r="V108" s="593"/>
      <c r="W108" s="593"/>
      <c r="X108" s="593">
        <v>0</v>
      </c>
      <c r="Y108" s="593"/>
      <c r="Z108" s="593"/>
      <c r="AA108" s="593">
        <v>0</v>
      </c>
      <c r="AB108" s="593"/>
      <c r="AC108" s="593"/>
      <c r="AD108" s="593">
        <v>0</v>
      </c>
      <c r="AE108" s="593"/>
      <c r="AF108" s="593"/>
      <c r="AG108" s="593">
        <v>0</v>
      </c>
      <c r="AH108" s="593"/>
      <c r="AI108" s="593"/>
      <c r="AJ108" s="593">
        <v>0</v>
      </c>
      <c r="AK108" s="593"/>
    </row>
    <row r="109" spans="1:37">
      <c r="A109" s="544" t="s">
        <v>208</v>
      </c>
      <c r="B109" s="544" t="s">
        <v>203</v>
      </c>
      <c r="C109" s="593">
        <v>0</v>
      </c>
      <c r="D109" s="593"/>
      <c r="E109" s="593"/>
      <c r="F109" s="593">
        <v>0</v>
      </c>
      <c r="G109" s="593"/>
      <c r="H109" s="593"/>
      <c r="I109" s="593">
        <v>1</v>
      </c>
      <c r="J109" s="593" t="s">
        <v>227</v>
      </c>
      <c r="K109" s="593"/>
      <c r="L109" s="593">
        <v>1</v>
      </c>
      <c r="M109" s="593" t="s">
        <v>227</v>
      </c>
      <c r="N109" s="593"/>
      <c r="O109" s="593">
        <v>1</v>
      </c>
      <c r="P109" s="593" t="s">
        <v>227</v>
      </c>
      <c r="Q109" s="593"/>
      <c r="R109" s="593">
        <v>1</v>
      </c>
      <c r="S109" s="593" t="s">
        <v>227</v>
      </c>
      <c r="T109" s="593"/>
      <c r="U109" s="593">
        <v>1</v>
      </c>
      <c r="V109" s="593" t="s">
        <v>227</v>
      </c>
      <c r="W109" s="593"/>
      <c r="X109" s="593">
        <v>0</v>
      </c>
      <c r="Y109" s="593"/>
      <c r="Z109" s="593"/>
      <c r="AA109" s="593">
        <v>0</v>
      </c>
      <c r="AB109" s="593"/>
      <c r="AC109" s="593"/>
      <c r="AD109" s="593">
        <v>0</v>
      </c>
      <c r="AE109" s="593"/>
      <c r="AF109" s="593"/>
      <c r="AG109" s="593">
        <v>0</v>
      </c>
      <c r="AH109" s="593"/>
      <c r="AI109" s="593"/>
      <c r="AJ109" s="593">
        <v>0</v>
      </c>
      <c r="AK109" s="593"/>
    </row>
    <row r="110" spans="1:37">
      <c r="A110" s="544" t="s">
        <v>208</v>
      </c>
      <c r="B110" s="544" t="s">
        <v>207</v>
      </c>
      <c r="C110" s="593">
        <v>0</v>
      </c>
      <c r="D110" s="593"/>
      <c r="E110" s="593"/>
      <c r="F110" s="593">
        <v>0</v>
      </c>
      <c r="G110" s="593"/>
      <c r="H110" s="593"/>
      <c r="I110" s="593">
        <v>0</v>
      </c>
      <c r="J110" s="593"/>
      <c r="K110" s="593"/>
      <c r="L110" s="593">
        <v>0</v>
      </c>
      <c r="M110" s="593"/>
      <c r="N110" s="593"/>
      <c r="O110" s="593">
        <v>0</v>
      </c>
      <c r="P110" s="593"/>
      <c r="Q110" s="593"/>
      <c r="R110" s="593">
        <v>0</v>
      </c>
      <c r="S110" s="593"/>
      <c r="T110" s="593"/>
      <c r="U110" s="593">
        <v>0</v>
      </c>
      <c r="V110" s="593"/>
      <c r="W110" s="593"/>
      <c r="X110" s="593">
        <v>0</v>
      </c>
      <c r="Y110" s="593"/>
      <c r="Z110" s="593"/>
      <c r="AA110" s="593">
        <v>0</v>
      </c>
      <c r="AB110" s="593"/>
      <c r="AC110" s="593"/>
      <c r="AD110" s="593">
        <v>0</v>
      </c>
      <c r="AE110" s="593"/>
      <c r="AF110" s="593"/>
      <c r="AG110" s="593">
        <v>0</v>
      </c>
      <c r="AH110" s="593"/>
      <c r="AI110" s="593"/>
      <c r="AJ110" s="593">
        <v>0</v>
      </c>
      <c r="AK110" s="593"/>
    </row>
    <row r="111" spans="1:37">
      <c r="A111" s="544" t="s">
        <v>166</v>
      </c>
      <c r="B111" s="544" t="s">
        <v>206</v>
      </c>
      <c r="C111" s="593">
        <v>0</v>
      </c>
      <c r="D111" s="593"/>
      <c r="E111" s="593"/>
      <c r="F111" s="593">
        <v>0</v>
      </c>
      <c r="G111" s="593"/>
      <c r="H111" s="593"/>
      <c r="I111" s="593">
        <v>0</v>
      </c>
      <c r="J111" s="593"/>
      <c r="K111" s="593"/>
      <c r="L111" s="593">
        <v>1</v>
      </c>
      <c r="M111" s="593" t="s">
        <v>229</v>
      </c>
      <c r="N111" s="593"/>
      <c r="O111" s="593">
        <v>2</v>
      </c>
      <c r="P111" s="593" t="s">
        <v>230</v>
      </c>
      <c r="Q111" s="593"/>
      <c r="R111" s="593">
        <v>1</v>
      </c>
      <c r="S111" s="593" t="s">
        <v>231</v>
      </c>
      <c r="T111" s="593"/>
      <c r="U111" s="593">
        <v>1</v>
      </c>
      <c r="V111" s="593" t="s">
        <v>231</v>
      </c>
      <c r="W111" s="593"/>
      <c r="X111" s="593">
        <v>0</v>
      </c>
      <c r="Y111" s="593"/>
      <c r="Z111" s="593"/>
      <c r="AA111" s="593">
        <v>0</v>
      </c>
      <c r="AB111" s="593"/>
      <c r="AC111" s="593"/>
      <c r="AD111" s="593">
        <v>0</v>
      </c>
      <c r="AE111" s="593"/>
      <c r="AF111" s="593"/>
      <c r="AG111" s="593">
        <v>0</v>
      </c>
      <c r="AH111" s="593"/>
      <c r="AI111" s="593"/>
      <c r="AJ111" s="593">
        <v>0</v>
      </c>
      <c r="AK111" s="593"/>
    </row>
    <row r="112" spans="1:37">
      <c r="A112" s="544" t="s">
        <v>166</v>
      </c>
      <c r="B112" s="544" t="s">
        <v>203</v>
      </c>
      <c r="C112" s="593">
        <v>1</v>
      </c>
      <c r="D112" s="593" t="s">
        <v>232</v>
      </c>
      <c r="E112" s="593"/>
      <c r="F112" s="593">
        <v>3</v>
      </c>
      <c r="G112" s="593" t="s">
        <v>233</v>
      </c>
      <c r="H112" s="593"/>
      <c r="I112" s="593">
        <v>3</v>
      </c>
      <c r="J112" s="593" t="s">
        <v>233</v>
      </c>
      <c r="K112" s="593"/>
      <c r="L112" s="593">
        <v>3</v>
      </c>
      <c r="M112" s="593" t="s">
        <v>233</v>
      </c>
      <c r="N112" s="593"/>
      <c r="O112" s="593">
        <v>3</v>
      </c>
      <c r="P112" s="593" t="s">
        <v>233</v>
      </c>
      <c r="Q112" s="593"/>
      <c r="R112" s="593">
        <v>3</v>
      </c>
      <c r="S112" s="593" t="s">
        <v>233</v>
      </c>
      <c r="T112" s="593"/>
      <c r="U112" s="593">
        <v>4</v>
      </c>
      <c r="V112" s="593" t="s">
        <v>234</v>
      </c>
      <c r="W112" s="593"/>
      <c r="X112" s="593">
        <v>0</v>
      </c>
      <c r="Y112" s="593"/>
      <c r="Z112" s="593"/>
      <c r="AA112" s="593">
        <v>0</v>
      </c>
      <c r="AB112" s="593"/>
      <c r="AC112" s="593"/>
      <c r="AD112" s="593">
        <v>0</v>
      </c>
      <c r="AE112" s="593"/>
      <c r="AF112" s="593"/>
      <c r="AG112" s="593">
        <v>0</v>
      </c>
      <c r="AH112" s="593"/>
      <c r="AI112" s="593"/>
      <c r="AJ112" s="593">
        <v>0</v>
      </c>
      <c r="AK112" s="593"/>
    </row>
    <row r="113" spans="1:37">
      <c r="A113" s="544" t="s">
        <v>166</v>
      </c>
      <c r="B113" s="544" t="s">
        <v>207</v>
      </c>
      <c r="C113" s="593">
        <v>0</v>
      </c>
      <c r="D113" s="593"/>
      <c r="E113" s="593"/>
      <c r="F113" s="593">
        <v>0</v>
      </c>
      <c r="G113" s="593"/>
      <c r="H113" s="593"/>
      <c r="I113" s="593">
        <v>0</v>
      </c>
      <c r="J113" s="593"/>
      <c r="K113" s="593"/>
      <c r="L113" s="593">
        <v>0</v>
      </c>
      <c r="M113" s="593"/>
      <c r="N113" s="593"/>
      <c r="O113" s="593">
        <v>0</v>
      </c>
      <c r="P113" s="593"/>
      <c r="Q113" s="593"/>
      <c r="R113" s="593">
        <v>1</v>
      </c>
      <c r="S113" s="593" t="s">
        <v>225</v>
      </c>
      <c r="T113" s="593"/>
      <c r="U113" s="593">
        <v>1</v>
      </c>
      <c r="V113" s="593" t="s">
        <v>225</v>
      </c>
      <c r="W113" s="593"/>
      <c r="X113" s="593">
        <v>0</v>
      </c>
      <c r="Y113" s="593"/>
      <c r="Z113" s="593"/>
      <c r="AA113" s="593">
        <v>0</v>
      </c>
      <c r="AB113" s="593"/>
      <c r="AC113" s="593"/>
      <c r="AD113" s="593">
        <v>0</v>
      </c>
      <c r="AE113" s="593"/>
      <c r="AF113" s="593"/>
      <c r="AG113" s="593">
        <v>0</v>
      </c>
      <c r="AH113" s="593"/>
      <c r="AI113" s="593"/>
      <c r="AJ113" s="593">
        <v>0</v>
      </c>
      <c r="AK113" s="593"/>
    </row>
    <row r="114" spans="1:37">
      <c r="A114" s="544" t="s">
        <v>209</v>
      </c>
      <c r="B114" s="544" t="s">
        <v>206</v>
      </c>
      <c r="C114" s="593">
        <v>0</v>
      </c>
      <c r="D114" s="593"/>
      <c r="E114" s="593"/>
      <c r="F114" s="593">
        <v>0</v>
      </c>
      <c r="G114" s="593"/>
      <c r="H114" s="593"/>
      <c r="I114" s="593">
        <v>0</v>
      </c>
      <c r="J114" s="593"/>
      <c r="K114" s="593"/>
      <c r="L114" s="593">
        <v>0</v>
      </c>
      <c r="M114" s="593"/>
      <c r="N114" s="593"/>
      <c r="O114" s="593">
        <v>1</v>
      </c>
      <c r="P114" s="593" t="s">
        <v>235</v>
      </c>
      <c r="Q114" s="593"/>
      <c r="R114" s="593">
        <v>3</v>
      </c>
      <c r="S114" s="593" t="s">
        <v>236</v>
      </c>
      <c r="T114" s="593"/>
      <c r="U114" s="593">
        <v>3</v>
      </c>
      <c r="V114" s="593" t="s">
        <v>236</v>
      </c>
      <c r="W114" s="593"/>
      <c r="X114" s="593">
        <v>0</v>
      </c>
      <c r="Y114" s="593"/>
      <c r="Z114" s="593"/>
      <c r="AA114" s="593">
        <v>0</v>
      </c>
      <c r="AB114" s="593"/>
      <c r="AC114" s="593"/>
      <c r="AD114" s="593">
        <v>0</v>
      </c>
      <c r="AE114" s="593"/>
      <c r="AF114" s="593"/>
      <c r="AG114" s="593">
        <v>0</v>
      </c>
      <c r="AH114" s="593"/>
      <c r="AI114" s="593"/>
      <c r="AJ114" s="593">
        <v>0</v>
      </c>
      <c r="AK114" s="593"/>
    </row>
    <row r="115" spans="1:37">
      <c r="A115" s="544" t="s">
        <v>209</v>
      </c>
      <c r="B115" s="544" t="s">
        <v>203</v>
      </c>
      <c r="C115" s="593">
        <v>0</v>
      </c>
      <c r="D115" s="593"/>
      <c r="E115" s="593"/>
      <c r="F115" s="593">
        <v>0</v>
      </c>
      <c r="G115" s="593"/>
      <c r="H115" s="593"/>
      <c r="I115" s="593">
        <v>0</v>
      </c>
      <c r="J115" s="593"/>
      <c r="K115" s="593"/>
      <c r="L115" s="593">
        <v>0</v>
      </c>
      <c r="M115" s="593"/>
      <c r="N115" s="593"/>
      <c r="O115" s="593">
        <v>0</v>
      </c>
      <c r="P115" s="599"/>
      <c r="Q115" s="593"/>
      <c r="R115" s="593">
        <v>0</v>
      </c>
      <c r="T115" s="593"/>
      <c r="U115" s="593">
        <v>0</v>
      </c>
      <c r="V115" s="599"/>
      <c r="W115" s="593"/>
      <c r="X115" s="593">
        <v>0</v>
      </c>
      <c r="Y115" s="593"/>
      <c r="Z115" s="593"/>
      <c r="AA115" s="593">
        <v>0</v>
      </c>
      <c r="AB115" s="593"/>
      <c r="AC115" s="593"/>
      <c r="AD115" s="593">
        <v>0</v>
      </c>
      <c r="AE115" s="593"/>
      <c r="AF115" s="593"/>
      <c r="AG115" s="593">
        <v>0</v>
      </c>
      <c r="AH115" s="593"/>
      <c r="AI115" s="593"/>
      <c r="AJ115" s="593">
        <v>0</v>
      </c>
      <c r="AK115" s="593"/>
    </row>
    <row r="116" spans="1:37">
      <c r="A116" s="544" t="s">
        <v>209</v>
      </c>
      <c r="B116" s="544" t="s">
        <v>207</v>
      </c>
      <c r="C116" s="593">
        <v>0</v>
      </c>
      <c r="D116" s="593"/>
      <c r="E116" s="593"/>
      <c r="F116" s="593">
        <v>0</v>
      </c>
      <c r="G116" s="593"/>
      <c r="H116" s="593"/>
      <c r="I116" s="593">
        <v>0</v>
      </c>
      <c r="J116" s="593"/>
      <c r="K116" s="593"/>
      <c r="L116" s="593">
        <v>0</v>
      </c>
      <c r="M116" s="593"/>
      <c r="N116" s="593"/>
      <c r="O116" s="593">
        <v>0</v>
      </c>
      <c r="P116" s="593"/>
      <c r="Q116" s="593"/>
      <c r="R116" s="593">
        <v>0</v>
      </c>
      <c r="S116" s="593"/>
      <c r="T116" s="593"/>
      <c r="U116" s="593">
        <v>0</v>
      </c>
      <c r="V116" s="593"/>
      <c r="W116" s="593"/>
      <c r="X116" s="593">
        <v>0</v>
      </c>
      <c r="Y116" s="593"/>
      <c r="Z116" s="593"/>
      <c r="AA116" s="593">
        <v>0</v>
      </c>
      <c r="AB116" s="593"/>
      <c r="AC116" s="593"/>
      <c r="AD116" s="593">
        <v>0</v>
      </c>
      <c r="AE116" s="593"/>
      <c r="AF116" s="593"/>
      <c r="AG116" s="593">
        <v>0</v>
      </c>
      <c r="AH116" s="593"/>
      <c r="AI116" s="593"/>
      <c r="AJ116" s="593">
        <v>0</v>
      </c>
      <c r="AK116" s="593"/>
    </row>
    <row r="117" spans="1:37">
      <c r="A117" s="544" t="s">
        <v>168</v>
      </c>
      <c r="B117" s="544" t="s">
        <v>206</v>
      </c>
      <c r="C117" s="593">
        <v>0</v>
      </c>
      <c r="D117" s="593"/>
      <c r="E117" s="593"/>
      <c r="F117" s="593">
        <v>0</v>
      </c>
      <c r="G117" s="593"/>
      <c r="H117" s="593"/>
      <c r="I117" s="593">
        <v>0</v>
      </c>
      <c r="J117" s="593"/>
      <c r="K117" s="593"/>
      <c r="L117" s="593">
        <v>0</v>
      </c>
      <c r="M117" s="593"/>
      <c r="N117" s="593"/>
      <c r="O117" s="593">
        <v>0</v>
      </c>
      <c r="P117" s="593"/>
      <c r="Q117" s="593"/>
      <c r="R117" s="593">
        <v>0</v>
      </c>
      <c r="S117" s="593"/>
      <c r="T117" s="593"/>
      <c r="U117" s="593">
        <v>0</v>
      </c>
      <c r="V117" s="593"/>
      <c r="W117" s="593"/>
      <c r="X117" s="593">
        <v>0</v>
      </c>
      <c r="Y117" s="593"/>
      <c r="Z117" s="593"/>
      <c r="AA117" s="593">
        <v>0</v>
      </c>
      <c r="AB117" s="593"/>
      <c r="AC117" s="593"/>
      <c r="AD117" s="593">
        <v>0</v>
      </c>
      <c r="AE117" s="593"/>
      <c r="AF117" s="593"/>
      <c r="AG117" s="593">
        <v>0</v>
      </c>
      <c r="AH117" s="593"/>
      <c r="AI117" s="593"/>
      <c r="AJ117" s="593">
        <v>0</v>
      </c>
      <c r="AK117" s="593"/>
    </row>
    <row r="118" spans="1:37">
      <c r="A118" s="544" t="s">
        <v>168</v>
      </c>
      <c r="B118" s="544" t="s">
        <v>203</v>
      </c>
      <c r="C118" s="593">
        <v>0</v>
      </c>
      <c r="D118" s="593"/>
      <c r="E118" s="593"/>
      <c r="F118" s="593">
        <v>0</v>
      </c>
      <c r="G118" s="593"/>
      <c r="H118" s="593"/>
      <c r="I118" s="593">
        <v>0</v>
      </c>
      <c r="J118" s="593"/>
      <c r="K118" s="593"/>
      <c r="L118" s="593">
        <v>0</v>
      </c>
      <c r="M118" s="593"/>
      <c r="N118" s="593"/>
      <c r="O118" s="593">
        <v>0</v>
      </c>
      <c r="P118" s="593"/>
      <c r="Q118" s="593"/>
      <c r="R118" s="593">
        <v>0</v>
      </c>
      <c r="S118" s="593"/>
      <c r="T118" s="593"/>
      <c r="U118" s="593">
        <v>0</v>
      </c>
      <c r="V118" s="593"/>
      <c r="W118" s="593"/>
      <c r="X118" s="593">
        <v>0</v>
      </c>
      <c r="Y118" s="593"/>
      <c r="Z118" s="593"/>
      <c r="AA118" s="593">
        <v>0</v>
      </c>
      <c r="AB118" s="593"/>
      <c r="AC118" s="593"/>
      <c r="AD118" s="593">
        <v>0</v>
      </c>
      <c r="AE118" s="593"/>
      <c r="AF118" s="593"/>
      <c r="AG118" s="593">
        <v>0</v>
      </c>
      <c r="AH118" s="593"/>
      <c r="AI118" s="593"/>
      <c r="AJ118" s="593">
        <v>0</v>
      </c>
      <c r="AK118" s="593"/>
    </row>
    <row r="119" spans="1:37">
      <c r="A119" s="544" t="s">
        <v>168</v>
      </c>
      <c r="B119" s="544" t="s">
        <v>207</v>
      </c>
      <c r="C119" s="593">
        <v>0</v>
      </c>
      <c r="D119" s="593"/>
      <c r="E119" s="593"/>
      <c r="F119" s="593">
        <v>0</v>
      </c>
      <c r="G119" s="593"/>
      <c r="H119" s="593"/>
      <c r="I119" s="593">
        <v>0</v>
      </c>
      <c r="J119" s="593"/>
      <c r="K119" s="593"/>
      <c r="L119" s="593">
        <v>0</v>
      </c>
      <c r="M119" s="593"/>
      <c r="N119" s="593"/>
      <c r="O119" s="593">
        <v>0</v>
      </c>
      <c r="P119" s="593"/>
      <c r="Q119" s="593"/>
      <c r="R119" s="593">
        <v>0</v>
      </c>
      <c r="S119" s="593"/>
      <c r="T119" s="593"/>
      <c r="U119" s="593">
        <v>0</v>
      </c>
      <c r="V119" s="593"/>
      <c r="W119" s="593"/>
      <c r="X119" s="593">
        <v>0</v>
      </c>
      <c r="Y119" s="593"/>
      <c r="Z119" s="593"/>
      <c r="AA119" s="593">
        <v>0</v>
      </c>
      <c r="AB119" s="593"/>
      <c r="AC119" s="593"/>
      <c r="AD119" s="593">
        <v>0</v>
      </c>
      <c r="AE119" s="593"/>
      <c r="AF119" s="593"/>
      <c r="AG119" s="593">
        <v>0</v>
      </c>
      <c r="AH119" s="593"/>
      <c r="AI119" s="593"/>
      <c r="AJ119" s="593">
        <v>0</v>
      </c>
      <c r="AK119" s="593"/>
    </row>
    <row r="120" spans="1:37">
      <c r="A120" s="544" t="s">
        <v>210</v>
      </c>
      <c r="B120" s="544" t="s">
        <v>206</v>
      </c>
      <c r="C120" s="593">
        <v>0</v>
      </c>
      <c r="D120" s="593"/>
      <c r="E120" s="593"/>
      <c r="F120" s="593">
        <v>0</v>
      </c>
      <c r="G120" s="593"/>
      <c r="H120" s="593"/>
      <c r="I120" s="593">
        <v>0</v>
      </c>
      <c r="J120" s="593"/>
      <c r="K120" s="593"/>
      <c r="L120" s="593">
        <v>0</v>
      </c>
      <c r="M120" s="593"/>
      <c r="N120" s="593"/>
      <c r="O120" s="593">
        <v>0</v>
      </c>
      <c r="P120" s="593"/>
      <c r="Q120" s="593"/>
      <c r="R120" s="593">
        <v>0</v>
      </c>
      <c r="S120" s="593"/>
      <c r="T120" s="593"/>
      <c r="U120" s="593">
        <v>0</v>
      </c>
      <c r="V120" s="593"/>
      <c r="W120" s="593"/>
      <c r="X120" s="593">
        <v>0</v>
      </c>
      <c r="Y120" s="593"/>
      <c r="Z120" s="593"/>
      <c r="AA120" s="593">
        <v>0</v>
      </c>
      <c r="AB120" s="593"/>
      <c r="AC120" s="593"/>
      <c r="AD120" s="593">
        <v>0</v>
      </c>
      <c r="AE120" s="593"/>
      <c r="AF120" s="593"/>
      <c r="AG120" s="593">
        <v>0</v>
      </c>
      <c r="AH120" s="593"/>
      <c r="AI120" s="593"/>
      <c r="AJ120" s="593">
        <v>0</v>
      </c>
      <c r="AK120" s="593"/>
    </row>
    <row r="121" spans="1:37">
      <c r="A121" s="544" t="s">
        <v>210</v>
      </c>
      <c r="B121" s="544" t="s">
        <v>203</v>
      </c>
      <c r="C121" s="593">
        <v>0</v>
      </c>
      <c r="D121" s="593"/>
      <c r="E121" s="593"/>
      <c r="F121" s="593">
        <v>0</v>
      </c>
      <c r="G121" s="593"/>
      <c r="H121" s="593"/>
      <c r="I121" s="593">
        <v>0</v>
      </c>
      <c r="J121" s="593"/>
      <c r="K121" s="593"/>
      <c r="L121" s="593">
        <v>0</v>
      </c>
      <c r="M121" s="593"/>
      <c r="N121" s="593"/>
      <c r="O121" s="593">
        <v>0</v>
      </c>
      <c r="P121" s="593"/>
      <c r="Q121" s="593"/>
      <c r="R121" s="593">
        <v>0</v>
      </c>
      <c r="S121" s="593"/>
      <c r="T121" s="593"/>
      <c r="U121" s="593">
        <v>0</v>
      </c>
      <c r="V121" s="593"/>
      <c r="W121" s="593"/>
      <c r="X121" s="593">
        <v>0</v>
      </c>
      <c r="Y121" s="593"/>
      <c r="Z121" s="593"/>
      <c r="AA121" s="593">
        <v>0</v>
      </c>
      <c r="AB121" s="593"/>
      <c r="AC121" s="593"/>
      <c r="AD121" s="593">
        <v>0</v>
      </c>
      <c r="AE121" s="593"/>
      <c r="AF121" s="593"/>
      <c r="AG121" s="593">
        <v>0</v>
      </c>
      <c r="AH121" s="593"/>
      <c r="AI121" s="593"/>
      <c r="AJ121" s="593">
        <v>0</v>
      </c>
      <c r="AK121" s="593"/>
    </row>
    <row r="122" spans="1:37">
      <c r="A122" s="544" t="s">
        <v>210</v>
      </c>
      <c r="B122" s="544" t="s">
        <v>207</v>
      </c>
      <c r="C122" s="593">
        <v>0</v>
      </c>
      <c r="D122" s="593"/>
      <c r="E122" s="593"/>
      <c r="F122" s="593">
        <v>0</v>
      </c>
      <c r="G122" s="593"/>
      <c r="H122" s="593"/>
      <c r="I122" s="593">
        <v>0</v>
      </c>
      <c r="J122" s="593"/>
      <c r="K122" s="593"/>
      <c r="L122" s="593">
        <v>0</v>
      </c>
      <c r="M122" s="593"/>
      <c r="N122" s="593"/>
      <c r="O122" s="593">
        <v>1</v>
      </c>
      <c r="P122" s="593" t="s">
        <v>237</v>
      </c>
      <c r="Q122" s="593"/>
      <c r="R122" s="593">
        <v>1</v>
      </c>
      <c r="S122" s="593" t="s">
        <v>237</v>
      </c>
      <c r="T122" s="593"/>
      <c r="U122" s="593">
        <v>1</v>
      </c>
      <c r="V122" s="593" t="s">
        <v>237</v>
      </c>
      <c r="W122" s="593"/>
      <c r="X122" s="593">
        <v>0</v>
      </c>
      <c r="Y122" s="593"/>
      <c r="Z122" s="593"/>
      <c r="AA122" s="593">
        <v>0</v>
      </c>
      <c r="AB122" s="593"/>
      <c r="AC122" s="593"/>
      <c r="AD122" s="593">
        <v>0</v>
      </c>
      <c r="AE122" s="593"/>
      <c r="AF122" s="593"/>
      <c r="AG122" s="593">
        <v>0</v>
      </c>
      <c r="AH122" s="593"/>
      <c r="AI122" s="593"/>
      <c r="AJ122" s="593">
        <v>0</v>
      </c>
      <c r="AK122" s="593"/>
    </row>
    <row r="127" spans="1:37">
      <c r="A127" s="544" t="s">
        <v>41</v>
      </c>
      <c r="B127" s="544" t="s">
        <v>202</v>
      </c>
      <c r="C127" s="593">
        <v>1</v>
      </c>
      <c r="D127" s="593" t="s">
        <v>238</v>
      </c>
      <c r="E127" s="593"/>
      <c r="F127" s="593">
        <v>1</v>
      </c>
      <c r="G127" s="593" t="s">
        <v>238</v>
      </c>
      <c r="H127" s="593"/>
      <c r="I127" s="593">
        <v>1</v>
      </c>
      <c r="J127" s="593" t="s">
        <v>238</v>
      </c>
      <c r="K127" s="593"/>
      <c r="L127" s="593">
        <v>1</v>
      </c>
      <c r="M127" s="593" t="s">
        <v>238</v>
      </c>
      <c r="O127" s="593">
        <v>1</v>
      </c>
      <c r="P127" s="593" t="s">
        <v>238</v>
      </c>
      <c r="R127" s="593">
        <v>1</v>
      </c>
      <c r="S127" s="593" t="s">
        <v>238</v>
      </c>
      <c r="U127" s="593">
        <v>1</v>
      </c>
      <c r="V127" s="593" t="s">
        <v>238</v>
      </c>
      <c r="X127" s="601">
        <v>1</v>
      </c>
      <c r="Y127" s="601" t="s">
        <v>238</v>
      </c>
    </row>
    <row r="128" spans="1:37">
      <c r="A128" s="544" t="s">
        <v>41</v>
      </c>
      <c r="B128" s="544" t="s">
        <v>203</v>
      </c>
      <c r="C128" s="593">
        <v>0</v>
      </c>
      <c r="D128" s="593"/>
      <c r="E128" s="593"/>
      <c r="F128" s="593">
        <v>0</v>
      </c>
      <c r="G128" s="593"/>
      <c r="H128" s="593"/>
      <c r="I128" s="593">
        <v>0</v>
      </c>
      <c r="J128" s="593"/>
      <c r="K128" s="593"/>
      <c r="L128" s="593">
        <v>0</v>
      </c>
      <c r="O128" s="593">
        <v>0</v>
      </c>
      <c r="R128" s="593">
        <v>1</v>
      </c>
      <c r="S128" s="544" t="s">
        <v>239</v>
      </c>
      <c r="U128" s="593">
        <v>1</v>
      </c>
      <c r="V128" s="544" t="s">
        <v>239</v>
      </c>
      <c r="X128" s="601">
        <v>2</v>
      </c>
      <c r="Y128" s="602" t="s">
        <v>240</v>
      </c>
    </row>
    <row r="129" spans="1:38">
      <c r="A129" s="544" t="s">
        <v>41</v>
      </c>
      <c r="B129" s="544" t="s">
        <v>204</v>
      </c>
      <c r="C129" s="544">
        <v>2</v>
      </c>
      <c r="D129" s="593" t="s">
        <v>241</v>
      </c>
      <c r="E129" s="593"/>
      <c r="F129" s="599">
        <v>2</v>
      </c>
      <c r="G129" s="593" t="s">
        <v>241</v>
      </c>
      <c r="H129" s="593"/>
      <c r="I129" s="599">
        <v>2</v>
      </c>
      <c r="J129" s="593" t="s">
        <v>241</v>
      </c>
      <c r="K129" s="593"/>
      <c r="L129" s="599">
        <v>2</v>
      </c>
      <c r="M129" s="593" t="s">
        <v>241</v>
      </c>
      <c r="N129" s="593"/>
      <c r="O129" s="599">
        <v>2</v>
      </c>
      <c r="P129" s="593" t="s">
        <v>241</v>
      </c>
      <c r="R129" s="544">
        <v>3</v>
      </c>
      <c r="S129" s="593" t="s">
        <v>242</v>
      </c>
      <c r="U129" s="544">
        <v>4</v>
      </c>
      <c r="V129" s="593" t="s">
        <v>243</v>
      </c>
      <c r="X129" s="602">
        <v>8</v>
      </c>
      <c r="Y129" s="601" t="s">
        <v>244</v>
      </c>
    </row>
    <row r="132" spans="1:38">
      <c r="U132" s="641" t="s">
        <v>201</v>
      </c>
      <c r="V132" s="629">
        <v>127</v>
      </c>
      <c r="W132" s="633"/>
      <c r="X132" s="634"/>
      <c r="Y132" s="629">
        <v>153</v>
      </c>
      <c r="Z132" s="634"/>
      <c r="AA132" s="635"/>
      <c r="AB132" s="629">
        <v>115</v>
      </c>
      <c r="AC132" s="634"/>
      <c r="AD132" s="635"/>
      <c r="AE132" s="629">
        <v>115</v>
      </c>
      <c r="AF132" s="634"/>
      <c r="AG132" s="635"/>
      <c r="AH132" s="629">
        <v>0</v>
      </c>
      <c r="AI132" s="634"/>
    </row>
    <row r="133" spans="1:38">
      <c r="U133" s="642" t="s">
        <v>166</v>
      </c>
      <c r="V133" s="636">
        <v>295</v>
      </c>
      <c r="W133" s="633"/>
      <c r="X133" s="634"/>
      <c r="Y133" s="636">
        <v>410</v>
      </c>
      <c r="Z133" s="634"/>
      <c r="AA133" s="635"/>
      <c r="AB133" s="636">
        <v>479</v>
      </c>
      <c r="AC133" s="634"/>
      <c r="AD133" s="635"/>
      <c r="AE133" s="636">
        <v>559</v>
      </c>
      <c r="AF133" s="634"/>
      <c r="AG133" s="635"/>
      <c r="AH133" s="636">
        <v>525</v>
      </c>
      <c r="AI133" s="634"/>
    </row>
    <row r="134" spans="1:38">
      <c r="U134" s="643" t="s">
        <v>209</v>
      </c>
      <c r="V134" s="637">
        <v>29</v>
      </c>
      <c r="W134" s="633"/>
      <c r="X134" s="634"/>
      <c r="Y134" s="638">
        <v>38</v>
      </c>
      <c r="Z134" s="634"/>
      <c r="AA134" s="635"/>
      <c r="AB134" s="638">
        <v>46</v>
      </c>
      <c r="AC134" s="634"/>
      <c r="AD134" s="635"/>
      <c r="AE134" s="638">
        <v>34</v>
      </c>
      <c r="AF134" s="634"/>
      <c r="AG134" s="635"/>
      <c r="AH134" s="638">
        <v>34</v>
      </c>
      <c r="AI134" s="634"/>
    </row>
    <row r="135" spans="1:38">
      <c r="A135" s="544" t="s">
        <v>245</v>
      </c>
      <c r="U135" s="644" t="s">
        <v>168</v>
      </c>
      <c r="V135" s="639">
        <v>8</v>
      </c>
      <c r="W135" s="633"/>
      <c r="X135" s="634"/>
      <c r="Y135" s="640">
        <v>10</v>
      </c>
      <c r="Z135" s="634"/>
      <c r="AA135" s="635"/>
      <c r="AB135" s="640">
        <v>11</v>
      </c>
      <c r="AC135" s="634"/>
      <c r="AD135" s="635"/>
      <c r="AE135" s="640">
        <v>11</v>
      </c>
      <c r="AF135" s="634"/>
      <c r="AG135" s="635"/>
      <c r="AH135" s="640">
        <v>0</v>
      </c>
      <c r="AI135" s="634"/>
    </row>
    <row r="136" spans="1:38">
      <c r="H136" s="619"/>
    </row>
    <row r="137" spans="1:38">
      <c r="C137" s="544" t="s">
        <v>188</v>
      </c>
      <c r="E137" s="619"/>
      <c r="F137" s="544" t="s">
        <v>190</v>
      </c>
      <c r="H137" s="619"/>
      <c r="I137" s="544" t="s">
        <v>191</v>
      </c>
      <c r="K137" s="544" t="s">
        <v>189</v>
      </c>
      <c r="L137" s="544" t="s">
        <v>192</v>
      </c>
      <c r="O137" s="544" t="s">
        <v>193</v>
      </c>
      <c r="Q137" s="544" t="s">
        <v>189</v>
      </c>
      <c r="R137" s="544" t="s">
        <v>194</v>
      </c>
      <c r="T137" s="544" t="s">
        <v>189</v>
      </c>
      <c r="U137" s="621" t="s">
        <v>195</v>
      </c>
      <c r="V137" s="621"/>
      <c r="W137" s="621" t="s">
        <v>189</v>
      </c>
      <c r="X137" s="621" t="s">
        <v>196</v>
      </c>
      <c r="Y137" s="621"/>
      <c r="Z137" s="621" t="s">
        <v>189</v>
      </c>
      <c r="AA137" s="621" t="s">
        <v>197</v>
      </c>
      <c r="AB137" s="621"/>
      <c r="AC137" s="621" t="s">
        <v>189</v>
      </c>
      <c r="AD137" s="621" t="s">
        <v>198</v>
      </c>
      <c r="AE137" s="621"/>
      <c r="AF137" s="621" t="s">
        <v>189</v>
      </c>
      <c r="AG137" s="621" t="s">
        <v>199</v>
      </c>
      <c r="AH137" s="621"/>
      <c r="AI137" s="621" t="s">
        <v>189</v>
      </c>
      <c r="AJ137" s="621" t="s">
        <v>200</v>
      </c>
      <c r="AK137" s="621"/>
      <c r="AL137" s="544" t="s">
        <v>189</v>
      </c>
    </row>
    <row r="138" spans="1:38">
      <c r="C138" s="544" t="s">
        <v>142</v>
      </c>
      <c r="D138" s="544" t="s">
        <v>185</v>
      </c>
      <c r="E138" s="619"/>
      <c r="F138" s="544" t="s">
        <v>142</v>
      </c>
      <c r="G138" s="544" t="s">
        <v>185</v>
      </c>
      <c r="H138" s="619"/>
      <c r="I138" s="544" t="s">
        <v>142</v>
      </c>
      <c r="J138" s="544" t="s">
        <v>185</v>
      </c>
      <c r="L138" s="544" t="s">
        <v>142</v>
      </c>
      <c r="M138" s="544" t="s">
        <v>185</v>
      </c>
      <c r="O138" s="544" t="s">
        <v>142</v>
      </c>
      <c r="P138" s="544" t="s">
        <v>185</v>
      </c>
      <c r="R138" s="544" t="s">
        <v>142</v>
      </c>
      <c r="S138" s="544" t="s">
        <v>185</v>
      </c>
      <c r="U138" s="621" t="s">
        <v>142</v>
      </c>
      <c r="V138" s="621" t="s">
        <v>185</v>
      </c>
      <c r="W138" s="621"/>
      <c r="X138" s="621" t="s">
        <v>142</v>
      </c>
      <c r="Y138" s="621" t="s">
        <v>185</v>
      </c>
      <c r="Z138" s="621"/>
      <c r="AA138" s="621" t="s">
        <v>142</v>
      </c>
      <c r="AB138" s="621" t="s">
        <v>185</v>
      </c>
      <c r="AC138" s="621"/>
      <c r="AD138" s="621" t="s">
        <v>142</v>
      </c>
      <c r="AE138" s="621" t="s">
        <v>185</v>
      </c>
      <c r="AF138" s="621"/>
      <c r="AG138" s="621" t="s">
        <v>142</v>
      </c>
      <c r="AH138" s="621" t="s">
        <v>185</v>
      </c>
      <c r="AI138" s="621"/>
      <c r="AJ138" s="621" t="s">
        <v>142</v>
      </c>
      <c r="AK138" s="621" t="s">
        <v>185</v>
      </c>
    </row>
    <row r="139" spans="1:38" s="611" customFormat="1">
      <c r="A139" s="611" t="s">
        <v>201</v>
      </c>
      <c r="B139" s="611" t="s">
        <v>246</v>
      </c>
      <c r="C139" s="609">
        <v>0</v>
      </c>
      <c r="D139" s="609">
        <v>0</v>
      </c>
      <c r="E139" s="609"/>
      <c r="F139" s="609">
        <v>0</v>
      </c>
      <c r="G139" s="609">
        <v>0</v>
      </c>
      <c r="H139" s="609"/>
      <c r="I139" s="609">
        <v>0</v>
      </c>
      <c r="J139" s="609">
        <v>0</v>
      </c>
      <c r="K139" s="609"/>
      <c r="L139" s="609">
        <v>0</v>
      </c>
      <c r="M139" s="609">
        <v>0</v>
      </c>
      <c r="N139" s="609"/>
      <c r="O139" s="609">
        <v>0</v>
      </c>
      <c r="P139" s="609">
        <v>0</v>
      </c>
      <c r="Q139" s="609"/>
      <c r="R139" s="609">
        <v>1</v>
      </c>
      <c r="S139" s="609">
        <v>0</v>
      </c>
      <c r="T139" s="612"/>
      <c r="U139" s="622"/>
      <c r="V139" s="622">
        <f>V132/20</f>
        <v>6.35</v>
      </c>
      <c r="W139" s="622"/>
      <c r="X139" s="622"/>
      <c r="Y139" s="622">
        <f>Y132/20</f>
        <v>7.65</v>
      </c>
      <c r="Z139" s="622"/>
      <c r="AA139" s="622"/>
      <c r="AB139" s="622">
        <f>AB132/20</f>
        <v>5.75</v>
      </c>
      <c r="AC139" s="622"/>
      <c r="AD139" s="622"/>
      <c r="AE139" s="622">
        <f>AE132/20</f>
        <v>5.75</v>
      </c>
      <c r="AF139" s="622"/>
      <c r="AG139" s="622"/>
      <c r="AH139" s="622">
        <v>0</v>
      </c>
      <c r="AI139" s="622"/>
      <c r="AJ139" s="622"/>
      <c r="AK139" s="622">
        <v>0</v>
      </c>
    </row>
    <row r="140" spans="1:38" s="611" customFormat="1">
      <c r="A140" s="611" t="s">
        <v>201</v>
      </c>
      <c r="B140" s="611" t="s">
        <v>247</v>
      </c>
      <c r="C140" s="609">
        <v>0</v>
      </c>
      <c r="D140" s="609">
        <v>0</v>
      </c>
      <c r="E140" s="609"/>
      <c r="F140" s="609">
        <v>0</v>
      </c>
      <c r="G140" s="609">
        <v>0</v>
      </c>
      <c r="H140" s="609"/>
      <c r="I140" s="609">
        <v>0</v>
      </c>
      <c r="J140" s="609">
        <v>0</v>
      </c>
      <c r="K140" s="609"/>
      <c r="L140" s="609">
        <v>0</v>
      </c>
      <c r="M140" s="609">
        <v>0</v>
      </c>
      <c r="N140" s="609"/>
      <c r="O140" s="609">
        <v>0</v>
      </c>
      <c r="P140" s="609">
        <v>0</v>
      </c>
      <c r="Q140" s="609"/>
      <c r="R140" s="609">
        <v>0</v>
      </c>
      <c r="S140" s="609">
        <v>0</v>
      </c>
      <c r="T140" s="612"/>
      <c r="U140" s="622"/>
      <c r="V140" s="622">
        <f>127/20</f>
        <v>6.35</v>
      </c>
      <c r="W140" s="622"/>
      <c r="X140" s="622"/>
      <c r="Y140" s="622">
        <f>Y132/20</f>
        <v>7.65</v>
      </c>
      <c r="Z140" s="622"/>
      <c r="AA140" s="622"/>
      <c r="AB140" s="622">
        <f>AB132/20</f>
        <v>5.75</v>
      </c>
      <c r="AC140" s="622"/>
      <c r="AD140" s="622"/>
      <c r="AE140" s="622">
        <f>AE132/20</f>
        <v>5.75</v>
      </c>
      <c r="AF140" s="622"/>
      <c r="AG140" s="622"/>
      <c r="AH140" s="622">
        <v>0</v>
      </c>
      <c r="AI140" s="622"/>
      <c r="AJ140" s="622"/>
      <c r="AK140" s="622">
        <v>0</v>
      </c>
    </row>
    <row r="141" spans="1:38" s="611" customFormat="1">
      <c r="A141" s="611" t="s">
        <v>201</v>
      </c>
      <c r="B141" s="611" t="s">
        <v>221</v>
      </c>
      <c r="C141" s="609">
        <v>0</v>
      </c>
      <c r="D141" s="609">
        <v>0</v>
      </c>
      <c r="E141" s="609"/>
      <c r="F141" s="609">
        <v>0</v>
      </c>
      <c r="G141" s="609">
        <v>0</v>
      </c>
      <c r="H141" s="609"/>
      <c r="I141" s="609">
        <v>0</v>
      </c>
      <c r="J141" s="609">
        <v>0</v>
      </c>
      <c r="K141" s="609"/>
      <c r="L141" s="609">
        <v>0</v>
      </c>
      <c r="M141" s="609">
        <v>0</v>
      </c>
      <c r="N141" s="609"/>
      <c r="O141" s="609">
        <v>0</v>
      </c>
      <c r="P141" s="609">
        <v>0</v>
      </c>
      <c r="Q141" s="609"/>
      <c r="R141" s="609">
        <v>0</v>
      </c>
      <c r="S141" s="609">
        <v>0</v>
      </c>
      <c r="T141" s="612"/>
      <c r="U141" s="622"/>
      <c r="V141" s="622">
        <f>127/5</f>
        <v>25.4</v>
      </c>
      <c r="W141" s="622"/>
      <c r="X141" s="622"/>
      <c r="Y141" s="622">
        <f>Y132/5</f>
        <v>30.6</v>
      </c>
      <c r="Z141" s="622"/>
      <c r="AA141" s="622"/>
      <c r="AB141" s="622">
        <f>AB132/5</f>
        <v>23</v>
      </c>
      <c r="AC141" s="622"/>
      <c r="AD141" s="622"/>
      <c r="AE141" s="622">
        <f>AE132/5</f>
        <v>23</v>
      </c>
      <c r="AF141" s="622"/>
      <c r="AG141" s="622"/>
      <c r="AH141" s="622"/>
      <c r="AI141" s="622"/>
      <c r="AJ141" s="622"/>
      <c r="AK141" s="622"/>
    </row>
    <row r="142" spans="1:38" s="611" customFormat="1">
      <c r="A142" s="611" t="s">
        <v>201</v>
      </c>
      <c r="B142" s="611" t="s">
        <v>248</v>
      </c>
      <c r="C142" s="609">
        <v>0</v>
      </c>
      <c r="D142" s="609">
        <v>0</v>
      </c>
      <c r="E142" s="609"/>
      <c r="F142" s="609">
        <v>0</v>
      </c>
      <c r="G142" s="609">
        <v>0</v>
      </c>
      <c r="H142" s="609"/>
      <c r="I142" s="609">
        <v>0</v>
      </c>
      <c r="J142" s="609">
        <v>0</v>
      </c>
      <c r="K142" s="609"/>
      <c r="L142" s="609">
        <v>0</v>
      </c>
      <c r="M142" s="609">
        <v>0</v>
      </c>
      <c r="N142" s="609"/>
      <c r="O142" s="609">
        <v>0</v>
      </c>
      <c r="P142" s="609">
        <v>0</v>
      </c>
      <c r="Q142" s="609"/>
      <c r="R142" s="609">
        <v>0</v>
      </c>
      <c r="S142" s="609">
        <v>0</v>
      </c>
      <c r="T142" s="612"/>
      <c r="U142" s="622"/>
      <c r="V142" s="622">
        <f>127/10</f>
        <v>12.7</v>
      </c>
      <c r="W142" s="622"/>
      <c r="X142" s="622"/>
      <c r="Y142" s="622">
        <f>Y132/10</f>
        <v>15.3</v>
      </c>
      <c r="Z142" s="622"/>
      <c r="AA142" s="622"/>
      <c r="AB142" s="622">
        <f>AB132/10</f>
        <v>11.5</v>
      </c>
      <c r="AC142" s="622"/>
      <c r="AD142" s="622"/>
      <c r="AE142" s="622">
        <f>AE132/10</f>
        <v>11.5</v>
      </c>
      <c r="AF142" s="622"/>
      <c r="AG142" s="622"/>
      <c r="AH142" s="622"/>
      <c r="AI142" s="622"/>
      <c r="AJ142" s="622"/>
      <c r="AK142" s="622"/>
    </row>
    <row r="143" spans="1:38" s="611" customFormat="1">
      <c r="A143" s="611" t="s">
        <v>201</v>
      </c>
      <c r="B143" s="611" t="s">
        <v>249</v>
      </c>
      <c r="C143" s="609">
        <v>0</v>
      </c>
      <c r="D143" s="609">
        <v>0</v>
      </c>
      <c r="E143" s="609"/>
      <c r="F143" s="609">
        <v>0</v>
      </c>
      <c r="G143" s="609">
        <v>0</v>
      </c>
      <c r="H143" s="609"/>
      <c r="I143" s="609">
        <v>0</v>
      </c>
      <c r="J143" s="609">
        <v>0</v>
      </c>
      <c r="K143" s="609"/>
      <c r="L143" s="609">
        <v>0</v>
      </c>
      <c r="M143" s="609">
        <v>0</v>
      </c>
      <c r="N143" s="609"/>
      <c r="O143" s="609">
        <v>0</v>
      </c>
      <c r="P143" s="609">
        <v>0</v>
      </c>
      <c r="Q143" s="609"/>
      <c r="R143" s="609">
        <v>0</v>
      </c>
      <c r="S143" s="609">
        <v>0</v>
      </c>
      <c r="T143" s="612"/>
      <c r="U143" s="622"/>
      <c r="V143" s="622">
        <f>127*2/5</f>
        <v>50.8</v>
      </c>
      <c r="W143" s="622"/>
      <c r="X143" s="622"/>
      <c r="Y143" s="622">
        <f>Y132*2/5</f>
        <v>61.2</v>
      </c>
      <c r="Z143" s="622"/>
      <c r="AA143" s="622"/>
      <c r="AB143" s="622">
        <f>AB132*2/5</f>
        <v>46</v>
      </c>
      <c r="AC143" s="622"/>
      <c r="AD143" s="622"/>
      <c r="AE143" s="622">
        <f>AE132*2/5</f>
        <v>46</v>
      </c>
      <c r="AF143" s="622"/>
      <c r="AG143" s="622"/>
      <c r="AH143" s="622"/>
      <c r="AI143" s="622"/>
      <c r="AJ143" s="622"/>
      <c r="AK143" s="622"/>
    </row>
    <row r="144" spans="1:38" s="611" customFormat="1">
      <c r="A144" s="611" t="s">
        <v>201</v>
      </c>
      <c r="B144" s="611" t="s">
        <v>250</v>
      </c>
      <c r="C144" s="609">
        <v>0</v>
      </c>
      <c r="D144" s="609">
        <v>0</v>
      </c>
      <c r="E144" s="609"/>
      <c r="F144" s="609">
        <v>0</v>
      </c>
      <c r="G144" s="609">
        <v>0</v>
      </c>
      <c r="H144" s="609"/>
      <c r="I144" s="609">
        <v>0</v>
      </c>
      <c r="J144" s="609">
        <v>0</v>
      </c>
      <c r="K144" s="609"/>
      <c r="L144" s="609">
        <v>0</v>
      </c>
      <c r="M144" s="609">
        <v>0</v>
      </c>
      <c r="N144" s="609"/>
      <c r="O144" s="609">
        <v>0</v>
      </c>
      <c r="P144" s="609">
        <v>0</v>
      </c>
      <c r="Q144" s="609"/>
      <c r="R144" s="609">
        <v>0</v>
      </c>
      <c r="S144" s="609">
        <v>0</v>
      </c>
      <c r="T144" s="612"/>
      <c r="U144" s="622"/>
      <c r="V144" s="622">
        <f>127/10</f>
        <v>12.7</v>
      </c>
      <c r="W144" s="622"/>
      <c r="X144" s="622"/>
      <c r="Y144" s="622">
        <f>Y132/10</f>
        <v>15.3</v>
      </c>
      <c r="Z144" s="622"/>
      <c r="AA144" s="622"/>
      <c r="AB144" s="622">
        <f>AB132/10</f>
        <v>11.5</v>
      </c>
      <c r="AC144" s="622"/>
      <c r="AD144" s="622"/>
      <c r="AE144" s="622">
        <f>AE132/10</f>
        <v>11.5</v>
      </c>
      <c r="AF144" s="622"/>
      <c r="AG144" s="622"/>
      <c r="AH144" s="622"/>
      <c r="AI144" s="622"/>
      <c r="AJ144" s="622"/>
      <c r="AK144" s="622"/>
    </row>
    <row r="145" spans="1:37" s="611" customFormat="1">
      <c r="A145" s="611" t="s">
        <v>201</v>
      </c>
      <c r="B145" s="611" t="s">
        <v>251</v>
      </c>
      <c r="C145" s="609">
        <v>0</v>
      </c>
      <c r="D145" s="609">
        <v>0</v>
      </c>
      <c r="E145" s="609"/>
      <c r="F145" s="609">
        <v>0</v>
      </c>
      <c r="G145" s="609">
        <v>0</v>
      </c>
      <c r="H145" s="609"/>
      <c r="I145" s="609">
        <v>0</v>
      </c>
      <c r="J145" s="609">
        <v>0</v>
      </c>
      <c r="K145" s="609"/>
      <c r="L145" s="609">
        <v>0</v>
      </c>
      <c r="M145" s="609">
        <v>0</v>
      </c>
      <c r="N145" s="609"/>
      <c r="O145" s="609">
        <v>0</v>
      </c>
      <c r="P145" s="609">
        <v>0</v>
      </c>
      <c r="Q145" s="609"/>
      <c r="R145" s="609">
        <v>0</v>
      </c>
      <c r="S145" s="609">
        <v>0</v>
      </c>
      <c r="T145" s="612"/>
      <c r="U145" s="622"/>
      <c r="V145" s="622">
        <f>127/10</f>
        <v>12.7</v>
      </c>
      <c r="X145" s="622"/>
      <c r="Y145" s="622">
        <f>Y132/10</f>
        <v>15.3</v>
      </c>
      <c r="AA145" s="622"/>
      <c r="AB145" s="622">
        <f>AB132/10</f>
        <v>11.5</v>
      </c>
      <c r="AD145" s="622"/>
      <c r="AE145" s="622">
        <f>AE132/10</f>
        <v>11.5</v>
      </c>
      <c r="AG145" s="622"/>
      <c r="AH145" s="622">
        <v>0</v>
      </c>
      <c r="AJ145" s="622"/>
      <c r="AK145" s="622">
        <v>0</v>
      </c>
    </row>
    <row r="146" spans="1:37">
      <c r="A146" s="608" t="s">
        <v>205</v>
      </c>
      <c r="B146" s="608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09"/>
      <c r="P146" s="609"/>
      <c r="Q146" s="609"/>
      <c r="R146" s="609"/>
      <c r="S146" s="609"/>
      <c r="T146" s="609"/>
      <c r="U146" s="623"/>
      <c r="AK146" s="624"/>
    </row>
    <row r="147" spans="1:37">
      <c r="A147" s="608" t="s">
        <v>205</v>
      </c>
      <c r="B147" s="608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23"/>
      <c r="AK147" s="624"/>
    </row>
    <row r="148" spans="1:37">
      <c r="A148" s="608" t="s">
        <v>205</v>
      </c>
      <c r="B148" s="608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23"/>
      <c r="AK148" s="624"/>
    </row>
    <row r="149" spans="1:37">
      <c r="A149" s="608" t="s">
        <v>208</v>
      </c>
      <c r="B149" s="608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23"/>
      <c r="AK149" s="624"/>
    </row>
    <row r="150" spans="1:37">
      <c r="A150" s="608" t="s">
        <v>208</v>
      </c>
      <c r="B150" s="608"/>
      <c r="C150" s="609"/>
      <c r="D150" s="609"/>
      <c r="E150" s="609"/>
      <c r="F150" s="609"/>
      <c r="G150" s="609"/>
      <c r="H150" s="609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23"/>
      <c r="V150" s="624"/>
      <c r="W150" s="625"/>
      <c r="X150" s="623"/>
      <c r="Y150" s="624"/>
      <c r="Z150" s="625"/>
      <c r="AA150" s="623"/>
      <c r="AB150" s="624"/>
      <c r="AC150" s="625"/>
      <c r="AD150" s="623"/>
      <c r="AE150" s="624"/>
      <c r="AF150" s="625"/>
      <c r="AG150" s="623"/>
      <c r="AH150" s="624"/>
      <c r="AI150" s="625"/>
      <c r="AJ150" s="623"/>
      <c r="AK150" s="624"/>
    </row>
    <row r="151" spans="1:37">
      <c r="A151" s="608" t="s">
        <v>208</v>
      </c>
      <c r="B151" s="608"/>
      <c r="C151" s="609"/>
      <c r="D151" s="609"/>
      <c r="E151" s="609"/>
      <c r="F151" s="609"/>
      <c r="G151" s="609"/>
      <c r="H151" s="609"/>
      <c r="I151" s="609"/>
      <c r="J151" s="609"/>
      <c r="K151" s="609"/>
      <c r="L151" s="609"/>
      <c r="M151" s="609"/>
      <c r="N151" s="609"/>
      <c r="O151" s="609"/>
      <c r="P151" s="609"/>
      <c r="Q151" s="609"/>
      <c r="R151" s="609"/>
      <c r="S151" s="609"/>
      <c r="T151" s="609"/>
      <c r="U151" s="623"/>
      <c r="V151" s="624"/>
      <c r="W151" s="625"/>
      <c r="X151" s="623"/>
      <c r="Y151" s="624"/>
      <c r="Z151" s="625"/>
      <c r="AA151" s="623"/>
      <c r="AB151" s="624"/>
      <c r="AC151" s="625"/>
      <c r="AD151" s="623"/>
      <c r="AE151" s="624"/>
      <c r="AF151" s="625"/>
      <c r="AG151" s="623"/>
      <c r="AH151" s="624"/>
      <c r="AI151" s="625"/>
      <c r="AJ151" s="623"/>
      <c r="AK151" s="624"/>
    </row>
    <row r="152" spans="1:37" s="613" customFormat="1">
      <c r="A152" s="613" t="s">
        <v>166</v>
      </c>
      <c r="B152" s="613" t="s">
        <v>246</v>
      </c>
      <c r="C152" s="609">
        <v>0</v>
      </c>
      <c r="D152" s="609">
        <v>0</v>
      </c>
      <c r="E152" s="609"/>
      <c r="F152" s="609">
        <v>0</v>
      </c>
      <c r="G152" s="609">
        <v>0</v>
      </c>
      <c r="H152" s="609"/>
      <c r="I152" s="609">
        <v>0</v>
      </c>
      <c r="J152" s="609">
        <v>0</v>
      </c>
      <c r="K152" s="609"/>
      <c r="L152" s="609">
        <v>0</v>
      </c>
      <c r="M152" s="609">
        <v>0</v>
      </c>
      <c r="N152" s="609"/>
      <c r="O152" s="609">
        <v>0</v>
      </c>
      <c r="P152" s="609">
        <v>0</v>
      </c>
      <c r="Q152" s="609"/>
      <c r="R152" s="609">
        <v>0</v>
      </c>
      <c r="S152" s="609">
        <v>0</v>
      </c>
      <c r="T152" s="614"/>
      <c r="U152" s="623"/>
      <c r="V152" s="628">
        <f>V133/20</f>
        <v>14.75</v>
      </c>
      <c r="W152" s="628"/>
      <c r="X152" s="628"/>
      <c r="Y152" s="628">
        <f>Y133/20</f>
        <v>20.5</v>
      </c>
      <c r="Z152" s="628"/>
      <c r="AA152" s="628"/>
      <c r="AB152" s="628">
        <f>AB133/20</f>
        <v>23.95</v>
      </c>
      <c r="AC152" s="628"/>
      <c r="AD152" s="628"/>
      <c r="AE152" s="628">
        <f>AE133/20</f>
        <v>27.95</v>
      </c>
      <c r="AF152" s="628"/>
      <c r="AG152" s="628"/>
      <c r="AH152" s="628">
        <f>AH133/20</f>
        <v>26.25</v>
      </c>
      <c r="AI152" s="628"/>
      <c r="AJ152" s="628"/>
      <c r="AK152" s="628">
        <v>0</v>
      </c>
    </row>
    <row r="153" spans="1:37" s="613" customFormat="1">
      <c r="A153" s="613" t="s">
        <v>166</v>
      </c>
      <c r="B153" s="613" t="s">
        <v>247</v>
      </c>
      <c r="C153" s="609">
        <v>0</v>
      </c>
      <c r="D153" s="609">
        <v>0</v>
      </c>
      <c r="E153" s="609"/>
      <c r="F153" s="609">
        <v>0</v>
      </c>
      <c r="G153" s="609">
        <v>0</v>
      </c>
      <c r="H153" s="609"/>
      <c r="I153" s="609">
        <v>0</v>
      </c>
      <c r="J153" s="609">
        <v>0</v>
      </c>
      <c r="K153" s="609"/>
      <c r="L153" s="609">
        <v>0</v>
      </c>
      <c r="M153" s="609">
        <v>0</v>
      </c>
      <c r="N153" s="609"/>
      <c r="O153" s="609">
        <v>0</v>
      </c>
      <c r="P153" s="609">
        <v>0</v>
      </c>
      <c r="Q153" s="609"/>
      <c r="R153" s="609">
        <v>0</v>
      </c>
      <c r="S153" s="609">
        <v>0</v>
      </c>
      <c r="T153" s="614"/>
      <c r="U153" s="623"/>
      <c r="V153" s="628">
        <f>V133/20</f>
        <v>14.75</v>
      </c>
      <c r="W153" s="628"/>
      <c r="X153" s="628"/>
      <c r="Y153" s="628">
        <f>Y133/20</f>
        <v>20.5</v>
      </c>
      <c r="Z153" s="628"/>
      <c r="AA153" s="628"/>
      <c r="AB153" s="628">
        <f>AB133/20</f>
        <v>23.95</v>
      </c>
      <c r="AC153" s="628"/>
      <c r="AD153" s="628"/>
      <c r="AE153" s="628">
        <f>AE133/20</f>
        <v>27.95</v>
      </c>
      <c r="AF153" s="628"/>
      <c r="AG153" s="628"/>
      <c r="AH153" s="628">
        <f>AH133/20</f>
        <v>26.25</v>
      </c>
      <c r="AI153" s="628"/>
      <c r="AJ153" s="628"/>
      <c r="AK153" s="628"/>
    </row>
    <row r="154" spans="1:37" s="613" customFormat="1">
      <c r="A154" s="613" t="s">
        <v>166</v>
      </c>
      <c r="B154" s="613" t="s">
        <v>221</v>
      </c>
      <c r="C154" s="609">
        <v>0</v>
      </c>
      <c r="D154" s="609">
        <v>0</v>
      </c>
      <c r="E154" s="609"/>
      <c r="F154" s="609">
        <v>0</v>
      </c>
      <c r="G154" s="609">
        <v>0</v>
      </c>
      <c r="H154" s="609"/>
      <c r="I154" s="609">
        <v>0</v>
      </c>
      <c r="J154" s="609">
        <v>0</v>
      </c>
      <c r="K154" s="609"/>
      <c r="L154" s="609">
        <v>0</v>
      </c>
      <c r="M154" s="609">
        <v>0</v>
      </c>
      <c r="N154" s="609"/>
      <c r="O154" s="609">
        <v>0</v>
      </c>
      <c r="P154" s="609">
        <v>0</v>
      </c>
      <c r="Q154" s="609"/>
      <c r="R154" s="609">
        <v>0</v>
      </c>
      <c r="S154" s="609">
        <v>0</v>
      </c>
      <c r="T154" s="614"/>
      <c r="U154" s="623"/>
      <c r="V154" s="628">
        <f>V133/5</f>
        <v>59</v>
      </c>
      <c r="W154" s="628"/>
      <c r="X154" s="628"/>
      <c r="Y154" s="628">
        <f>Y133/5</f>
        <v>82</v>
      </c>
      <c r="Z154" s="628"/>
      <c r="AA154" s="628"/>
      <c r="AB154" s="628">
        <f>AB133/5</f>
        <v>95.8</v>
      </c>
      <c r="AC154" s="628"/>
      <c r="AD154" s="628"/>
      <c r="AE154" s="628">
        <f>AE133/5</f>
        <v>111.8</v>
      </c>
      <c r="AF154" s="628"/>
      <c r="AG154" s="628"/>
      <c r="AH154" s="628">
        <f>AH133/5</f>
        <v>105</v>
      </c>
      <c r="AI154" s="628"/>
      <c r="AJ154" s="628"/>
      <c r="AK154" s="628"/>
    </row>
    <row r="155" spans="1:37" s="613" customFormat="1">
      <c r="A155" s="613" t="s">
        <v>166</v>
      </c>
      <c r="B155" s="613" t="s">
        <v>248</v>
      </c>
      <c r="C155" s="609">
        <v>0</v>
      </c>
      <c r="D155" s="609">
        <v>0</v>
      </c>
      <c r="E155" s="609"/>
      <c r="F155" s="609">
        <v>0</v>
      </c>
      <c r="G155" s="609">
        <v>0</v>
      </c>
      <c r="H155" s="609"/>
      <c r="I155" s="609">
        <v>0</v>
      </c>
      <c r="J155" s="609">
        <v>0</v>
      </c>
      <c r="K155" s="609"/>
      <c r="L155" s="609">
        <v>0</v>
      </c>
      <c r="M155" s="609">
        <v>0</v>
      </c>
      <c r="N155" s="609"/>
      <c r="O155" s="609">
        <v>0</v>
      </c>
      <c r="P155" s="609">
        <v>0</v>
      </c>
      <c r="Q155" s="609"/>
      <c r="R155" s="609">
        <v>0</v>
      </c>
      <c r="S155" s="609">
        <v>0</v>
      </c>
      <c r="T155" s="614"/>
      <c r="U155" s="623"/>
      <c r="V155" s="628">
        <f>V133/10</f>
        <v>29.5</v>
      </c>
      <c r="W155" s="628"/>
      <c r="X155" s="628"/>
      <c r="Y155" s="628">
        <f>Y133/10</f>
        <v>41</v>
      </c>
      <c r="Z155" s="628"/>
      <c r="AA155" s="628"/>
      <c r="AB155" s="628">
        <f>AB133/10</f>
        <v>47.9</v>
      </c>
      <c r="AC155" s="628"/>
      <c r="AD155" s="628"/>
      <c r="AE155" s="628">
        <f>AE133/10</f>
        <v>55.9</v>
      </c>
      <c r="AF155" s="628"/>
      <c r="AG155" s="628"/>
      <c r="AH155" s="628">
        <f>AH133/10</f>
        <v>52.5</v>
      </c>
      <c r="AI155" s="628"/>
      <c r="AJ155" s="628"/>
      <c r="AK155" s="628"/>
    </row>
    <row r="156" spans="1:37" s="613" customFormat="1">
      <c r="A156" s="613" t="s">
        <v>166</v>
      </c>
      <c r="B156" s="613" t="s">
        <v>249</v>
      </c>
      <c r="C156" s="609">
        <v>0</v>
      </c>
      <c r="D156" s="609">
        <v>0</v>
      </c>
      <c r="E156" s="609"/>
      <c r="F156" s="609">
        <v>0</v>
      </c>
      <c r="G156" s="609">
        <v>0</v>
      </c>
      <c r="H156" s="609"/>
      <c r="I156" s="609">
        <v>0</v>
      </c>
      <c r="J156" s="609">
        <v>0</v>
      </c>
      <c r="K156" s="609"/>
      <c r="L156" s="609">
        <v>0</v>
      </c>
      <c r="M156" s="609">
        <v>0</v>
      </c>
      <c r="N156" s="609"/>
      <c r="O156" s="609">
        <v>0</v>
      </c>
      <c r="P156" s="609">
        <v>0</v>
      </c>
      <c r="Q156" s="609"/>
      <c r="R156" s="609">
        <v>0</v>
      </c>
      <c r="S156" s="609">
        <v>0</v>
      </c>
      <c r="T156" s="614"/>
      <c r="U156" s="623"/>
      <c r="V156" s="628">
        <f>V133*2/5</f>
        <v>118</v>
      </c>
      <c r="W156" s="628"/>
      <c r="X156" s="628"/>
      <c r="Y156" s="628">
        <f>Y133*2/5</f>
        <v>164</v>
      </c>
      <c r="Z156" s="628"/>
      <c r="AA156" s="628"/>
      <c r="AB156" s="628">
        <f>AB133*2/5</f>
        <v>191.6</v>
      </c>
      <c r="AC156" s="628"/>
      <c r="AD156" s="628"/>
      <c r="AE156" s="628">
        <f>AE133*2/5</f>
        <v>223.6</v>
      </c>
      <c r="AF156" s="628"/>
      <c r="AG156" s="628"/>
      <c r="AH156" s="628">
        <f>AH133*2/5</f>
        <v>210</v>
      </c>
      <c r="AI156" s="628"/>
      <c r="AJ156" s="628"/>
      <c r="AK156" s="628">
        <v>0</v>
      </c>
    </row>
    <row r="157" spans="1:37" s="613" customFormat="1">
      <c r="A157" s="613" t="s">
        <v>166</v>
      </c>
      <c r="B157" s="613" t="s">
        <v>250</v>
      </c>
      <c r="C157" s="609">
        <v>0</v>
      </c>
      <c r="D157" s="609">
        <v>0</v>
      </c>
      <c r="E157" s="609"/>
      <c r="F157" s="609">
        <v>0</v>
      </c>
      <c r="G157" s="609">
        <v>0</v>
      </c>
      <c r="H157" s="609"/>
      <c r="I157" s="609">
        <v>0</v>
      </c>
      <c r="J157" s="609">
        <v>0</v>
      </c>
      <c r="K157" s="609"/>
      <c r="L157" s="609">
        <v>0</v>
      </c>
      <c r="M157" s="609">
        <v>0</v>
      </c>
      <c r="N157" s="609"/>
      <c r="O157" s="609">
        <v>0</v>
      </c>
      <c r="P157" s="609">
        <v>0</v>
      </c>
      <c r="Q157" s="609"/>
      <c r="R157" s="609">
        <v>0</v>
      </c>
      <c r="S157" s="609">
        <v>0</v>
      </c>
      <c r="T157" s="614"/>
      <c r="U157" s="623"/>
      <c r="V157" s="628">
        <f>V133/10</f>
        <v>29.5</v>
      </c>
      <c r="W157" s="628"/>
      <c r="X157" s="628"/>
      <c r="Y157" s="628">
        <f>Y133/10</f>
        <v>41</v>
      </c>
      <c r="Z157" s="628"/>
      <c r="AA157" s="628"/>
      <c r="AB157" s="628">
        <f>AB133/10</f>
        <v>47.9</v>
      </c>
      <c r="AC157" s="628"/>
      <c r="AD157" s="628"/>
      <c r="AE157" s="628">
        <f>AE133/10</f>
        <v>55.9</v>
      </c>
      <c r="AF157" s="628"/>
      <c r="AG157" s="628"/>
      <c r="AH157" s="628">
        <f>AH133/10</f>
        <v>52.5</v>
      </c>
      <c r="AI157" s="628"/>
      <c r="AJ157" s="628"/>
      <c r="AK157" s="628"/>
    </row>
    <row r="158" spans="1:37" s="613" customFormat="1">
      <c r="A158" s="613" t="s">
        <v>166</v>
      </c>
      <c r="B158" s="613" t="s">
        <v>251</v>
      </c>
      <c r="C158" s="609">
        <v>0</v>
      </c>
      <c r="D158" s="609">
        <v>0</v>
      </c>
      <c r="E158" s="609"/>
      <c r="F158" s="609">
        <v>0</v>
      </c>
      <c r="G158" s="609">
        <v>0</v>
      </c>
      <c r="H158" s="609"/>
      <c r="I158" s="609">
        <v>0</v>
      </c>
      <c r="J158" s="609">
        <v>0</v>
      </c>
      <c r="K158" s="609"/>
      <c r="L158" s="609">
        <v>0</v>
      </c>
      <c r="M158" s="609">
        <v>0</v>
      </c>
      <c r="N158" s="609"/>
      <c r="O158" s="609">
        <v>0</v>
      </c>
      <c r="P158" s="609">
        <v>0</v>
      </c>
      <c r="Q158" s="609"/>
      <c r="R158" s="609">
        <v>0</v>
      </c>
      <c r="S158" s="609">
        <v>0</v>
      </c>
      <c r="T158" s="614"/>
      <c r="U158" s="623"/>
      <c r="V158" s="628">
        <f>V133/10</f>
        <v>29.5</v>
      </c>
      <c r="X158" s="628"/>
      <c r="Y158" s="628">
        <f>Y133/10</f>
        <v>41</v>
      </c>
      <c r="AA158" s="628"/>
      <c r="AB158" s="628">
        <f>AB133/10</f>
        <v>47.9</v>
      </c>
      <c r="AD158" s="628"/>
      <c r="AE158" s="628">
        <f>AE133/10</f>
        <v>55.9</v>
      </c>
      <c r="AG158" s="628"/>
      <c r="AH158" s="628">
        <f>AH133/10</f>
        <v>52.5</v>
      </c>
      <c r="AJ158" s="628"/>
      <c r="AK158" s="628">
        <v>0</v>
      </c>
    </row>
    <row r="159" spans="1:37" s="615" customFormat="1">
      <c r="A159" s="615" t="s">
        <v>209</v>
      </c>
      <c r="B159" s="615" t="s">
        <v>246</v>
      </c>
      <c r="C159" s="609">
        <v>0</v>
      </c>
      <c r="D159" s="609">
        <v>0</v>
      </c>
      <c r="E159" s="609"/>
      <c r="F159" s="609">
        <v>0</v>
      </c>
      <c r="G159" s="609">
        <v>0</v>
      </c>
      <c r="H159" s="609"/>
      <c r="I159" s="609">
        <v>0</v>
      </c>
      <c r="J159" s="609">
        <v>0</v>
      </c>
      <c r="K159" s="609"/>
      <c r="L159" s="609">
        <v>0</v>
      </c>
      <c r="M159" s="609">
        <v>0</v>
      </c>
      <c r="N159" s="609"/>
      <c r="O159" s="609">
        <v>0</v>
      </c>
      <c r="P159" s="609">
        <v>0</v>
      </c>
      <c r="Q159" s="609"/>
      <c r="R159" s="609">
        <v>0</v>
      </c>
      <c r="S159" s="609">
        <v>0</v>
      </c>
      <c r="T159" s="616"/>
      <c r="U159" s="623"/>
      <c r="V159" s="626">
        <f>V134/20</f>
        <v>1.45</v>
      </c>
      <c r="W159" s="632"/>
      <c r="X159" s="626"/>
      <c r="Y159" s="626">
        <f>Y134/20</f>
        <v>1.9</v>
      </c>
      <c r="Z159" s="626"/>
      <c r="AA159" s="626"/>
      <c r="AB159" s="626">
        <f>AB134/20</f>
        <v>2.2999999999999998</v>
      </c>
      <c r="AC159" s="626"/>
      <c r="AD159" s="626"/>
      <c r="AE159" s="626">
        <f>AE134/20</f>
        <v>1.7</v>
      </c>
      <c r="AF159" s="626"/>
      <c r="AG159" s="626"/>
      <c r="AH159" s="626">
        <f>AH134/20</f>
        <v>1.7</v>
      </c>
      <c r="AI159" s="626"/>
      <c r="AJ159" s="626"/>
      <c r="AK159" s="626">
        <v>0</v>
      </c>
    </row>
    <row r="160" spans="1:37" s="615" customFormat="1">
      <c r="A160" s="615" t="s">
        <v>209</v>
      </c>
      <c r="B160" s="615" t="s">
        <v>247</v>
      </c>
      <c r="C160" s="609">
        <v>0</v>
      </c>
      <c r="D160" s="609">
        <v>0</v>
      </c>
      <c r="E160" s="609"/>
      <c r="F160" s="609">
        <v>0</v>
      </c>
      <c r="G160" s="609">
        <v>0</v>
      </c>
      <c r="H160" s="609"/>
      <c r="I160" s="609">
        <v>0</v>
      </c>
      <c r="J160" s="609">
        <v>0</v>
      </c>
      <c r="K160" s="609"/>
      <c r="L160" s="609">
        <v>0</v>
      </c>
      <c r="M160" s="609">
        <v>0</v>
      </c>
      <c r="N160" s="609"/>
      <c r="O160" s="609">
        <v>0</v>
      </c>
      <c r="P160" s="609">
        <v>0</v>
      </c>
      <c r="Q160" s="609"/>
      <c r="R160" s="609">
        <v>0</v>
      </c>
      <c r="S160" s="609">
        <v>0</v>
      </c>
      <c r="T160" s="616"/>
      <c r="U160" s="623"/>
      <c r="V160" s="626">
        <f>V134/20</f>
        <v>1.45</v>
      </c>
      <c r="W160" s="632"/>
      <c r="X160" s="626"/>
      <c r="Y160" s="626">
        <f>Y134/20</f>
        <v>1.9</v>
      </c>
      <c r="Z160" s="626"/>
      <c r="AA160" s="626"/>
      <c r="AB160" s="626">
        <f>AB134/20</f>
        <v>2.2999999999999998</v>
      </c>
      <c r="AC160" s="626"/>
      <c r="AD160" s="626"/>
      <c r="AE160" s="626">
        <f>AE134/20</f>
        <v>1.7</v>
      </c>
      <c r="AF160" s="626"/>
      <c r="AG160" s="626"/>
      <c r="AH160" s="626">
        <f>AH134/20</f>
        <v>1.7</v>
      </c>
      <c r="AI160" s="626"/>
      <c r="AJ160" s="626"/>
      <c r="AK160" s="626"/>
    </row>
    <row r="161" spans="1:37" s="615" customFormat="1">
      <c r="A161" s="615" t="s">
        <v>209</v>
      </c>
      <c r="B161" s="615" t="s">
        <v>221</v>
      </c>
      <c r="C161" s="609">
        <v>0</v>
      </c>
      <c r="D161" s="609">
        <v>0</v>
      </c>
      <c r="E161" s="609"/>
      <c r="F161" s="609">
        <v>0</v>
      </c>
      <c r="G161" s="609">
        <v>0</v>
      </c>
      <c r="H161" s="609"/>
      <c r="I161" s="609">
        <v>0</v>
      </c>
      <c r="J161" s="609">
        <v>0</v>
      </c>
      <c r="K161" s="609"/>
      <c r="L161" s="609">
        <v>0</v>
      </c>
      <c r="M161" s="609">
        <v>0</v>
      </c>
      <c r="N161" s="609"/>
      <c r="O161" s="609">
        <v>0</v>
      </c>
      <c r="P161" s="609">
        <v>0</v>
      </c>
      <c r="Q161" s="609"/>
      <c r="R161" s="609">
        <v>0</v>
      </c>
      <c r="S161" s="609">
        <v>0</v>
      </c>
      <c r="T161" s="616"/>
      <c r="U161" s="623"/>
      <c r="V161" s="626">
        <f>V134/5</f>
        <v>5.8</v>
      </c>
      <c r="W161" s="632"/>
      <c r="X161" s="626"/>
      <c r="Y161" s="626">
        <f>Y134/5</f>
        <v>7.6</v>
      </c>
      <c r="Z161" s="626"/>
      <c r="AA161" s="626"/>
      <c r="AB161" s="626">
        <f>AB134/5</f>
        <v>9.1999999999999993</v>
      </c>
      <c r="AC161" s="626"/>
      <c r="AD161" s="626"/>
      <c r="AE161" s="626">
        <f>AE134/5</f>
        <v>6.8</v>
      </c>
      <c r="AF161" s="626"/>
      <c r="AG161" s="626"/>
      <c r="AH161" s="626">
        <f>AH134/5</f>
        <v>6.8</v>
      </c>
      <c r="AI161" s="626"/>
      <c r="AJ161" s="626"/>
      <c r="AK161" s="626"/>
    </row>
    <row r="162" spans="1:37" s="615" customFormat="1">
      <c r="A162" s="615" t="s">
        <v>209</v>
      </c>
      <c r="B162" s="615" t="s">
        <v>248</v>
      </c>
      <c r="C162" s="609">
        <v>0</v>
      </c>
      <c r="D162" s="609">
        <v>0</v>
      </c>
      <c r="E162" s="609"/>
      <c r="F162" s="609">
        <v>0</v>
      </c>
      <c r="G162" s="609">
        <v>0</v>
      </c>
      <c r="H162" s="609"/>
      <c r="I162" s="609">
        <v>0</v>
      </c>
      <c r="J162" s="609">
        <v>0</v>
      </c>
      <c r="K162" s="609"/>
      <c r="L162" s="609">
        <v>0</v>
      </c>
      <c r="M162" s="609">
        <v>0</v>
      </c>
      <c r="N162" s="609"/>
      <c r="O162" s="609">
        <v>0</v>
      </c>
      <c r="P162" s="609">
        <v>0</v>
      </c>
      <c r="Q162" s="609"/>
      <c r="R162" s="609">
        <v>0</v>
      </c>
      <c r="S162" s="609">
        <v>0</v>
      </c>
      <c r="T162" s="616"/>
      <c r="U162" s="623"/>
      <c r="V162" s="626">
        <f>V134/10</f>
        <v>2.9</v>
      </c>
      <c r="W162" s="632"/>
      <c r="X162" s="626"/>
      <c r="Y162" s="626">
        <f>Y134/10</f>
        <v>3.8</v>
      </c>
      <c r="Z162" s="626"/>
      <c r="AA162" s="626"/>
      <c r="AB162" s="626">
        <f>AB134/10</f>
        <v>4.5999999999999996</v>
      </c>
      <c r="AC162" s="626"/>
      <c r="AD162" s="626"/>
      <c r="AE162" s="626">
        <f>AE134/10</f>
        <v>3.4</v>
      </c>
      <c r="AF162" s="626"/>
      <c r="AG162" s="626"/>
      <c r="AH162" s="626">
        <f>AH134/10</f>
        <v>3.4</v>
      </c>
      <c r="AI162" s="626"/>
      <c r="AJ162" s="626"/>
      <c r="AK162" s="626"/>
    </row>
    <row r="163" spans="1:37" s="615" customFormat="1">
      <c r="A163" s="615" t="s">
        <v>209</v>
      </c>
      <c r="B163" s="615" t="s">
        <v>249</v>
      </c>
      <c r="C163" s="609">
        <v>0</v>
      </c>
      <c r="D163" s="609">
        <v>0</v>
      </c>
      <c r="E163" s="609"/>
      <c r="F163" s="609">
        <v>0</v>
      </c>
      <c r="G163" s="609">
        <v>0</v>
      </c>
      <c r="H163" s="609"/>
      <c r="I163" s="609">
        <v>0</v>
      </c>
      <c r="J163" s="609">
        <v>0</v>
      </c>
      <c r="K163" s="609"/>
      <c r="L163" s="609">
        <v>0</v>
      </c>
      <c r="M163" s="609">
        <v>0</v>
      </c>
      <c r="N163" s="609"/>
      <c r="O163" s="609">
        <v>0</v>
      </c>
      <c r="P163" s="609">
        <v>0</v>
      </c>
      <c r="Q163" s="609"/>
      <c r="R163" s="609">
        <v>0</v>
      </c>
      <c r="S163" s="609">
        <v>0</v>
      </c>
      <c r="T163" s="616"/>
      <c r="U163" s="623"/>
      <c r="V163" s="626">
        <f>V134*2/5</f>
        <v>11.6</v>
      </c>
      <c r="W163" s="632"/>
      <c r="X163" s="626"/>
      <c r="Y163" s="626">
        <f>Y134*2/5</f>
        <v>15.2</v>
      </c>
      <c r="Z163" s="626"/>
      <c r="AA163" s="626"/>
      <c r="AB163" s="626">
        <f>AB134*2/5</f>
        <v>18.399999999999999</v>
      </c>
      <c r="AC163" s="626"/>
      <c r="AD163" s="626"/>
      <c r="AE163" s="626">
        <f>AE134*2/5</f>
        <v>13.6</v>
      </c>
      <c r="AF163" s="626"/>
      <c r="AG163" s="626"/>
      <c r="AH163" s="626">
        <f>AH134*2/5</f>
        <v>13.6</v>
      </c>
      <c r="AI163" s="626"/>
      <c r="AJ163" s="626"/>
      <c r="AK163" s="626"/>
    </row>
    <row r="164" spans="1:37" s="615" customFormat="1">
      <c r="A164" s="615" t="s">
        <v>209</v>
      </c>
      <c r="B164" s="615" t="s">
        <v>250</v>
      </c>
      <c r="C164" s="609">
        <v>0</v>
      </c>
      <c r="D164" s="609">
        <v>0</v>
      </c>
      <c r="E164" s="609"/>
      <c r="F164" s="609">
        <v>0</v>
      </c>
      <c r="G164" s="609">
        <v>0</v>
      </c>
      <c r="H164" s="609"/>
      <c r="I164" s="609">
        <v>0</v>
      </c>
      <c r="J164" s="609">
        <v>0</v>
      </c>
      <c r="K164" s="609"/>
      <c r="L164" s="609">
        <v>0</v>
      </c>
      <c r="M164" s="609">
        <v>0</v>
      </c>
      <c r="N164" s="609"/>
      <c r="O164" s="609">
        <v>0</v>
      </c>
      <c r="P164" s="609">
        <v>0</v>
      </c>
      <c r="Q164" s="609"/>
      <c r="R164" s="609">
        <v>0</v>
      </c>
      <c r="S164" s="609">
        <v>0</v>
      </c>
      <c r="T164" s="616"/>
      <c r="U164" s="623"/>
      <c r="V164" s="626">
        <f>V134/10</f>
        <v>2.9</v>
      </c>
      <c r="W164" s="632"/>
      <c r="X164" s="626"/>
      <c r="Y164" s="626">
        <f>Y134/10</f>
        <v>3.8</v>
      </c>
      <c r="Z164" s="626"/>
      <c r="AA164" s="626"/>
      <c r="AB164" s="626">
        <f>AB134/10</f>
        <v>4.5999999999999996</v>
      </c>
      <c r="AC164" s="626"/>
      <c r="AD164" s="626"/>
      <c r="AE164" s="626">
        <f>AE134/10</f>
        <v>3.4</v>
      </c>
      <c r="AF164" s="626"/>
      <c r="AG164" s="626"/>
      <c r="AH164" s="626">
        <f>AH134/10</f>
        <v>3.4</v>
      </c>
      <c r="AI164" s="626"/>
      <c r="AJ164" s="626"/>
      <c r="AK164" s="626"/>
    </row>
    <row r="165" spans="1:37" s="615" customFormat="1">
      <c r="A165" s="615" t="s">
        <v>209</v>
      </c>
      <c r="B165" s="615" t="s">
        <v>251</v>
      </c>
      <c r="C165" s="609">
        <v>0</v>
      </c>
      <c r="D165" s="609">
        <v>0</v>
      </c>
      <c r="E165" s="609"/>
      <c r="F165" s="609">
        <v>0</v>
      </c>
      <c r="G165" s="609">
        <v>0</v>
      </c>
      <c r="H165" s="609"/>
      <c r="I165" s="609">
        <v>0</v>
      </c>
      <c r="J165" s="609">
        <v>0</v>
      </c>
      <c r="K165" s="609"/>
      <c r="L165" s="609">
        <v>0</v>
      </c>
      <c r="M165" s="609">
        <v>0</v>
      </c>
      <c r="N165" s="609"/>
      <c r="O165" s="609">
        <v>0</v>
      </c>
      <c r="P165" s="609">
        <v>0</v>
      </c>
      <c r="Q165" s="609"/>
      <c r="R165" s="609">
        <v>0</v>
      </c>
      <c r="S165" s="609">
        <v>0</v>
      </c>
      <c r="T165" s="616"/>
      <c r="U165" s="623"/>
      <c r="V165" s="626">
        <f>V134/10</f>
        <v>2.9</v>
      </c>
      <c r="X165" s="626"/>
      <c r="Y165" s="626">
        <f>Y134/10</f>
        <v>3.8</v>
      </c>
      <c r="AA165" s="626"/>
      <c r="AB165" s="626">
        <f>AB134/10</f>
        <v>4.5999999999999996</v>
      </c>
      <c r="AD165" s="626"/>
      <c r="AE165" s="626">
        <f>AE134/10</f>
        <v>3.4</v>
      </c>
      <c r="AG165" s="626"/>
      <c r="AH165" s="626">
        <f>AH134/10</f>
        <v>3.4</v>
      </c>
      <c r="AJ165" s="626"/>
      <c r="AK165" s="626">
        <v>0</v>
      </c>
    </row>
    <row r="166" spans="1:37" s="617" customFormat="1">
      <c r="A166" s="617" t="s">
        <v>168</v>
      </c>
      <c r="B166" s="617" t="s">
        <v>246</v>
      </c>
      <c r="C166" s="609">
        <v>0</v>
      </c>
      <c r="D166" s="609">
        <v>0</v>
      </c>
      <c r="E166" s="609"/>
      <c r="F166" s="609">
        <v>0</v>
      </c>
      <c r="G166" s="609">
        <v>0</v>
      </c>
      <c r="H166" s="609"/>
      <c r="I166" s="609">
        <v>0</v>
      </c>
      <c r="J166" s="609">
        <v>0</v>
      </c>
      <c r="K166" s="609"/>
      <c r="L166" s="609">
        <v>0</v>
      </c>
      <c r="M166" s="609">
        <v>0</v>
      </c>
      <c r="N166" s="609"/>
      <c r="O166" s="609">
        <v>0</v>
      </c>
      <c r="P166" s="609">
        <v>0</v>
      </c>
      <c r="Q166" s="609"/>
      <c r="R166" s="609">
        <v>0</v>
      </c>
      <c r="S166" s="609">
        <v>0</v>
      </c>
      <c r="T166" s="618"/>
      <c r="U166" s="623"/>
      <c r="V166" s="627">
        <f>V135/20</f>
        <v>0.4</v>
      </c>
      <c r="W166" s="631"/>
      <c r="X166" s="627"/>
      <c r="Y166" s="627">
        <f>Y135/20</f>
        <v>0.5</v>
      </c>
      <c r="Z166" s="627"/>
      <c r="AA166" s="627"/>
      <c r="AB166" s="627">
        <f>AB135/20</f>
        <v>0.55000000000000004</v>
      </c>
      <c r="AC166" s="627"/>
      <c r="AD166" s="627"/>
      <c r="AE166" s="627">
        <f>AE135/20</f>
        <v>0.55000000000000004</v>
      </c>
      <c r="AF166" s="627"/>
      <c r="AG166" s="627"/>
      <c r="AH166" s="627">
        <f>AH135/20</f>
        <v>0</v>
      </c>
      <c r="AI166" s="627"/>
      <c r="AJ166" s="627">
        <f>AK172/20</f>
        <v>0</v>
      </c>
      <c r="AK166" s="627">
        <v>0</v>
      </c>
    </row>
    <row r="167" spans="1:37" s="617" customFormat="1">
      <c r="A167" s="617" t="s">
        <v>168</v>
      </c>
      <c r="B167" s="617" t="s">
        <v>247</v>
      </c>
      <c r="C167" s="609">
        <v>0</v>
      </c>
      <c r="D167" s="609">
        <v>0</v>
      </c>
      <c r="E167" s="609"/>
      <c r="F167" s="609">
        <v>0</v>
      </c>
      <c r="G167" s="609">
        <v>0</v>
      </c>
      <c r="H167" s="609"/>
      <c r="I167" s="609">
        <v>0</v>
      </c>
      <c r="J167" s="609">
        <v>0</v>
      </c>
      <c r="K167" s="609"/>
      <c r="L167" s="609">
        <v>0</v>
      </c>
      <c r="M167" s="609">
        <v>0</v>
      </c>
      <c r="N167" s="609"/>
      <c r="O167" s="609">
        <v>0</v>
      </c>
      <c r="P167" s="609">
        <v>0</v>
      </c>
      <c r="Q167" s="609"/>
      <c r="R167" s="609">
        <v>0</v>
      </c>
      <c r="S167" s="609">
        <v>0</v>
      </c>
      <c r="T167" s="618"/>
      <c r="U167" s="623"/>
      <c r="V167" s="627">
        <f>V135/20</f>
        <v>0.4</v>
      </c>
      <c r="W167" s="631"/>
      <c r="X167" s="627"/>
      <c r="Y167" s="627">
        <f>Y135/20</f>
        <v>0.5</v>
      </c>
      <c r="Z167" s="627"/>
      <c r="AA167" s="627"/>
      <c r="AB167" s="627">
        <f>AB135/20</f>
        <v>0.55000000000000004</v>
      </c>
      <c r="AC167" s="627"/>
      <c r="AD167" s="627"/>
      <c r="AE167" s="627">
        <f>AE135/20</f>
        <v>0.55000000000000004</v>
      </c>
      <c r="AF167" s="627"/>
      <c r="AG167" s="627"/>
      <c r="AH167" s="627">
        <f>AH135/20</f>
        <v>0</v>
      </c>
      <c r="AI167" s="627"/>
      <c r="AJ167" s="627">
        <f>AK172/20</f>
        <v>0</v>
      </c>
      <c r="AK167" s="627"/>
    </row>
    <row r="168" spans="1:37" s="617" customFormat="1">
      <c r="A168" s="617" t="s">
        <v>168</v>
      </c>
      <c r="B168" s="617" t="s">
        <v>221</v>
      </c>
      <c r="C168" s="609">
        <v>0</v>
      </c>
      <c r="D168" s="609">
        <v>0</v>
      </c>
      <c r="E168" s="609"/>
      <c r="F168" s="609">
        <v>0</v>
      </c>
      <c r="G168" s="609">
        <v>0</v>
      </c>
      <c r="H168" s="609"/>
      <c r="I168" s="609">
        <v>0</v>
      </c>
      <c r="J168" s="609">
        <v>0</v>
      </c>
      <c r="K168" s="609"/>
      <c r="L168" s="609">
        <v>0</v>
      </c>
      <c r="M168" s="609">
        <v>0</v>
      </c>
      <c r="N168" s="609"/>
      <c r="O168" s="609">
        <v>0</v>
      </c>
      <c r="P168" s="609">
        <v>0</v>
      </c>
      <c r="Q168" s="609"/>
      <c r="R168" s="609">
        <v>0</v>
      </c>
      <c r="S168" s="609">
        <v>0</v>
      </c>
      <c r="T168" s="618"/>
      <c r="U168" s="623"/>
      <c r="V168" s="627">
        <f>V135/5</f>
        <v>1.6</v>
      </c>
      <c r="W168" s="631"/>
      <c r="X168" s="627"/>
      <c r="Y168" s="627">
        <f>Y135/5</f>
        <v>2</v>
      </c>
      <c r="Z168" s="627"/>
      <c r="AA168" s="627"/>
      <c r="AB168" s="627">
        <f>AB135/5</f>
        <v>2.2000000000000002</v>
      </c>
      <c r="AC168" s="627"/>
      <c r="AD168" s="627"/>
      <c r="AE168" s="627">
        <f>AE135/5</f>
        <v>2.2000000000000002</v>
      </c>
      <c r="AF168" s="627"/>
      <c r="AG168" s="627"/>
      <c r="AH168" s="627">
        <f>AH135/5</f>
        <v>0</v>
      </c>
      <c r="AI168" s="627"/>
      <c r="AJ168" s="627">
        <f>AK172/5</f>
        <v>0</v>
      </c>
      <c r="AK168" s="627"/>
    </row>
    <row r="169" spans="1:37" s="617" customFormat="1">
      <c r="A169" s="617" t="s">
        <v>168</v>
      </c>
      <c r="B169" s="617" t="s">
        <v>248</v>
      </c>
      <c r="C169" s="609">
        <v>0</v>
      </c>
      <c r="D169" s="609">
        <v>0</v>
      </c>
      <c r="E169" s="609"/>
      <c r="F169" s="609">
        <v>0</v>
      </c>
      <c r="G169" s="609">
        <v>0</v>
      </c>
      <c r="H169" s="609"/>
      <c r="I169" s="609">
        <v>0</v>
      </c>
      <c r="J169" s="609">
        <v>0</v>
      </c>
      <c r="K169" s="609"/>
      <c r="L169" s="609">
        <v>0</v>
      </c>
      <c r="M169" s="609">
        <v>0</v>
      </c>
      <c r="N169" s="609"/>
      <c r="O169" s="609">
        <v>0</v>
      </c>
      <c r="P169" s="609">
        <v>0</v>
      </c>
      <c r="Q169" s="609"/>
      <c r="R169" s="609">
        <v>0</v>
      </c>
      <c r="S169" s="609">
        <v>0</v>
      </c>
      <c r="T169" s="618"/>
      <c r="U169" s="623"/>
      <c r="V169" s="627">
        <f>V135/10</f>
        <v>0.8</v>
      </c>
      <c r="W169" s="631"/>
      <c r="X169" s="627"/>
      <c r="Y169" s="627">
        <f>Y135/10</f>
        <v>1</v>
      </c>
      <c r="Z169" s="627"/>
      <c r="AA169" s="627"/>
      <c r="AB169" s="627">
        <f>AB135/10</f>
        <v>1.1000000000000001</v>
      </c>
      <c r="AC169" s="627"/>
      <c r="AD169" s="627"/>
      <c r="AE169" s="627">
        <f>AE135/10</f>
        <v>1.1000000000000001</v>
      </c>
      <c r="AF169" s="627"/>
      <c r="AG169" s="627"/>
      <c r="AH169" s="627">
        <f>AH135/10</f>
        <v>0</v>
      </c>
      <c r="AI169" s="627"/>
      <c r="AJ169" s="627">
        <f>AK172/10</f>
        <v>0</v>
      </c>
      <c r="AK169" s="627"/>
    </row>
    <row r="170" spans="1:37" s="617" customFormat="1">
      <c r="A170" s="617" t="s">
        <v>168</v>
      </c>
      <c r="B170" s="617" t="s">
        <v>249</v>
      </c>
      <c r="C170" s="609">
        <v>0</v>
      </c>
      <c r="D170" s="609">
        <v>0</v>
      </c>
      <c r="E170" s="609"/>
      <c r="F170" s="609">
        <v>0</v>
      </c>
      <c r="G170" s="609">
        <v>0</v>
      </c>
      <c r="H170" s="609"/>
      <c r="I170" s="609">
        <v>0</v>
      </c>
      <c r="J170" s="609">
        <v>0</v>
      </c>
      <c r="K170" s="609"/>
      <c r="L170" s="609">
        <v>0</v>
      </c>
      <c r="M170" s="609">
        <v>0</v>
      </c>
      <c r="N170" s="609"/>
      <c r="O170" s="609">
        <v>0</v>
      </c>
      <c r="P170" s="609">
        <v>0</v>
      </c>
      <c r="Q170" s="609"/>
      <c r="R170" s="609">
        <v>0</v>
      </c>
      <c r="S170" s="609">
        <v>0</v>
      </c>
      <c r="T170" s="618"/>
      <c r="U170" s="623"/>
      <c r="V170" s="627">
        <f>V135*2/5</f>
        <v>3.2</v>
      </c>
      <c r="W170" s="631"/>
      <c r="X170" s="627"/>
      <c r="Y170" s="627">
        <f>Y135*2/5</f>
        <v>4</v>
      </c>
      <c r="Z170" s="627"/>
      <c r="AA170" s="627"/>
      <c r="AB170" s="627">
        <f>AB135*2/5</f>
        <v>4.4000000000000004</v>
      </c>
      <c r="AC170" s="627"/>
      <c r="AD170" s="627"/>
      <c r="AE170" s="627">
        <f>AE135*2/5</f>
        <v>4.4000000000000004</v>
      </c>
      <c r="AF170" s="627"/>
      <c r="AG170" s="627"/>
      <c r="AH170" s="627">
        <f>AH135*2/5</f>
        <v>0</v>
      </c>
      <c r="AI170" s="627"/>
      <c r="AJ170" s="627">
        <f>AK172*2/5</f>
        <v>0</v>
      </c>
      <c r="AK170" s="627"/>
    </row>
    <row r="171" spans="1:37" s="617" customFormat="1">
      <c r="A171" s="617" t="s">
        <v>168</v>
      </c>
      <c r="B171" s="617" t="s">
        <v>250</v>
      </c>
      <c r="C171" s="609">
        <v>0</v>
      </c>
      <c r="D171" s="609">
        <v>0</v>
      </c>
      <c r="E171" s="609"/>
      <c r="F171" s="609">
        <v>0</v>
      </c>
      <c r="G171" s="609">
        <v>0</v>
      </c>
      <c r="H171" s="609"/>
      <c r="I171" s="609">
        <v>0</v>
      </c>
      <c r="J171" s="609">
        <v>0</v>
      </c>
      <c r="K171" s="609"/>
      <c r="L171" s="609">
        <v>0</v>
      </c>
      <c r="M171" s="609">
        <v>0</v>
      </c>
      <c r="N171" s="609"/>
      <c r="O171" s="609">
        <v>0</v>
      </c>
      <c r="P171" s="609">
        <v>0</v>
      </c>
      <c r="Q171" s="609"/>
      <c r="R171" s="609">
        <v>0</v>
      </c>
      <c r="S171" s="609">
        <v>0</v>
      </c>
      <c r="T171" s="618"/>
      <c r="U171" s="623"/>
      <c r="V171" s="627">
        <f>V135/10</f>
        <v>0.8</v>
      </c>
      <c r="W171" s="631"/>
      <c r="X171" s="627"/>
      <c r="Y171" s="627">
        <f>Y135/10</f>
        <v>1</v>
      </c>
      <c r="Z171" s="627"/>
      <c r="AA171" s="627"/>
      <c r="AB171" s="627">
        <f>AB135/10</f>
        <v>1.1000000000000001</v>
      </c>
      <c r="AC171" s="627"/>
      <c r="AD171" s="627"/>
      <c r="AE171" s="627">
        <f>AE135/10</f>
        <v>1.1000000000000001</v>
      </c>
      <c r="AF171" s="627"/>
      <c r="AG171" s="627"/>
      <c r="AH171" s="627">
        <f>AH135/10</f>
        <v>0</v>
      </c>
      <c r="AI171" s="627"/>
      <c r="AJ171" s="627">
        <f>AK172/10</f>
        <v>0</v>
      </c>
      <c r="AK171" s="627">
        <v>0</v>
      </c>
    </row>
    <row r="172" spans="1:37" s="617" customFormat="1">
      <c r="A172" s="617" t="s">
        <v>168</v>
      </c>
      <c r="B172" s="617" t="s">
        <v>251</v>
      </c>
      <c r="C172" s="609">
        <v>0</v>
      </c>
      <c r="D172" s="609">
        <v>0</v>
      </c>
      <c r="E172" s="609"/>
      <c r="F172" s="609">
        <v>0</v>
      </c>
      <c r="G172" s="609">
        <v>0</v>
      </c>
      <c r="H172" s="609"/>
      <c r="I172" s="609">
        <v>0</v>
      </c>
      <c r="J172" s="609">
        <v>0</v>
      </c>
      <c r="K172" s="609"/>
      <c r="L172" s="609">
        <v>0</v>
      </c>
      <c r="M172" s="609">
        <v>0</v>
      </c>
      <c r="N172" s="609"/>
      <c r="O172" s="609">
        <v>0</v>
      </c>
      <c r="P172" s="609">
        <v>0</v>
      </c>
      <c r="Q172" s="609"/>
      <c r="R172" s="609">
        <v>0</v>
      </c>
      <c r="S172" s="609">
        <v>0</v>
      </c>
      <c r="T172" s="618"/>
      <c r="U172" s="623"/>
      <c r="V172" s="627">
        <f>V135/10</f>
        <v>0.8</v>
      </c>
      <c r="X172" s="627"/>
      <c r="Y172" s="627">
        <f>Y135/10</f>
        <v>1</v>
      </c>
      <c r="AA172" s="627"/>
      <c r="AB172" s="627">
        <f>AB135/10</f>
        <v>1.1000000000000001</v>
      </c>
      <c r="AD172" s="627"/>
      <c r="AE172" s="627">
        <f>AE135/10</f>
        <v>1.1000000000000001</v>
      </c>
      <c r="AG172" s="627"/>
      <c r="AH172" s="627">
        <f>AH135/10</f>
        <v>0</v>
      </c>
      <c r="AJ172" s="627">
        <f>AK172/10</f>
        <v>0</v>
      </c>
      <c r="AK172" s="627">
        <v>0</v>
      </c>
    </row>
    <row r="173" spans="1:37">
      <c r="A173" s="608" t="s">
        <v>210</v>
      </c>
      <c r="B173" s="608"/>
      <c r="C173" s="609"/>
      <c r="D173" s="609"/>
      <c r="E173" s="609"/>
      <c r="F173" s="609"/>
      <c r="G173" s="609"/>
      <c r="H173" s="609"/>
      <c r="I173" s="609"/>
      <c r="J173" s="609"/>
      <c r="K173" s="609"/>
      <c r="L173" s="609"/>
      <c r="M173" s="609"/>
      <c r="N173" s="609"/>
      <c r="O173" s="609"/>
      <c r="P173" s="609"/>
      <c r="Q173" s="609"/>
      <c r="R173" s="609"/>
      <c r="S173" s="609"/>
      <c r="T173" s="609"/>
      <c r="U173" s="623"/>
      <c r="V173" s="627"/>
      <c r="W173" s="631"/>
      <c r="X173" s="627"/>
      <c r="Y173" s="627"/>
      <c r="Z173" s="627"/>
      <c r="AA173" s="627"/>
      <c r="AB173" s="627"/>
      <c r="AC173" s="627"/>
      <c r="AD173" s="627"/>
      <c r="AE173" s="627"/>
      <c r="AF173" s="627"/>
      <c r="AG173" s="627"/>
      <c r="AH173" s="627"/>
      <c r="AI173" s="627"/>
      <c r="AJ173" s="627"/>
      <c r="AK173" s="627"/>
    </row>
    <row r="174" spans="1:37">
      <c r="A174" s="608" t="s">
        <v>210</v>
      </c>
      <c r="B174" s="608"/>
      <c r="C174" s="609"/>
      <c r="D174" s="609"/>
      <c r="E174" s="609"/>
      <c r="F174" s="609"/>
      <c r="G174" s="609"/>
      <c r="H174" s="610"/>
      <c r="I174" s="609"/>
      <c r="J174" s="609"/>
      <c r="K174" s="609"/>
      <c r="L174" s="609"/>
      <c r="M174" s="609"/>
      <c r="N174" s="609"/>
      <c r="O174" s="609"/>
      <c r="P174" s="609"/>
      <c r="Q174" s="609"/>
      <c r="R174" s="609"/>
      <c r="S174" s="609"/>
      <c r="T174" s="609"/>
      <c r="U174" s="609"/>
      <c r="V174" s="620"/>
      <c r="W174" s="630"/>
      <c r="X174" s="620"/>
      <c r="Y174" s="620"/>
      <c r="Z174" s="620"/>
      <c r="AA174" s="620"/>
      <c r="AB174" s="620"/>
      <c r="AC174" s="620"/>
      <c r="AD174" s="620"/>
      <c r="AE174" s="620"/>
      <c r="AF174" s="620"/>
      <c r="AG174" s="620"/>
      <c r="AH174" s="620"/>
      <c r="AI174" s="620"/>
      <c r="AJ174" s="620"/>
      <c r="AK174" s="620"/>
    </row>
    <row r="175" spans="1:37">
      <c r="A175" s="608" t="s">
        <v>210</v>
      </c>
      <c r="B175" s="608"/>
      <c r="C175" s="609"/>
      <c r="D175" s="609"/>
      <c r="E175" s="610"/>
      <c r="F175" s="609"/>
      <c r="G175" s="609"/>
      <c r="H175" s="609"/>
      <c r="I175" s="609"/>
      <c r="J175" s="609"/>
      <c r="K175" s="609"/>
      <c r="L175" s="609"/>
      <c r="M175" s="609"/>
      <c r="N175" s="609"/>
      <c r="O175" s="609"/>
      <c r="P175" s="609"/>
      <c r="Q175" s="609"/>
      <c r="R175" s="609"/>
      <c r="S175" s="609"/>
      <c r="T175" s="609"/>
      <c r="U175" s="609"/>
      <c r="V175" s="609"/>
      <c r="W175" s="593"/>
      <c r="X175" s="609"/>
      <c r="Y175" s="609"/>
      <c r="Z175" s="593"/>
      <c r="AA175" s="609"/>
      <c r="AB175" s="609"/>
      <c r="AC175" s="593"/>
      <c r="AD175" s="609"/>
      <c r="AE175" s="609"/>
      <c r="AF175" s="593"/>
      <c r="AG175" s="609"/>
      <c r="AH175" s="609"/>
      <c r="AI175" s="593"/>
      <c r="AJ175" s="609"/>
      <c r="AK175" s="609"/>
    </row>
    <row r="176" spans="1:37">
      <c r="A176" s="608"/>
      <c r="B176" s="608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09"/>
      <c r="P176" s="609"/>
      <c r="Q176" s="609"/>
      <c r="R176" s="609"/>
      <c r="S176" s="609"/>
      <c r="T176" s="609"/>
      <c r="U176" s="609"/>
      <c r="V176" s="609"/>
      <c r="W176" s="593"/>
      <c r="X176" s="593"/>
      <c r="Y176" s="593"/>
      <c r="Z176" s="593"/>
      <c r="AA176" s="593"/>
      <c r="AB176" s="593"/>
      <c r="AC176" s="593"/>
      <c r="AD176" s="593"/>
      <c r="AE176" s="593"/>
      <c r="AF176" s="593"/>
      <c r="AG176" s="593"/>
      <c r="AH176" s="593"/>
      <c r="AI176" s="593"/>
      <c r="AJ176" s="593"/>
      <c r="AK176" s="593"/>
    </row>
    <row r="177" spans="1:43">
      <c r="A177" s="608"/>
      <c r="B177" s="608"/>
      <c r="C177" s="608" t="s">
        <v>188</v>
      </c>
      <c r="D177" s="608"/>
      <c r="E177" s="608" t="s">
        <v>189</v>
      </c>
      <c r="F177" s="608" t="s">
        <v>190</v>
      </c>
      <c r="G177" s="608"/>
      <c r="H177" s="608" t="s">
        <v>189</v>
      </c>
      <c r="I177" s="608" t="s">
        <v>191</v>
      </c>
      <c r="J177" s="608"/>
      <c r="K177" s="608"/>
      <c r="L177" s="608" t="s">
        <v>192</v>
      </c>
      <c r="M177" s="608"/>
      <c r="N177" s="608" t="s">
        <v>189</v>
      </c>
      <c r="O177" s="608" t="s">
        <v>193</v>
      </c>
      <c r="P177" s="608"/>
      <c r="Q177" s="608" t="s">
        <v>189</v>
      </c>
      <c r="R177" s="608" t="s">
        <v>194</v>
      </c>
      <c r="S177" s="608"/>
      <c r="T177" s="608" t="s">
        <v>189</v>
      </c>
      <c r="U177" s="608" t="s">
        <v>195</v>
      </c>
      <c r="V177" s="608"/>
      <c r="W177" s="544" t="s">
        <v>189</v>
      </c>
      <c r="X177" s="544" t="s">
        <v>196</v>
      </c>
      <c r="Z177" s="544" t="s">
        <v>189</v>
      </c>
      <c r="AA177" s="544" t="s">
        <v>197</v>
      </c>
      <c r="AC177" s="544" t="s">
        <v>189</v>
      </c>
      <c r="AD177" s="544" t="s">
        <v>198</v>
      </c>
      <c r="AF177" s="544" t="s">
        <v>189</v>
      </c>
      <c r="AG177" s="544" t="s">
        <v>199</v>
      </c>
      <c r="AI177" s="544" t="s">
        <v>189</v>
      </c>
      <c r="AJ177" s="544" t="s">
        <v>200</v>
      </c>
    </row>
    <row r="178" spans="1:43">
      <c r="C178" s="544" t="s">
        <v>142</v>
      </c>
      <c r="D178" s="544" t="s">
        <v>185</v>
      </c>
      <c r="F178" s="544" t="s">
        <v>142</v>
      </c>
      <c r="G178" s="544" t="s">
        <v>185</v>
      </c>
      <c r="I178" s="544" t="s">
        <v>142</v>
      </c>
      <c r="J178" s="544" t="s">
        <v>185</v>
      </c>
      <c r="L178" s="544" t="s">
        <v>142</v>
      </c>
      <c r="M178" s="544" t="s">
        <v>185</v>
      </c>
      <c r="O178" s="544" t="s">
        <v>142</v>
      </c>
      <c r="P178" s="544" t="s">
        <v>185</v>
      </c>
      <c r="R178" s="544" t="s">
        <v>142</v>
      </c>
      <c r="S178" s="544" t="s">
        <v>185</v>
      </c>
      <c r="U178" s="544" t="s">
        <v>142</v>
      </c>
      <c r="V178" s="544" t="s">
        <v>185</v>
      </c>
      <c r="X178" s="544" t="s">
        <v>142</v>
      </c>
      <c r="Y178" s="544" t="s">
        <v>185</v>
      </c>
      <c r="AA178" s="544" t="s">
        <v>142</v>
      </c>
      <c r="AB178" s="544" t="s">
        <v>185</v>
      </c>
      <c r="AD178" s="544" t="s">
        <v>142</v>
      </c>
      <c r="AE178" s="544" t="s">
        <v>185</v>
      </c>
      <c r="AG178" s="544" t="s">
        <v>142</v>
      </c>
      <c r="AH178" s="544" t="s">
        <v>185</v>
      </c>
      <c r="AJ178" s="544" t="s">
        <v>142</v>
      </c>
      <c r="AK178" s="544" t="s">
        <v>185</v>
      </c>
    </row>
    <row r="179" spans="1:43">
      <c r="A179" s="605" t="s">
        <v>211</v>
      </c>
      <c r="B179" s="605" t="s">
        <v>202</v>
      </c>
      <c r="C179" s="605"/>
      <c r="D179" s="605"/>
      <c r="E179" s="605"/>
      <c r="F179" s="605" t="e">
        <f>((F159++F166)-(C159+C166))/C152</f>
        <v>#DIV/0!</v>
      </c>
      <c r="G179" s="605" t="e">
        <f>((G159++G166)-(D159+D166))/D152</f>
        <v>#DIV/0!</v>
      </c>
      <c r="H179" s="605"/>
      <c r="I179" s="605" t="e">
        <f>((I159++I166)-(F159+F166))/F152</f>
        <v>#DIV/0!</v>
      </c>
      <c r="J179" s="605" t="e">
        <f>((J159++J166)-(G159+G166))/G152</f>
        <v>#DIV/0!</v>
      </c>
      <c r="K179" s="605"/>
      <c r="L179" s="605" t="e">
        <f>((L159++L166)-(I159+I166))/I152</f>
        <v>#DIV/0!</v>
      </c>
      <c r="M179" s="605" t="e">
        <f>((M159++M166)-(J159+J166))/J152</f>
        <v>#DIV/0!</v>
      </c>
      <c r="N179" s="605"/>
      <c r="O179" s="605" t="e">
        <f>((O159++O166)-(L159+L166))/L152</f>
        <v>#DIV/0!</v>
      </c>
      <c r="P179" s="605" t="e">
        <f>((P159++P166)-(M159+M166))/M152</f>
        <v>#DIV/0!</v>
      </c>
      <c r="Q179" s="605"/>
      <c r="R179" s="605" t="e">
        <f>((R159++R166)-(O159+O166))/O152</f>
        <v>#DIV/0!</v>
      </c>
      <c r="S179" s="605" t="e">
        <f>((S159++S166)-(P159+P166))/P152</f>
        <v>#DIV/0!</v>
      </c>
      <c r="T179" s="605"/>
      <c r="U179" s="605" t="e">
        <f>((U159++U166)-(R159+R166))/R152</f>
        <v>#DIV/0!</v>
      </c>
      <c r="V179" s="605" t="e">
        <f>((V159++V166)-(S159+S166))/S152</f>
        <v>#DIV/0!</v>
      </c>
      <c r="W179" s="605"/>
      <c r="X179" s="605" t="e">
        <f>((X159++X166)-(U159+U166))/U152</f>
        <v>#DIV/0!</v>
      </c>
      <c r="Y179" s="605">
        <f>((Y159++Y166)-(V159+V166))/V152</f>
        <v>3.7288135593220327E-2</v>
      </c>
      <c r="Z179" s="605"/>
      <c r="AA179" s="605" t="e">
        <f>((AA159++AA166)-(X159+X166))/X152</f>
        <v>#DIV/0!</v>
      </c>
      <c r="AB179" s="605">
        <f>((AB159++AB166)-(Y159+Y166))/Y152</f>
        <v>2.195121951219511E-2</v>
      </c>
      <c r="AC179" s="605"/>
      <c r="AD179" s="605" t="e">
        <f>((AD159++AD166)-(AA159+AA166))/AA152</f>
        <v>#DIV/0!</v>
      </c>
      <c r="AE179" s="605">
        <f>((AE159++AE166)-(AB159+AB166))/AB152</f>
        <v>-2.5052192066805833E-2</v>
      </c>
      <c r="AF179" s="605"/>
      <c r="AG179" s="605" t="e">
        <f>((AG159++AG166)-(AD159+AD166))/AD152</f>
        <v>#DIV/0!</v>
      </c>
      <c r="AH179" s="605">
        <f>((AH159++AH166)-(AE159+AE166))/AE152</f>
        <v>-1.9677996422182469E-2</v>
      </c>
      <c r="AI179" s="605"/>
      <c r="AJ179" s="605" t="e">
        <f>((AJ159++AJ166)-(AG159+AG166))/AG152</f>
        <v>#DIV/0!</v>
      </c>
      <c r="AK179" s="605">
        <f>((AK159++AK166)-(AH159+AH166))/AH152</f>
        <v>-6.4761904761904757E-2</v>
      </c>
      <c r="AL179" s="605"/>
      <c r="AM179" s="605"/>
      <c r="AN179" s="605"/>
      <c r="AO179" s="605"/>
      <c r="AP179" s="605"/>
      <c r="AQ179" s="605"/>
    </row>
    <row r="180" spans="1:43">
      <c r="A180" s="605" t="s">
        <v>211</v>
      </c>
      <c r="B180" s="605" t="s">
        <v>203</v>
      </c>
      <c r="C180" s="605"/>
      <c r="D180" s="605"/>
      <c r="E180" s="605"/>
      <c r="F180" s="605" t="e">
        <f>((F165++F171)-(C165+C171))/C156</f>
        <v>#DIV/0!</v>
      </c>
      <c r="G180" s="605" t="e">
        <f>((G165++G171)-(D165+D171))/D156</f>
        <v>#DIV/0!</v>
      </c>
      <c r="H180" s="605"/>
      <c r="I180" s="605" t="e">
        <f>((I165++I171)-(F165+F171))/F156</f>
        <v>#DIV/0!</v>
      </c>
      <c r="J180" s="605" t="e">
        <f>((J165++J171)-(G165+G171))/G156</f>
        <v>#DIV/0!</v>
      </c>
      <c r="K180" s="605"/>
      <c r="L180" s="605" t="e">
        <f>((L165++L171)-(I165+I171))/I156</f>
        <v>#DIV/0!</v>
      </c>
      <c r="M180" s="605" t="e">
        <f>((M165++M171)-(J165+J171))/J156</f>
        <v>#DIV/0!</v>
      </c>
      <c r="N180" s="605"/>
      <c r="O180" s="605" t="e">
        <f>((O165++O171)-(L165+L171))/L156</f>
        <v>#DIV/0!</v>
      </c>
      <c r="P180" s="605" t="e">
        <f>((P165++P171)-(M165+M171))/M156</f>
        <v>#DIV/0!</v>
      </c>
      <c r="Q180" s="605"/>
      <c r="R180" s="605" t="e">
        <f>((R165++R171)-(O165+O171))/O156</f>
        <v>#DIV/0!</v>
      </c>
      <c r="S180" s="605" t="e">
        <f>((S165++S171)-(P165+P171))/P156</f>
        <v>#DIV/0!</v>
      </c>
      <c r="T180" s="605"/>
      <c r="U180" s="605" t="e">
        <f>((U165++U171)-(R165+R171))/R156</f>
        <v>#DIV/0!</v>
      </c>
      <c r="V180" s="605" t="e">
        <f>((V165++V171)-(S165+S171))/S156</f>
        <v>#DIV/0!</v>
      </c>
      <c r="W180" s="605"/>
      <c r="X180" s="605" t="e">
        <f>((X165++X171)-(U165+U171))/U156</f>
        <v>#DIV/0!</v>
      </c>
      <c r="Y180" s="605">
        <f>((Y165++Y171)-(V165+V171))/V156</f>
        <v>9.3220338983050818E-3</v>
      </c>
      <c r="Z180" s="605"/>
      <c r="AA180" s="605" t="e">
        <f>((AA165++AA171)-(X165+X171))/X156</f>
        <v>#DIV/0!</v>
      </c>
      <c r="AB180" s="605">
        <f>((AB165++AB171)-(Y165+Y171))/Y156</f>
        <v>5.4878048780487776E-3</v>
      </c>
      <c r="AC180" s="605"/>
      <c r="AD180" s="605" t="e">
        <f>((AD165++AD171)-(AA165+AA171))/AA156</f>
        <v>#DIV/0!</v>
      </c>
      <c r="AE180" s="605">
        <f>((AE165++AE171)-(AB165+AB171))/AB156</f>
        <v>-6.2630480167014582E-3</v>
      </c>
      <c r="AF180" s="605"/>
      <c r="AG180" s="605" t="e">
        <f>((AG165++AG171)-(AD165+AD171))/AD156</f>
        <v>#DIV/0!</v>
      </c>
      <c r="AH180" s="605">
        <f>((AH165++AH171)-(AE165+AE171))/AE156</f>
        <v>-4.9194991055456173E-3</v>
      </c>
      <c r="AI180" s="605"/>
      <c r="AJ180" s="605" t="e">
        <f>((AJ165++AJ171)-(AG165+AG171))/AG156</f>
        <v>#DIV/0!</v>
      </c>
      <c r="AK180" s="605">
        <f>((AK165++AK171)-(AH165+AH171))/AH156</f>
        <v>-1.6190476190476189E-2</v>
      </c>
      <c r="AL180" s="605"/>
      <c r="AM180" s="605"/>
      <c r="AN180" s="605"/>
      <c r="AO180" s="605"/>
      <c r="AP180" s="605"/>
      <c r="AQ180" s="605"/>
    </row>
    <row r="181" spans="1:43">
      <c r="A181" s="605" t="s">
        <v>211</v>
      </c>
      <c r="B181" s="605" t="s">
        <v>204</v>
      </c>
      <c r="C181" s="605"/>
      <c r="D181" s="605"/>
      <c r="E181" s="605"/>
      <c r="F181" s="605" t="e">
        <f>((#REF!++F172)-(#REF!+C172))/C158</f>
        <v>#REF!</v>
      </c>
      <c r="G181" s="605" t="e">
        <f>((#REF!++G172)-(#REF!+D172))/D158</f>
        <v>#REF!</v>
      </c>
      <c r="H181" s="605"/>
      <c r="I181" s="605" t="e">
        <f>((#REF!++I172)-(#REF!+F172))/F158</f>
        <v>#REF!</v>
      </c>
      <c r="J181" s="605" t="e">
        <f>((#REF!++J172)-(#REF!+G172))/G158</f>
        <v>#REF!</v>
      </c>
      <c r="K181" s="605"/>
      <c r="L181" s="605" t="e">
        <f>((#REF!++L172)-(#REF!+I172))/I158</f>
        <v>#REF!</v>
      </c>
      <c r="M181" s="605" t="e">
        <f>((#REF!++M172)-(#REF!+J172))/J158</f>
        <v>#REF!</v>
      </c>
      <c r="N181" s="605"/>
      <c r="O181" s="605" t="e">
        <f>((#REF!++O172)-(#REF!+L172))/L158</f>
        <v>#REF!</v>
      </c>
      <c r="P181" s="605" t="e">
        <f>((#REF!++P172)-(#REF!+M172))/M158</f>
        <v>#REF!</v>
      </c>
      <c r="Q181" s="605"/>
      <c r="R181" s="605" t="e">
        <f>((#REF!++R172)-(#REF!+O172))/O158</f>
        <v>#REF!</v>
      </c>
      <c r="S181" s="605" t="e">
        <f>((#REF!++S172)-(#REF!+P172))/P158</f>
        <v>#REF!</v>
      </c>
      <c r="T181" s="605"/>
      <c r="U181" s="605" t="e">
        <f>((#REF!++U172)-(#REF!+R172))/R158</f>
        <v>#REF!</v>
      </c>
      <c r="V181" s="605" t="e">
        <f>((#REF!++V172)-(#REF!+S172))/S158</f>
        <v>#REF!</v>
      </c>
      <c r="W181" s="605"/>
      <c r="X181" s="605" t="e">
        <f>((#REF!++X172)-(#REF!+U172))/U158</f>
        <v>#REF!</v>
      </c>
      <c r="Y181" s="605" t="e">
        <f>((#REF!++Y172)-(#REF!+V172))/V158</f>
        <v>#REF!</v>
      </c>
      <c r="Z181" s="605"/>
      <c r="AA181" s="605" t="e">
        <f>((#REF!++AA172)-(#REF!+X172))/X158</f>
        <v>#REF!</v>
      </c>
      <c r="AB181" s="605" t="e">
        <f>((#REF!++AB172)-(#REF!+Y172))/Y158</f>
        <v>#REF!</v>
      </c>
      <c r="AC181" s="605"/>
      <c r="AD181" s="605" t="e">
        <f>((#REF!++AD172)-(#REF!+AA172))/AA158</f>
        <v>#REF!</v>
      </c>
      <c r="AE181" s="605" t="e">
        <f>((#REF!++AE172)-(#REF!+AB172))/AB158</f>
        <v>#REF!</v>
      </c>
      <c r="AF181" s="605"/>
      <c r="AG181" s="605" t="e">
        <f>((#REF!++AG172)-(#REF!+AD172))/AD158</f>
        <v>#REF!</v>
      </c>
      <c r="AH181" s="605" t="e">
        <f>((#REF!++AH172)-(#REF!+AE172))/AE158</f>
        <v>#REF!</v>
      </c>
      <c r="AI181" s="605"/>
      <c r="AJ181" s="605" t="e">
        <f>((#REF!++AJ172)-(#REF!+AG172))/AG158</f>
        <v>#REF!</v>
      </c>
      <c r="AK181" s="605" t="e">
        <f>((#REF!++AK172)-(#REF!+AH172))/AH158</f>
        <v>#REF!</v>
      </c>
      <c r="AL181" s="605"/>
      <c r="AM181" s="605"/>
      <c r="AN181" s="605"/>
      <c r="AO181" s="605"/>
      <c r="AP181" s="605"/>
      <c r="AQ181" s="605"/>
    </row>
    <row r="182" spans="1:43">
      <c r="A182" s="605" t="s">
        <v>212</v>
      </c>
      <c r="B182" s="605" t="s">
        <v>202</v>
      </c>
      <c r="C182" s="605"/>
      <c r="D182" s="605"/>
      <c r="E182" s="605"/>
      <c r="F182" s="605" t="e">
        <f>((F166++F173)-(C166+C173))/C159</f>
        <v>#DIV/0!</v>
      </c>
      <c r="G182" s="605" t="e">
        <f>((G166++G173)-(D166+D173))/D159</f>
        <v>#DIV/0!</v>
      </c>
      <c r="H182" s="605"/>
      <c r="I182" s="605" t="e">
        <f>((I166++I173)-(F166+F173))/F159</f>
        <v>#DIV/0!</v>
      </c>
      <c r="J182" s="605" t="e">
        <f>((J166++J173)-(G166+G173))/G159</f>
        <v>#DIV/0!</v>
      </c>
      <c r="K182" s="605"/>
      <c r="L182" s="605" t="e">
        <f>((L166++L173)-(I166+I173))/I159</f>
        <v>#DIV/0!</v>
      </c>
      <c r="M182" s="605" t="e">
        <f>((M166++M173)-(J166+J173))/J159</f>
        <v>#DIV/0!</v>
      </c>
      <c r="N182" s="605"/>
      <c r="O182" s="605" t="e">
        <f>((O166++O173)-(L166+L173))/L159</f>
        <v>#DIV/0!</v>
      </c>
      <c r="P182" s="605" t="e">
        <f>((P166++P173)-(M166+M173))/M159</f>
        <v>#DIV/0!</v>
      </c>
      <c r="Q182" s="605"/>
      <c r="R182" s="605" t="e">
        <f>((R166++R173)-(O166+O173))/O159</f>
        <v>#DIV/0!</v>
      </c>
      <c r="S182" s="605" t="e">
        <f>((S166++S173)-(P166+P173))/P159</f>
        <v>#DIV/0!</v>
      </c>
      <c r="T182" s="605"/>
      <c r="U182" s="605" t="e">
        <f>((U166++U173)-(R166+R173))/R159</f>
        <v>#DIV/0!</v>
      </c>
      <c r="V182" s="605" t="e">
        <f>((V166++V173)-(S166+S173))/S159</f>
        <v>#DIV/0!</v>
      </c>
      <c r="W182" s="605"/>
      <c r="X182" s="605" t="e">
        <f>((X166++X173)-(U166+U173))/U159</f>
        <v>#DIV/0!</v>
      </c>
      <c r="Y182" s="605">
        <f>((Y166++Y173)-(V166+V173))/V159</f>
        <v>6.8965517241379296E-2</v>
      </c>
      <c r="Z182" s="605"/>
      <c r="AA182" s="605" t="e">
        <f>((AA166++AA173)-(X166+X173))/X159</f>
        <v>#DIV/0!</v>
      </c>
      <c r="AB182" s="605">
        <f>((AB166++AB173)-(Y166+Y173))/Y159</f>
        <v>2.6315789473684237E-2</v>
      </c>
      <c r="AC182" s="605"/>
      <c r="AD182" s="605" t="e">
        <f>((AD166++AD173)-(AA166+AA173))/AA159</f>
        <v>#DIV/0!</v>
      </c>
      <c r="AE182" s="605">
        <f>((AE166++AE173)-(AB166+AB173))/AB159</f>
        <v>0</v>
      </c>
      <c r="AF182" s="605"/>
      <c r="AG182" s="605" t="e">
        <f>((AG166++AG173)-(AD166+AD173))/AD159</f>
        <v>#DIV/0!</v>
      </c>
      <c r="AH182" s="605">
        <f>((AH166++AH173)-(AE166+AE173))/AE159</f>
        <v>-0.3235294117647059</v>
      </c>
      <c r="AI182" s="605"/>
      <c r="AJ182" s="605" t="e">
        <f>((AJ166++AJ173)-(AG166+AG173))/AG159</f>
        <v>#DIV/0!</v>
      </c>
      <c r="AK182" s="605">
        <f>((AK166++AK173)-(AH166+AH173))/AH159</f>
        <v>0</v>
      </c>
      <c r="AL182" s="605"/>
      <c r="AM182" s="605"/>
      <c r="AN182" s="605"/>
      <c r="AO182" s="605"/>
      <c r="AP182" s="605"/>
      <c r="AQ182" s="605"/>
    </row>
    <row r="183" spans="1:43">
      <c r="A183" s="605" t="s">
        <v>212</v>
      </c>
      <c r="B183" s="605" t="s">
        <v>203</v>
      </c>
      <c r="C183" s="605"/>
      <c r="D183" s="605"/>
      <c r="E183" s="605"/>
      <c r="F183" s="605" t="e">
        <f>((F171++F174)-(C171+C174))/C165</f>
        <v>#DIV/0!</v>
      </c>
      <c r="G183" s="605" t="e">
        <f>((G171++G174)-(D171+D174))/D165</f>
        <v>#DIV/0!</v>
      </c>
      <c r="H183" s="605"/>
      <c r="I183" s="605" t="e">
        <f>((I171++I174)-(F171+F174))/F165</f>
        <v>#DIV/0!</v>
      </c>
      <c r="J183" s="605" t="e">
        <f>((J171++J174)-(G171+G174))/G165</f>
        <v>#DIV/0!</v>
      </c>
      <c r="K183" s="605"/>
      <c r="L183" s="605" t="e">
        <f>((L171++L174)-(I171+I174))/I165</f>
        <v>#DIV/0!</v>
      </c>
      <c r="M183" s="605" t="e">
        <f>((M171++M174)-(J171+J174))/J165</f>
        <v>#DIV/0!</v>
      </c>
      <c r="N183" s="605"/>
      <c r="O183" s="605" t="e">
        <f>((O171++O174)-(L171+L174))/L165</f>
        <v>#DIV/0!</v>
      </c>
      <c r="P183" s="605" t="e">
        <f>((P171++P174)-(M171+M174))/M165</f>
        <v>#DIV/0!</v>
      </c>
      <c r="Q183" s="605"/>
      <c r="R183" s="605" t="e">
        <f>((R171++R174)-(O171+O174))/O165</f>
        <v>#DIV/0!</v>
      </c>
      <c r="S183" s="605" t="e">
        <f>((S171++S174)-(P171+P174))/P165</f>
        <v>#DIV/0!</v>
      </c>
      <c r="T183" s="605"/>
      <c r="U183" s="605" t="e">
        <f>((U171++U174)-(R171+R174))/R165</f>
        <v>#DIV/0!</v>
      </c>
      <c r="V183" s="605" t="e">
        <f>((V171++V174)-(S171+S174))/S165</f>
        <v>#DIV/0!</v>
      </c>
      <c r="W183" s="605"/>
      <c r="X183" s="605" t="e">
        <f>((X171++X174)-(U171+U174))/U165</f>
        <v>#DIV/0!</v>
      </c>
      <c r="Y183" s="605">
        <f>((Y171++Y174)-(V171+V174))/V165</f>
        <v>6.8965517241379296E-2</v>
      </c>
      <c r="Z183" s="605"/>
      <c r="AA183" s="605" t="e">
        <f>((AA171++AA174)-(X171+X174))/X165</f>
        <v>#DIV/0!</v>
      </c>
      <c r="AB183" s="605">
        <f>((AB171++AB174)-(Y171+Y174))/Y165</f>
        <v>2.6315789473684237E-2</v>
      </c>
      <c r="AC183" s="605"/>
      <c r="AD183" s="605" t="e">
        <f>((AD171++AD174)-(AA171+AA174))/AA165</f>
        <v>#DIV/0!</v>
      </c>
      <c r="AE183" s="605">
        <f>((AE171++AE174)-(AB171+AB174))/AB165</f>
        <v>0</v>
      </c>
      <c r="AF183" s="605"/>
      <c r="AG183" s="605" t="e">
        <f>((AG171++AG174)-(AD171+AD174))/AD165</f>
        <v>#DIV/0!</v>
      </c>
      <c r="AH183" s="605">
        <f>((AH171++AH174)-(AE171+AE174))/AE165</f>
        <v>-0.3235294117647059</v>
      </c>
      <c r="AI183" s="605"/>
      <c r="AJ183" s="605" t="e">
        <f>((AJ171++AJ174)-(AG171+AG174))/AG165</f>
        <v>#DIV/0!</v>
      </c>
      <c r="AK183" s="605">
        <f>((AK171++AK174)-(AH171+AH174))/AH165</f>
        <v>0</v>
      </c>
      <c r="AL183" s="605"/>
      <c r="AM183" s="605"/>
      <c r="AN183" s="605"/>
      <c r="AO183" s="605"/>
      <c r="AP183" s="605"/>
      <c r="AQ183" s="605"/>
    </row>
    <row r="184" spans="1:43">
      <c r="A184" s="605" t="s">
        <v>212</v>
      </c>
      <c r="B184" s="605" t="s">
        <v>204</v>
      </c>
      <c r="C184" s="605"/>
      <c r="D184" s="605"/>
      <c r="E184" s="605"/>
      <c r="F184" s="605" t="e">
        <f>((F172++F175)-(C172+C175))/#REF!</f>
        <v>#REF!</v>
      </c>
      <c r="G184" s="605" t="e">
        <f>((G172++G175)-(D172+D175))/#REF!</f>
        <v>#REF!</v>
      </c>
      <c r="H184" s="605"/>
      <c r="I184" s="605" t="e">
        <f>((I172++I175)-(F172+F175))/#REF!</f>
        <v>#REF!</v>
      </c>
      <c r="J184" s="605" t="e">
        <f>((J172++J175)-(G172+G175))/#REF!</f>
        <v>#REF!</v>
      </c>
      <c r="K184" s="605"/>
      <c r="L184" s="605" t="e">
        <f>((L172++L175)-(I172+I175))/#REF!</f>
        <v>#REF!</v>
      </c>
      <c r="M184" s="605" t="e">
        <f>((M172++M175)-(J172+J175))/#REF!</f>
        <v>#REF!</v>
      </c>
      <c r="N184" s="605"/>
      <c r="O184" s="605" t="e">
        <f>((O172++O175)-(L172+L175))/#REF!</f>
        <v>#REF!</v>
      </c>
      <c r="P184" s="605" t="e">
        <f>((P172++P175)-(M172+M175))/#REF!</f>
        <v>#REF!</v>
      </c>
      <c r="Q184" s="605"/>
      <c r="R184" s="605" t="e">
        <f>((R172++R175)-(O172+O175))/#REF!</f>
        <v>#REF!</v>
      </c>
      <c r="S184" s="605" t="e">
        <f>((S172++S175)-(P172+P175))/#REF!</f>
        <v>#REF!</v>
      </c>
      <c r="T184" s="605"/>
      <c r="U184" s="605" t="e">
        <f>((U172++U175)-(R172+R175))/#REF!</f>
        <v>#REF!</v>
      </c>
      <c r="V184" s="605" t="e">
        <f>((V172++V175)-(S172+S175))/#REF!</f>
        <v>#REF!</v>
      </c>
      <c r="W184" s="605"/>
      <c r="X184" s="605" t="e">
        <f>((X172++X175)-(U172+U175))/#REF!</f>
        <v>#REF!</v>
      </c>
      <c r="Y184" s="605" t="e">
        <f>((Y172++Y175)-(V172+V175))/#REF!</f>
        <v>#REF!</v>
      </c>
      <c r="Z184" s="605"/>
      <c r="AA184" s="605" t="e">
        <f>((AA172++AA175)-(X172+X175))/#REF!</f>
        <v>#REF!</v>
      </c>
      <c r="AB184" s="605" t="e">
        <f>((AB172++AB175)-(Y172+Y175))/#REF!</f>
        <v>#REF!</v>
      </c>
      <c r="AC184" s="605"/>
      <c r="AD184" s="605" t="e">
        <f>((AD172++AD175)-(AA172+AA175))/#REF!</f>
        <v>#REF!</v>
      </c>
      <c r="AE184" s="605" t="e">
        <f>((AE172++AE175)-(AB172+AB175))/#REF!</f>
        <v>#REF!</v>
      </c>
      <c r="AF184" s="605"/>
      <c r="AG184" s="605" t="e">
        <f>((AG172++AG175)-(AD172+AD175))/#REF!</f>
        <v>#REF!</v>
      </c>
      <c r="AH184" s="605" t="e">
        <f>((AH172++AH175)-(AE172+AE175))/#REF!</f>
        <v>#REF!</v>
      </c>
      <c r="AI184" s="605"/>
      <c r="AJ184" s="605" t="e">
        <f>((AJ172++AJ175)-(AG172+AG175))/#REF!</f>
        <v>#REF!</v>
      </c>
      <c r="AK184" s="605" t="e">
        <f>((AK172++AK175)-(AH172+AH175))/#REF!</f>
        <v>#REF!</v>
      </c>
      <c r="AL184" s="605"/>
      <c r="AM184" s="605"/>
      <c r="AN184" s="605"/>
      <c r="AO184" s="605"/>
      <c r="AP184" s="605"/>
      <c r="AQ184" s="605"/>
    </row>
    <row r="186" spans="1:43">
      <c r="A186" s="606" t="s">
        <v>213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  <c r="AI186" s="607"/>
      <c r="AJ186" s="607"/>
      <c r="AK186" s="607"/>
      <c r="AL186" s="607"/>
      <c r="AM186" s="607"/>
      <c r="AN186" s="607"/>
      <c r="AO186" s="607"/>
      <c r="AP186" s="607"/>
      <c r="AQ186" s="607"/>
    </row>
  </sheetData>
  <phoneticPr fontId="4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EB7A-45CD-4E4C-A4DE-9DBF3456C8FD}">
  <sheetPr>
    <tabColor rgb="FFFF0000"/>
  </sheetPr>
  <dimension ref="A1:CQ185"/>
  <sheetViews>
    <sheetView topLeftCell="AK22" zoomScale="90" zoomScaleNormal="90" zoomScaleSheetLayoutView="50" workbookViewId="0">
      <selection activeCell="AS55" sqref="AS55"/>
    </sheetView>
  </sheetViews>
  <sheetFormatPr defaultColWidth="9.140625" defaultRowHeight="11.25" outlineLevelCol="1"/>
  <cols>
    <col min="1" max="1" width="14" style="65" hidden="1" customWidth="1" outlineLevel="1"/>
    <col min="2" max="2" width="22.5703125" style="65" hidden="1" customWidth="1" outlineLevel="1"/>
    <col min="3" max="14" width="9.28515625" style="69" hidden="1" customWidth="1" outlineLevel="1"/>
    <col min="15" max="17" width="9.85546875" style="69" hidden="1" customWidth="1" outlineLevel="1"/>
    <col min="18" max="18" width="9.140625" style="65" hidden="1" customWidth="1" outlineLevel="1"/>
    <col min="19" max="19" width="14" style="65" hidden="1" customWidth="1" outlineLevel="1"/>
    <col min="20" max="20" width="22.5703125" style="65" hidden="1" customWidth="1" outlineLevel="1"/>
    <col min="21" max="35" width="9.140625" style="69" hidden="1" customWidth="1" outlineLevel="1"/>
    <col min="36" max="36" width="9.140625" style="65" hidden="1" customWidth="1" outlineLevel="1"/>
    <col min="37" max="37" width="12.28515625" style="65" customWidth="1" collapsed="1"/>
    <col min="38" max="38" width="23.85546875" style="65" customWidth="1"/>
    <col min="39" max="53" width="9.140625" style="69" customWidth="1"/>
    <col min="54" max="54" width="9.140625" style="65"/>
    <col min="55" max="55" width="14" style="65" bestFit="1" customWidth="1"/>
    <col min="56" max="56" width="22.5703125" style="65" customWidth="1"/>
    <col min="57" max="68" width="9.140625" style="69" customWidth="1"/>
    <col min="69" max="71" width="9.140625" style="69"/>
    <col min="72" max="72" width="30.85546875" style="69" hidden="1" customWidth="1" outlineLevel="1"/>
    <col min="73" max="73" width="11" style="65" hidden="1" customWidth="1" outlineLevel="1"/>
    <col min="74" max="74" width="12" style="65" hidden="1" customWidth="1" outlineLevel="1"/>
    <col min="75" max="75" width="9.140625" style="65" collapsed="1"/>
    <col min="76" max="76" width="14.5703125" style="65" bestFit="1" customWidth="1"/>
    <col min="77" max="77" width="18.5703125" style="65" bestFit="1" customWidth="1"/>
    <col min="78" max="83" width="9.140625" style="65" customWidth="1"/>
    <col min="84" max="84" width="10.42578125" style="65" customWidth="1"/>
    <col min="85" max="89" width="9.140625" style="65" customWidth="1"/>
    <col min="90" max="90" width="10.85546875" style="65" customWidth="1"/>
    <col min="91" max="92" width="9.140625" style="65" customWidth="1"/>
    <col min="93" max="16384" width="9.140625" style="65"/>
  </cols>
  <sheetData>
    <row r="1" spans="1:95">
      <c r="A1" s="171" t="s">
        <v>252</v>
      </c>
      <c r="B1" s="171" t="s">
        <v>252</v>
      </c>
      <c r="C1" s="171" t="s">
        <v>252</v>
      </c>
      <c r="D1" s="171" t="s">
        <v>252</v>
      </c>
      <c r="E1" s="171" t="s">
        <v>252</v>
      </c>
      <c r="F1" s="171" t="s">
        <v>252</v>
      </c>
      <c r="G1" s="171" t="s">
        <v>252</v>
      </c>
      <c r="H1" s="171" t="s">
        <v>252</v>
      </c>
      <c r="I1" s="171" t="s">
        <v>252</v>
      </c>
      <c r="J1" s="171" t="s">
        <v>252</v>
      </c>
      <c r="K1" s="171" t="s">
        <v>252</v>
      </c>
      <c r="L1" s="171" t="s">
        <v>252</v>
      </c>
      <c r="M1" s="171" t="s">
        <v>252</v>
      </c>
      <c r="N1" s="171" t="s">
        <v>252</v>
      </c>
      <c r="O1" s="171" t="s">
        <v>252</v>
      </c>
      <c r="P1" s="171"/>
      <c r="Q1" s="171"/>
      <c r="S1" s="171" t="s">
        <v>253</v>
      </c>
      <c r="T1" s="171" t="s">
        <v>253</v>
      </c>
      <c r="U1" s="171" t="s">
        <v>253</v>
      </c>
      <c r="V1" s="171" t="s">
        <v>253</v>
      </c>
      <c r="W1" s="171" t="s">
        <v>253</v>
      </c>
      <c r="X1" s="171" t="s">
        <v>253</v>
      </c>
      <c r="Y1" s="171" t="s">
        <v>253</v>
      </c>
      <c r="Z1" s="171" t="s">
        <v>253</v>
      </c>
      <c r="AA1" s="171" t="s">
        <v>253</v>
      </c>
      <c r="AB1" s="171" t="s">
        <v>253</v>
      </c>
      <c r="AC1" s="171" t="s">
        <v>253</v>
      </c>
      <c r="AD1" s="171" t="s">
        <v>253</v>
      </c>
      <c r="AE1" s="171" t="s">
        <v>253</v>
      </c>
      <c r="AF1" s="171" t="s">
        <v>253</v>
      </c>
      <c r="AG1" s="171" t="s">
        <v>253</v>
      </c>
      <c r="AH1" s="171"/>
      <c r="AI1" s="171"/>
      <c r="AK1" s="171" t="s">
        <v>142</v>
      </c>
      <c r="AL1" s="171" t="s">
        <v>142</v>
      </c>
      <c r="AM1" s="171" t="s">
        <v>142</v>
      </c>
      <c r="AN1" s="171" t="s">
        <v>142</v>
      </c>
      <c r="AO1" s="171" t="s">
        <v>142</v>
      </c>
      <c r="AP1" s="171" t="s">
        <v>142</v>
      </c>
      <c r="AQ1" s="171" t="s">
        <v>142</v>
      </c>
      <c r="AR1" s="171" t="s">
        <v>142</v>
      </c>
      <c r="AS1" s="171" t="s">
        <v>142</v>
      </c>
      <c r="AT1" s="171" t="s">
        <v>142</v>
      </c>
      <c r="AU1" s="171" t="s">
        <v>142</v>
      </c>
      <c r="AV1" s="171" t="s">
        <v>142</v>
      </c>
      <c r="AW1" s="171" t="s">
        <v>142</v>
      </c>
      <c r="AX1" s="171" t="s">
        <v>142</v>
      </c>
      <c r="AY1" s="171" t="s">
        <v>142</v>
      </c>
      <c r="AZ1" s="171"/>
      <c r="BA1" s="171"/>
      <c r="BC1" s="171" t="s">
        <v>143</v>
      </c>
      <c r="BD1" s="171" t="s">
        <v>143</v>
      </c>
      <c r="BE1" s="171" t="s">
        <v>143</v>
      </c>
      <c r="BF1" s="171" t="s">
        <v>143</v>
      </c>
      <c r="BG1" s="171" t="s">
        <v>143</v>
      </c>
      <c r="BH1" s="171" t="s">
        <v>143</v>
      </c>
      <c r="BI1" s="171" t="s">
        <v>143</v>
      </c>
      <c r="BJ1" s="171" t="s">
        <v>143</v>
      </c>
      <c r="BK1" s="171" t="s">
        <v>143</v>
      </c>
      <c r="BL1" s="171" t="s">
        <v>143</v>
      </c>
      <c r="BM1" s="171" t="s">
        <v>143</v>
      </c>
      <c r="BN1" s="171" t="s">
        <v>143</v>
      </c>
      <c r="BO1" s="171" t="s">
        <v>143</v>
      </c>
      <c r="BP1" s="171" t="s">
        <v>143</v>
      </c>
      <c r="BQ1" s="171" t="s">
        <v>143</v>
      </c>
      <c r="BR1" s="171"/>
      <c r="BS1" s="171"/>
      <c r="BZ1" s="193" t="s">
        <v>254</v>
      </c>
      <c r="CA1" s="193" t="s">
        <v>254</v>
      </c>
      <c r="CB1" s="193" t="s">
        <v>254</v>
      </c>
      <c r="CC1" s="193" t="s">
        <v>254</v>
      </c>
      <c r="CD1" s="193" t="s">
        <v>254</v>
      </c>
      <c r="CE1" s="193" t="s">
        <v>254</v>
      </c>
      <c r="CF1" s="193" t="s">
        <v>254</v>
      </c>
      <c r="CG1" s="193" t="s">
        <v>254</v>
      </c>
      <c r="CH1" s="193" t="s">
        <v>254</v>
      </c>
      <c r="CI1" s="193" t="s">
        <v>254</v>
      </c>
      <c r="CJ1" s="193" t="s">
        <v>254</v>
      </c>
      <c r="CK1" s="193" t="s">
        <v>254</v>
      </c>
      <c r="CL1" s="193"/>
    </row>
    <row r="2" spans="1:95">
      <c r="A2" s="171"/>
      <c r="B2" s="171"/>
      <c r="C2" s="412">
        <f>IF(C4=$P4,1,0)</f>
        <v>0</v>
      </c>
      <c r="D2" s="412">
        <f t="shared" ref="D2:N2" si="0">IF(D4=$P4,1,0)</f>
        <v>0</v>
      </c>
      <c r="E2" s="412">
        <f t="shared" si="0"/>
        <v>0</v>
      </c>
      <c r="F2" s="412">
        <f t="shared" si="0"/>
        <v>0</v>
      </c>
      <c r="G2" s="412">
        <f t="shared" si="0"/>
        <v>0</v>
      </c>
      <c r="H2" s="412">
        <f t="shared" si="0"/>
        <v>0</v>
      </c>
      <c r="I2" s="412">
        <f t="shared" si="0"/>
        <v>1</v>
      </c>
      <c r="J2" s="412">
        <f t="shared" si="0"/>
        <v>0</v>
      </c>
      <c r="K2" s="412">
        <f t="shared" si="0"/>
        <v>0</v>
      </c>
      <c r="L2" s="412">
        <f t="shared" si="0"/>
        <v>0</v>
      </c>
      <c r="M2" s="412">
        <f t="shared" si="0"/>
        <v>0</v>
      </c>
      <c r="N2" s="412">
        <f t="shared" si="0"/>
        <v>0</v>
      </c>
      <c r="O2" s="171"/>
      <c r="P2" s="171"/>
      <c r="Q2" s="171"/>
      <c r="S2" s="171"/>
      <c r="T2" s="171"/>
      <c r="U2" s="412">
        <f>IF(U4=$AH4,1,0)</f>
        <v>0</v>
      </c>
      <c r="V2" s="412">
        <f t="shared" ref="V2:AF2" si="1">IF(V4=$AH4,1,0)</f>
        <v>0</v>
      </c>
      <c r="W2" s="412">
        <f t="shared" si="1"/>
        <v>0</v>
      </c>
      <c r="X2" s="412">
        <f t="shared" si="1"/>
        <v>0</v>
      </c>
      <c r="Y2" s="412">
        <f t="shared" si="1"/>
        <v>0</v>
      </c>
      <c r="Z2" s="412">
        <f t="shared" si="1"/>
        <v>0</v>
      </c>
      <c r="AA2" s="412">
        <f t="shared" si="1"/>
        <v>1</v>
      </c>
      <c r="AB2" s="412">
        <f t="shared" si="1"/>
        <v>0</v>
      </c>
      <c r="AC2" s="412">
        <f t="shared" si="1"/>
        <v>0</v>
      </c>
      <c r="AD2" s="412">
        <f t="shared" si="1"/>
        <v>0</v>
      </c>
      <c r="AE2" s="412">
        <f t="shared" si="1"/>
        <v>0</v>
      </c>
      <c r="AF2" s="412">
        <f t="shared" si="1"/>
        <v>0</v>
      </c>
      <c r="AG2" s="171"/>
      <c r="AH2" s="171"/>
      <c r="AI2" s="171"/>
      <c r="AK2" s="171"/>
      <c r="AL2" s="171"/>
      <c r="AM2" s="412">
        <f>IF(AM4=$AZ4,1,0)</f>
        <v>0</v>
      </c>
      <c r="AN2" s="412">
        <f t="shared" ref="AN2:AX2" si="2">IF(AN4=$AZ4,1,0)</f>
        <v>0</v>
      </c>
      <c r="AO2" s="412">
        <f t="shared" si="2"/>
        <v>0</v>
      </c>
      <c r="AP2" s="412">
        <f t="shared" si="2"/>
        <v>0</v>
      </c>
      <c r="AQ2" s="412">
        <f t="shared" si="2"/>
        <v>0</v>
      </c>
      <c r="AR2" s="412">
        <f t="shared" si="2"/>
        <v>0</v>
      </c>
      <c r="AS2" s="412">
        <f t="shared" si="2"/>
        <v>1</v>
      </c>
      <c r="AT2" s="412">
        <f t="shared" si="2"/>
        <v>0</v>
      </c>
      <c r="AU2" s="412">
        <f t="shared" si="2"/>
        <v>0</v>
      </c>
      <c r="AV2" s="412">
        <f t="shared" si="2"/>
        <v>0</v>
      </c>
      <c r="AW2" s="412">
        <f t="shared" si="2"/>
        <v>0</v>
      </c>
      <c r="AX2" s="412">
        <f t="shared" si="2"/>
        <v>0</v>
      </c>
      <c r="AY2" s="171"/>
      <c r="AZ2" s="171"/>
      <c r="BA2" s="171"/>
      <c r="BC2" s="171"/>
      <c r="BD2" s="171"/>
      <c r="BE2" s="412">
        <f>IF(BE4=$BR4,1,0)</f>
        <v>0</v>
      </c>
      <c r="BF2" s="412">
        <f t="shared" ref="BF2:BQ2" si="3">IF(BF4=$BR4,1,0)</f>
        <v>0</v>
      </c>
      <c r="BG2" s="412">
        <f t="shared" si="3"/>
        <v>0</v>
      </c>
      <c r="BH2" s="412">
        <f t="shared" si="3"/>
        <v>0</v>
      </c>
      <c r="BI2" s="412">
        <f t="shared" si="3"/>
        <v>0</v>
      </c>
      <c r="BJ2" s="412">
        <f t="shared" si="3"/>
        <v>0</v>
      </c>
      <c r="BK2" s="412">
        <f t="shared" si="3"/>
        <v>1</v>
      </c>
      <c r="BL2" s="412">
        <f t="shared" si="3"/>
        <v>0</v>
      </c>
      <c r="BM2" s="412">
        <f t="shared" si="3"/>
        <v>0</v>
      </c>
      <c r="BN2" s="412">
        <f t="shared" si="3"/>
        <v>0</v>
      </c>
      <c r="BO2" s="412">
        <f t="shared" si="3"/>
        <v>0</v>
      </c>
      <c r="BP2" s="412">
        <f t="shared" si="3"/>
        <v>0</v>
      </c>
      <c r="BQ2" s="412">
        <f t="shared" si="3"/>
        <v>0</v>
      </c>
      <c r="BR2" s="171"/>
      <c r="BS2" s="171"/>
      <c r="BZ2" s="579">
        <f>IF(BZ4=$AZ4,1,0)</f>
        <v>0</v>
      </c>
      <c r="CA2" s="579">
        <f>IF(CA4=$AZ4,1,0)</f>
        <v>0</v>
      </c>
      <c r="CB2" s="579">
        <f>IF(CB4=$AZ4,1,0)</f>
        <v>0</v>
      </c>
      <c r="CC2" s="579">
        <f>IF(CC4=$AZ4,1,0)</f>
        <v>0</v>
      </c>
      <c r="CD2" s="579">
        <f>IF(CD4=$AZ4,1,0)</f>
        <v>0</v>
      </c>
      <c r="CE2" s="579">
        <v>1</v>
      </c>
      <c r="CF2" s="579">
        <v>0</v>
      </c>
      <c r="CG2" s="579">
        <f>IF(CG4=$AZ4,1,0)</f>
        <v>0</v>
      </c>
      <c r="CH2" s="579">
        <f>IF(CH4=$AZ4,1,0)</f>
        <v>0</v>
      </c>
      <c r="CI2" s="579">
        <f>IF(CI4=$AZ4,1,0)</f>
        <v>0</v>
      </c>
      <c r="CJ2" s="579">
        <f>IF(CJ4=$AZ4,1,0)</f>
        <v>0</v>
      </c>
      <c r="CK2" s="579">
        <f>IF(CK4=$AZ4,1,0)</f>
        <v>0</v>
      </c>
      <c r="CL2" s="193"/>
    </row>
    <row r="3" spans="1:95" s="412" customFormat="1">
      <c r="C3" s="412">
        <f t="shared" ref="C3:N3" si="4">IF(C4&lt;=$P4,1,0)</f>
        <v>1</v>
      </c>
      <c r="D3" s="412">
        <f t="shared" si="4"/>
        <v>1</v>
      </c>
      <c r="E3" s="412">
        <f t="shared" si="4"/>
        <v>1</v>
      </c>
      <c r="F3" s="412">
        <f t="shared" si="4"/>
        <v>1</v>
      </c>
      <c r="G3" s="412">
        <f t="shared" si="4"/>
        <v>1</v>
      </c>
      <c r="H3" s="412">
        <f t="shared" si="4"/>
        <v>1</v>
      </c>
      <c r="I3" s="412">
        <f t="shared" si="4"/>
        <v>1</v>
      </c>
      <c r="J3" s="412">
        <f t="shared" si="4"/>
        <v>0</v>
      </c>
      <c r="K3" s="412">
        <f t="shared" si="4"/>
        <v>0</v>
      </c>
      <c r="L3" s="412">
        <f t="shared" si="4"/>
        <v>0</v>
      </c>
      <c r="M3" s="412">
        <f t="shared" si="4"/>
        <v>0</v>
      </c>
      <c r="N3" s="412">
        <f t="shared" si="4"/>
        <v>0</v>
      </c>
      <c r="U3" s="412">
        <f>IF(U4&lt;=$AH4,1,0)</f>
        <v>1</v>
      </c>
      <c r="V3" s="412">
        <f t="shared" ref="V3:AF3" si="5">IF(V4&lt;=$AH4,1,0)</f>
        <v>1</v>
      </c>
      <c r="W3" s="412">
        <f t="shared" si="5"/>
        <v>1</v>
      </c>
      <c r="X3" s="412">
        <f t="shared" si="5"/>
        <v>1</v>
      </c>
      <c r="Y3" s="412">
        <f t="shared" si="5"/>
        <v>1</v>
      </c>
      <c r="Z3" s="412">
        <f t="shared" si="5"/>
        <v>1</v>
      </c>
      <c r="AA3" s="412">
        <f t="shared" si="5"/>
        <v>1</v>
      </c>
      <c r="AB3" s="412">
        <f t="shared" si="5"/>
        <v>0</v>
      </c>
      <c r="AC3" s="412">
        <f t="shared" si="5"/>
        <v>0</v>
      </c>
      <c r="AD3" s="412">
        <f t="shared" si="5"/>
        <v>0</v>
      </c>
      <c r="AE3" s="412">
        <f t="shared" si="5"/>
        <v>0</v>
      </c>
      <c r="AF3" s="412">
        <f t="shared" si="5"/>
        <v>0</v>
      </c>
      <c r="AM3" s="412">
        <f>IF(AM4&lt;=$AZ4,1,0)</f>
        <v>1</v>
      </c>
      <c r="AN3" s="412">
        <f t="shared" ref="AN3:AX3" si="6">IF(AN4&lt;=$AZ4,1,0)</f>
        <v>1</v>
      </c>
      <c r="AO3" s="412">
        <f t="shared" si="6"/>
        <v>1</v>
      </c>
      <c r="AP3" s="412">
        <f t="shared" si="6"/>
        <v>1</v>
      </c>
      <c r="AQ3" s="412">
        <f t="shared" si="6"/>
        <v>1</v>
      </c>
      <c r="AR3" s="412">
        <f t="shared" si="6"/>
        <v>1</v>
      </c>
      <c r="AS3" s="412">
        <f t="shared" si="6"/>
        <v>1</v>
      </c>
      <c r="AT3" s="412">
        <f t="shared" si="6"/>
        <v>0</v>
      </c>
      <c r="AU3" s="412">
        <f t="shared" si="6"/>
        <v>0</v>
      </c>
      <c r="AV3" s="412">
        <f t="shared" si="6"/>
        <v>0</v>
      </c>
      <c r="AW3" s="412">
        <f t="shared" si="6"/>
        <v>0</v>
      </c>
      <c r="AX3" s="412">
        <f t="shared" si="6"/>
        <v>0</v>
      </c>
      <c r="BE3" s="412">
        <f>IF(BE4&lt;=$BR4,1,0)</f>
        <v>1</v>
      </c>
      <c r="BF3" s="412">
        <f t="shared" ref="BF3:BQ3" si="7">IF(BF4&lt;=$BR4,1,0)</f>
        <v>1</v>
      </c>
      <c r="BG3" s="412">
        <f t="shared" si="7"/>
        <v>1</v>
      </c>
      <c r="BH3" s="412">
        <f t="shared" si="7"/>
        <v>1</v>
      </c>
      <c r="BI3" s="412">
        <f t="shared" si="7"/>
        <v>1</v>
      </c>
      <c r="BJ3" s="412">
        <f t="shared" si="7"/>
        <v>1</v>
      </c>
      <c r="BK3" s="412">
        <f t="shared" si="7"/>
        <v>1</v>
      </c>
      <c r="BL3" s="412">
        <f t="shared" si="7"/>
        <v>0</v>
      </c>
      <c r="BM3" s="412">
        <f t="shared" si="7"/>
        <v>0</v>
      </c>
      <c r="BN3" s="412">
        <f t="shared" si="7"/>
        <v>0</v>
      </c>
      <c r="BO3" s="412">
        <f t="shared" si="7"/>
        <v>0</v>
      </c>
      <c r="BP3" s="412">
        <f t="shared" si="7"/>
        <v>0</v>
      </c>
      <c r="BQ3" s="412">
        <f t="shared" si="7"/>
        <v>0</v>
      </c>
      <c r="BT3" s="417"/>
      <c r="BZ3" s="412">
        <f t="shared" ref="BZ3:CE3" si="8">IF(BZ4&lt;=$AZ4,1,0)</f>
        <v>1</v>
      </c>
      <c r="CA3" s="412">
        <f t="shared" si="8"/>
        <v>1</v>
      </c>
      <c r="CB3" s="412">
        <f t="shared" si="8"/>
        <v>1</v>
      </c>
      <c r="CC3" s="412">
        <f t="shared" si="8"/>
        <v>1</v>
      </c>
      <c r="CD3" s="412">
        <f t="shared" si="8"/>
        <v>1</v>
      </c>
      <c r="CE3" s="412">
        <f t="shared" si="8"/>
        <v>1</v>
      </c>
      <c r="CF3" s="412">
        <v>0</v>
      </c>
      <c r="CG3" s="412">
        <f>IF(CG4&lt;=$AZ4,1,0)</f>
        <v>0</v>
      </c>
      <c r="CH3" s="412">
        <f>IF(CH4&lt;=$AZ4,1,0)</f>
        <v>0</v>
      </c>
      <c r="CI3" s="412">
        <f>IF(CI4&lt;=$AZ4,1,0)</f>
        <v>0</v>
      </c>
      <c r="CJ3" s="412">
        <f>IF(CJ4&lt;=$AZ4,1,0)</f>
        <v>0</v>
      </c>
      <c r="CK3" s="412">
        <f>IF(CK4&lt;=$AZ4,1,0)</f>
        <v>0</v>
      </c>
    </row>
    <row r="4" spans="1:95" s="185" customFormat="1">
      <c r="A4" s="185" t="s">
        <v>37</v>
      </c>
      <c r="C4" s="423">
        <v>1</v>
      </c>
      <c r="D4" s="423">
        <v>2</v>
      </c>
      <c r="E4" s="423">
        <v>3</v>
      </c>
      <c r="F4" s="423">
        <v>4</v>
      </c>
      <c r="G4" s="423">
        <v>5</v>
      </c>
      <c r="H4" s="423">
        <v>6</v>
      </c>
      <c r="I4" s="423">
        <v>7</v>
      </c>
      <c r="J4" s="423">
        <v>8</v>
      </c>
      <c r="K4" s="423">
        <v>9</v>
      </c>
      <c r="L4" s="423">
        <v>10</v>
      </c>
      <c r="M4" s="423">
        <v>11</v>
      </c>
      <c r="N4" s="423">
        <v>12</v>
      </c>
      <c r="O4" s="422" t="s">
        <v>38</v>
      </c>
      <c r="P4" s="436">
        <f>サマリ!$A$1</f>
        <v>7</v>
      </c>
      <c r="Q4" s="528">
        <f>サマリ!$A$1</f>
        <v>7</v>
      </c>
      <c r="S4" s="185" t="s">
        <v>37</v>
      </c>
      <c r="U4" s="423">
        <v>1</v>
      </c>
      <c r="V4" s="423">
        <v>2</v>
      </c>
      <c r="W4" s="423">
        <v>3</v>
      </c>
      <c r="X4" s="423">
        <v>4</v>
      </c>
      <c r="Y4" s="423">
        <v>5</v>
      </c>
      <c r="Z4" s="423">
        <v>6</v>
      </c>
      <c r="AA4" s="423">
        <v>7</v>
      </c>
      <c r="AB4" s="423">
        <v>8</v>
      </c>
      <c r="AC4" s="423">
        <v>9</v>
      </c>
      <c r="AD4" s="423">
        <v>10</v>
      </c>
      <c r="AE4" s="423">
        <v>11</v>
      </c>
      <c r="AF4" s="423">
        <v>12</v>
      </c>
      <c r="AG4" s="422" t="s">
        <v>38</v>
      </c>
      <c r="AH4" s="436">
        <f>サマリ!$A$1</f>
        <v>7</v>
      </c>
      <c r="AI4" s="528">
        <f>サマリ!$A$1</f>
        <v>7</v>
      </c>
      <c r="AK4" s="185" t="s">
        <v>37</v>
      </c>
      <c r="AM4" s="423">
        <v>1</v>
      </c>
      <c r="AN4" s="423">
        <v>2</v>
      </c>
      <c r="AO4" s="423">
        <v>3</v>
      </c>
      <c r="AP4" s="423">
        <v>4</v>
      </c>
      <c r="AQ4" s="423">
        <v>5</v>
      </c>
      <c r="AR4" s="423">
        <v>6</v>
      </c>
      <c r="AS4" s="423">
        <v>7</v>
      </c>
      <c r="AT4" s="423">
        <v>8</v>
      </c>
      <c r="AU4" s="423">
        <v>9</v>
      </c>
      <c r="AV4" s="423">
        <v>10</v>
      </c>
      <c r="AW4" s="423">
        <v>11</v>
      </c>
      <c r="AX4" s="423">
        <v>12</v>
      </c>
      <c r="AY4" s="422" t="s">
        <v>38</v>
      </c>
      <c r="AZ4" s="436">
        <f>サマリ!$A$1</f>
        <v>7</v>
      </c>
      <c r="BA4" s="528">
        <f>サマリ!$A$1</f>
        <v>7</v>
      </c>
      <c r="BC4" s="185" t="s">
        <v>37</v>
      </c>
      <c r="BE4" s="423">
        <v>1</v>
      </c>
      <c r="BF4" s="423">
        <v>2</v>
      </c>
      <c r="BG4" s="423">
        <v>3</v>
      </c>
      <c r="BH4" s="423">
        <v>4</v>
      </c>
      <c r="BI4" s="423">
        <v>5</v>
      </c>
      <c r="BJ4" s="423">
        <v>6</v>
      </c>
      <c r="BK4" s="423">
        <v>7</v>
      </c>
      <c r="BL4" s="423">
        <v>8</v>
      </c>
      <c r="BM4" s="423">
        <v>9</v>
      </c>
      <c r="BN4" s="423">
        <v>10</v>
      </c>
      <c r="BO4" s="423">
        <v>11</v>
      </c>
      <c r="BP4" s="423">
        <v>12</v>
      </c>
      <c r="BQ4" s="422" t="s">
        <v>38</v>
      </c>
      <c r="BR4" s="436">
        <f>サマリ!$A$1</f>
        <v>7</v>
      </c>
      <c r="BS4" s="528">
        <f>サマリ!$A$1</f>
        <v>7</v>
      </c>
      <c r="BT4" s="186" t="s">
        <v>255</v>
      </c>
      <c r="BU4" s="185" t="s">
        <v>256</v>
      </c>
      <c r="BV4" s="185" t="s">
        <v>257</v>
      </c>
      <c r="BX4" s="185" t="s">
        <v>1</v>
      </c>
      <c r="BZ4" s="558">
        <v>1</v>
      </c>
      <c r="CA4" s="558">
        <v>2</v>
      </c>
      <c r="CB4" s="558">
        <v>3</v>
      </c>
      <c r="CC4" s="558">
        <v>4</v>
      </c>
      <c r="CD4" s="558">
        <v>5</v>
      </c>
      <c r="CE4" s="558">
        <v>6</v>
      </c>
      <c r="CF4" s="558">
        <v>7</v>
      </c>
      <c r="CG4" s="558">
        <v>8</v>
      </c>
      <c r="CH4" s="558">
        <v>9</v>
      </c>
      <c r="CI4" s="558">
        <v>10</v>
      </c>
      <c r="CJ4" s="558">
        <v>11</v>
      </c>
      <c r="CK4" s="558">
        <v>12</v>
      </c>
      <c r="CL4" s="559" t="s">
        <v>38</v>
      </c>
      <c r="CM4" s="560">
        <f>サマリ!$A$1</f>
        <v>7</v>
      </c>
      <c r="CN4" s="561">
        <f>サマリ!$A$1</f>
        <v>7</v>
      </c>
      <c r="CP4" s="185" t="s">
        <v>258</v>
      </c>
      <c r="CQ4" s="185" t="s">
        <v>259</v>
      </c>
    </row>
    <row r="5" spans="1:95">
      <c r="A5" s="65" t="s">
        <v>149</v>
      </c>
      <c r="B5" s="65" t="s">
        <v>260</v>
      </c>
      <c r="C5" s="174">
        <f>AM5-BE5</f>
        <v>0</v>
      </c>
      <c r="D5" s="174">
        <f t="shared" ref="D5:D34" si="9">AN5-BF5</f>
        <v>0</v>
      </c>
      <c r="E5" s="174">
        <f t="shared" ref="E5:E34" si="10">AO5-BG5</f>
        <v>0</v>
      </c>
      <c r="F5" s="174">
        <f t="shared" ref="F5:F34" si="11">AP5-BH5</f>
        <v>0</v>
      </c>
      <c r="G5" s="174">
        <f t="shared" ref="G5:G34" si="12">AQ5-BI5</f>
        <v>0</v>
      </c>
      <c r="H5" s="174">
        <f t="shared" ref="H5:H34" si="13">AR5-BJ5</f>
        <v>0</v>
      </c>
      <c r="I5" s="174">
        <f t="shared" ref="I5:I34" si="14">AS5-BK5</f>
        <v>-1995</v>
      </c>
      <c r="J5" s="174">
        <f t="shared" ref="J5:J34" si="15">AT5-BL5</f>
        <v>-3420</v>
      </c>
      <c r="K5" s="174">
        <f t="shared" ref="K5:K34" si="16">AU5-BM5</f>
        <v>-5130</v>
      </c>
      <c r="L5" s="174">
        <f t="shared" ref="L5:L34" si="17">AV5-BN5</f>
        <v>-6840</v>
      </c>
      <c r="M5" s="174">
        <f t="shared" ref="M5:M34" si="18">AW5-BO5</f>
        <v>-8265</v>
      </c>
      <c r="N5" s="174">
        <f t="shared" ref="N5:N34" si="19">AX5-BP5</f>
        <v>-10830</v>
      </c>
      <c r="O5" s="69">
        <f t="shared" ref="O5:O34" si="20">AY5-BQ5</f>
        <v>-36480</v>
      </c>
      <c r="S5" s="65" t="s">
        <v>149</v>
      </c>
      <c r="T5" s="65" t="s">
        <v>260</v>
      </c>
      <c r="U5" s="224" t="e">
        <f>AM5/BE5</f>
        <v>#DIV/0!</v>
      </c>
      <c r="V5" s="224" t="e">
        <f t="shared" ref="V5:V34" si="21">AN5/BF5</f>
        <v>#DIV/0!</v>
      </c>
      <c r="W5" s="224" t="e">
        <f t="shared" ref="W5:W34" si="22">AO5/BG5</f>
        <v>#DIV/0!</v>
      </c>
      <c r="X5" s="224" t="e">
        <f t="shared" ref="X5:X34" si="23">AP5/BH5</f>
        <v>#DIV/0!</v>
      </c>
      <c r="Y5" s="224" t="e">
        <f t="shared" ref="Y5:Y34" si="24">AQ5/BI5</f>
        <v>#DIV/0!</v>
      </c>
      <c r="Z5" s="224" t="e">
        <f t="shared" ref="Z5:Z34" si="25">AR5/BJ5</f>
        <v>#DIV/0!</v>
      </c>
      <c r="AA5" s="224">
        <f t="shared" ref="AA5:AA34" si="26">AS5/BK5</f>
        <v>0</v>
      </c>
      <c r="AB5" s="224">
        <f t="shared" ref="AB5:AB34" si="27">AT5/BL5</f>
        <v>0</v>
      </c>
      <c r="AC5" s="224">
        <f t="shared" ref="AC5:AC34" si="28">AU5/BM5</f>
        <v>0</v>
      </c>
      <c r="AD5" s="224">
        <f t="shared" ref="AD5:AD34" si="29">AV5/BN5</f>
        <v>0</v>
      </c>
      <c r="AE5" s="224">
        <f t="shared" ref="AE5:AE34" si="30">AW5/BO5</f>
        <v>0</v>
      </c>
      <c r="AF5" s="224">
        <f t="shared" ref="AF5:AF34" si="31">AX5/BP5</f>
        <v>0</v>
      </c>
      <c r="AG5" s="228">
        <f>AY5/BQ5</f>
        <v>0</v>
      </c>
      <c r="AH5" s="228"/>
      <c r="AI5" s="228"/>
      <c r="AK5" s="65" t="s">
        <v>149</v>
      </c>
      <c r="AL5" s="65" t="s">
        <v>260</v>
      </c>
      <c r="AM5" s="174">
        <v>0</v>
      </c>
      <c r="AN5" s="174">
        <v>0</v>
      </c>
      <c r="AO5" s="174">
        <v>0</v>
      </c>
      <c r="AP5" s="174">
        <v>0</v>
      </c>
      <c r="AQ5" s="174">
        <v>0</v>
      </c>
      <c r="AR5" s="174">
        <v>0</v>
      </c>
      <c r="AS5" s="174">
        <v>0</v>
      </c>
      <c r="AT5" s="174"/>
      <c r="AU5" s="174"/>
      <c r="AV5" s="174"/>
      <c r="AW5" s="174"/>
      <c r="AX5" s="174"/>
      <c r="AY5" s="69">
        <f>SUM(AM5:AX5)</f>
        <v>0</v>
      </c>
      <c r="AZ5" s="69">
        <f>SUMIF(AM$3:AX$3,1,AM5:AX5)</f>
        <v>0</v>
      </c>
      <c r="BA5" s="69">
        <f>SUMIF(AN$2:AY$2,1,AN5:AY5)</f>
        <v>0</v>
      </c>
      <c r="BC5" s="65" t="s">
        <v>149</v>
      </c>
      <c r="BD5" s="65" t="s">
        <v>260</v>
      </c>
      <c r="BE5" s="69">
        <f t="shared" ref="BE5:BP5" si="32">BE38*BE66</f>
        <v>0</v>
      </c>
      <c r="BF5" s="69">
        <f t="shared" si="32"/>
        <v>0</v>
      </c>
      <c r="BG5" s="69">
        <f t="shared" si="32"/>
        <v>0</v>
      </c>
      <c r="BH5" s="69">
        <f t="shared" si="32"/>
        <v>0</v>
      </c>
      <c r="BI5" s="69">
        <f t="shared" si="32"/>
        <v>0</v>
      </c>
      <c r="BJ5" s="69">
        <f t="shared" si="32"/>
        <v>0</v>
      </c>
      <c r="BK5" s="69">
        <f t="shared" si="32"/>
        <v>1995</v>
      </c>
      <c r="BL5" s="69">
        <f t="shared" si="32"/>
        <v>3420</v>
      </c>
      <c r="BM5" s="69">
        <f t="shared" si="32"/>
        <v>5130</v>
      </c>
      <c r="BN5" s="69">
        <f t="shared" si="32"/>
        <v>6840</v>
      </c>
      <c r="BO5" s="69">
        <f t="shared" si="32"/>
        <v>8265</v>
      </c>
      <c r="BP5" s="69">
        <f t="shared" si="32"/>
        <v>10830</v>
      </c>
      <c r="BQ5" s="69">
        <f>SUM(BE5:BP5)</f>
        <v>36480</v>
      </c>
      <c r="BR5" s="69">
        <f>SUMIF(BE$3:BP$3,1,BE5:BP5)</f>
        <v>1995</v>
      </c>
      <c r="BS5" s="69">
        <f>SUMIF(BF$2:BQ$2,1,BF5:BQ5)</f>
        <v>1995</v>
      </c>
      <c r="BT5" s="180"/>
      <c r="BX5" s="65" t="s">
        <v>149</v>
      </c>
      <c r="BY5" s="65" t="s">
        <v>260</v>
      </c>
      <c r="BZ5" s="189">
        <v>0</v>
      </c>
      <c r="CA5" s="189">
        <v>0</v>
      </c>
      <c r="CB5" s="189">
        <v>0</v>
      </c>
      <c r="CC5" s="189">
        <v>0</v>
      </c>
      <c r="CD5" s="189">
        <v>0</v>
      </c>
      <c r="CE5" s="189">
        <v>0</v>
      </c>
      <c r="CF5" s="189">
        <v>0</v>
      </c>
      <c r="CG5" s="189">
        <v>0</v>
      </c>
      <c r="CH5" s="189">
        <v>0</v>
      </c>
      <c r="CI5" s="189">
        <v>0</v>
      </c>
      <c r="CJ5" s="189">
        <v>0</v>
      </c>
      <c r="CK5" s="189">
        <v>0</v>
      </c>
      <c r="CL5" s="189">
        <f>SUM(BZ5:CK5)</f>
        <v>0</v>
      </c>
      <c r="CM5" s="189">
        <f t="shared" ref="CM5:CM34" si="33">SUMIF(BZ$3:CK$3,1,BZ5:CK5)</f>
        <v>0</v>
      </c>
      <c r="CN5" s="189">
        <f t="shared" ref="CN5:CN13" si="34">SUMIF(BZ$2:CK$2,1,BZ5:CK5)</f>
        <v>0</v>
      </c>
      <c r="CP5" s="594" t="e">
        <f t="shared" ref="CP5:CP34" si="35">AZ5/CM5</f>
        <v>#DIV/0!</v>
      </c>
      <c r="CQ5" s="594" t="e">
        <f t="shared" ref="CQ5:CQ34" si="36">BA5/CN5</f>
        <v>#DIV/0!</v>
      </c>
    </row>
    <row r="6" spans="1:95">
      <c r="A6" s="175" t="s">
        <v>149</v>
      </c>
      <c r="B6" s="65" t="s">
        <v>24</v>
      </c>
      <c r="C6" s="174">
        <f t="shared" ref="C6:C34" si="37">AM6-BE6</f>
        <v>96.166999999999987</v>
      </c>
      <c r="D6" s="174">
        <f t="shared" si="9"/>
        <v>-19.739000000000004</v>
      </c>
      <c r="E6" s="174">
        <f t="shared" si="10"/>
        <v>-64.954000000000036</v>
      </c>
      <c r="F6" s="174">
        <f t="shared" si="11"/>
        <v>-38.961000000000013</v>
      </c>
      <c r="G6" s="174">
        <f t="shared" si="12"/>
        <v>-181.893</v>
      </c>
      <c r="H6" s="174">
        <f t="shared" si="13"/>
        <v>-397.58100000000002</v>
      </c>
      <c r="I6" s="174">
        <f t="shared" si="14"/>
        <v>-701.63300000000004</v>
      </c>
      <c r="J6" s="174">
        <f t="shared" si="15"/>
        <v>-1075.8600000000001</v>
      </c>
      <c r="K6" s="174">
        <f t="shared" si="16"/>
        <v>-1362.7560000000001</v>
      </c>
      <c r="L6" s="174">
        <f t="shared" si="17"/>
        <v>-1577.9280000000001</v>
      </c>
      <c r="M6" s="174">
        <f t="shared" si="18"/>
        <v>-1864.8240000000001</v>
      </c>
      <c r="N6" s="174">
        <f t="shared" si="19"/>
        <v>-2331.0300000000002</v>
      </c>
      <c r="O6" s="69">
        <f t="shared" si="20"/>
        <v>-9520.992000000002</v>
      </c>
      <c r="S6" s="175" t="s">
        <v>149</v>
      </c>
      <c r="T6" s="65" t="s">
        <v>24</v>
      </c>
      <c r="U6" s="224">
        <f>AM6/BE6</f>
        <v>2.3407924822932351</v>
      </c>
      <c r="V6" s="224">
        <f t="shared" si="21"/>
        <v>0.86239612960794154</v>
      </c>
      <c r="W6" s="224">
        <f t="shared" si="22"/>
        <v>0.69812986819846434</v>
      </c>
      <c r="X6" s="224">
        <f t="shared" si="23"/>
        <v>0.84479791582016772</v>
      </c>
      <c r="Y6" s="224">
        <f t="shared" si="24"/>
        <v>0.49279738999498074</v>
      </c>
      <c r="Z6" s="224">
        <f t="shared" si="25"/>
        <v>0.34785796533771618</v>
      </c>
      <c r="AA6" s="224">
        <f t="shared" si="26"/>
        <v>0.18479983455096385</v>
      </c>
      <c r="AB6" s="224">
        <f t="shared" si="27"/>
        <v>0</v>
      </c>
      <c r="AC6" s="224">
        <f t="shared" si="28"/>
        <v>0</v>
      </c>
      <c r="AD6" s="224">
        <f t="shared" si="29"/>
        <v>0</v>
      </c>
      <c r="AE6" s="224">
        <f t="shared" si="30"/>
        <v>0</v>
      </c>
      <c r="AF6" s="224">
        <f t="shared" si="31"/>
        <v>0</v>
      </c>
      <c r="AG6" s="228">
        <f t="shared" ref="AG6:AG33" si="38">AY6/BQ6</f>
        <v>0.11207454663165321</v>
      </c>
      <c r="AH6" s="228"/>
      <c r="AI6" s="228"/>
      <c r="AK6" s="175" t="s">
        <v>149</v>
      </c>
      <c r="AL6" s="65" t="s">
        <v>261</v>
      </c>
      <c r="AM6" s="174">
        <v>167.89099999999999</v>
      </c>
      <c r="AN6" s="174">
        <v>123.709</v>
      </c>
      <c r="AO6" s="174">
        <v>150.21799999999999</v>
      </c>
      <c r="AP6" s="174">
        <v>212.07300000000001</v>
      </c>
      <c r="AQ6" s="174">
        <v>176.727</v>
      </c>
      <c r="AR6" s="174">
        <v>212.07300000000001</v>
      </c>
      <c r="AS6" s="174">
        <v>159.05500000000001</v>
      </c>
      <c r="AT6" s="174"/>
      <c r="AU6" s="174"/>
      <c r="AV6" s="174"/>
      <c r="AW6" s="174"/>
      <c r="AX6" s="174"/>
      <c r="AY6" s="69">
        <f t="shared" ref="AY6:AY33" si="39">SUM(AM6:AX6)</f>
        <v>1201.7460000000001</v>
      </c>
      <c r="AZ6" s="69">
        <f t="shared" ref="AZ6:AZ34" si="40">SUMIF(AM$3:AX$3,1,AM6:AX6)</f>
        <v>1201.7460000000001</v>
      </c>
      <c r="BA6" s="69">
        <f t="shared" ref="BA6:BA34" si="41">SUMIF(AN$2:AY$2,1,AN6:AY6)</f>
        <v>159.05500000000001</v>
      </c>
      <c r="BC6" s="175" t="s">
        <v>149</v>
      </c>
      <c r="BD6" s="65" t="s">
        <v>24</v>
      </c>
      <c r="BE6" s="69">
        <f t="shared" ref="BE6:BO6" si="42">BE39*BE67</f>
        <v>71.724000000000004</v>
      </c>
      <c r="BF6" s="69">
        <f>BF39*BF67</f>
        <v>143.44800000000001</v>
      </c>
      <c r="BG6" s="69">
        <f>BG39*BG67</f>
        <v>215.17200000000003</v>
      </c>
      <c r="BH6" s="69">
        <f t="shared" si="42"/>
        <v>251.03400000000002</v>
      </c>
      <c r="BI6" s="69">
        <f t="shared" si="42"/>
        <v>358.62</v>
      </c>
      <c r="BJ6" s="69">
        <f t="shared" si="42"/>
        <v>609.654</v>
      </c>
      <c r="BK6" s="69">
        <f t="shared" si="42"/>
        <v>860.6880000000001</v>
      </c>
      <c r="BL6" s="69">
        <f t="shared" si="42"/>
        <v>1075.8600000000001</v>
      </c>
      <c r="BM6" s="69">
        <f t="shared" si="42"/>
        <v>1362.7560000000001</v>
      </c>
      <c r="BN6" s="69">
        <f t="shared" si="42"/>
        <v>1577.9280000000001</v>
      </c>
      <c r="BO6" s="69">
        <f t="shared" si="42"/>
        <v>1864.8240000000001</v>
      </c>
      <c r="BP6" s="69">
        <f>BP39*BP67</f>
        <v>2331.0300000000002</v>
      </c>
      <c r="BQ6" s="69">
        <f>SUM(BE6:BP6)</f>
        <v>10722.738000000001</v>
      </c>
      <c r="BR6" s="69">
        <f t="shared" ref="BR6:BR34" si="43">SUMIF(BE$3:BP$3,1,BE6:BP6)</f>
        <v>2510.34</v>
      </c>
      <c r="BS6" s="69">
        <f t="shared" ref="BS6:BS34" si="44">SUMIF(BF$2:BQ$2,1,BF6:BQ6)</f>
        <v>860.6880000000001</v>
      </c>
      <c r="BT6" s="180"/>
      <c r="BX6" s="196" t="s">
        <v>149</v>
      </c>
      <c r="BY6" s="65" t="s">
        <v>24</v>
      </c>
      <c r="BZ6" s="189">
        <v>2236.0281818181802</v>
      </c>
      <c r="CA6" s="189">
        <v>2091.7472727272698</v>
      </c>
      <c r="CB6" s="189">
        <v>2086.44</v>
      </c>
      <c r="CC6" s="189">
        <v>2278.4481818181798</v>
      </c>
      <c r="CD6" s="189">
        <v>1900.1536363636401</v>
      </c>
      <c r="CE6" s="189">
        <v>1904.6718181818201</v>
      </c>
      <c r="CF6" s="189">
        <v>2065.1563636363599</v>
      </c>
      <c r="CG6" s="189">
        <v>2199.8945454545501</v>
      </c>
      <c r="CH6" s="189">
        <v>2223.42</v>
      </c>
      <c r="CI6" s="189">
        <v>2375.8636363636401</v>
      </c>
      <c r="CJ6" s="189">
        <v>2111.1545454545499</v>
      </c>
      <c r="CK6" s="189">
        <v>1999.3</v>
      </c>
      <c r="CL6" s="220">
        <f>SUM(BZ6:CK6)</f>
        <v>25472.278181818187</v>
      </c>
      <c r="CM6" s="189">
        <f t="shared" si="33"/>
        <v>12497.48909090909</v>
      </c>
      <c r="CN6" s="189">
        <f t="shared" si="34"/>
        <v>1904.6718181818201</v>
      </c>
      <c r="CP6" s="595">
        <f t="shared" si="35"/>
        <v>9.6158995719722043E-2</v>
      </c>
      <c r="CQ6" s="594">
        <f t="shared" si="36"/>
        <v>8.3507824540519665E-2</v>
      </c>
    </row>
    <row r="7" spans="1:95">
      <c r="A7" s="175" t="s">
        <v>149</v>
      </c>
      <c r="B7" s="65" t="s">
        <v>262</v>
      </c>
      <c r="C7" s="174">
        <f t="shared" si="37"/>
        <v>8.6</v>
      </c>
      <c r="D7" s="174">
        <f t="shared" si="9"/>
        <v>14.2</v>
      </c>
      <c r="E7" s="174">
        <f t="shared" si="10"/>
        <v>-14.862000000000002</v>
      </c>
      <c r="F7" s="174">
        <f t="shared" si="11"/>
        <v>-13.462000000000003</v>
      </c>
      <c r="G7" s="174">
        <f t="shared" si="12"/>
        <v>-1.8620000000000019</v>
      </c>
      <c r="H7" s="174">
        <f t="shared" si="13"/>
        <v>0.13799999999999812</v>
      </c>
      <c r="I7" s="174">
        <f t="shared" si="14"/>
        <v>-752</v>
      </c>
      <c r="J7" s="174">
        <f t="shared" si="15"/>
        <v>-1300</v>
      </c>
      <c r="K7" s="174">
        <f t="shared" si="16"/>
        <v>-1924</v>
      </c>
      <c r="L7" s="174">
        <f t="shared" si="17"/>
        <v>-2548</v>
      </c>
      <c r="M7" s="174">
        <f t="shared" si="18"/>
        <v>-3068</v>
      </c>
      <c r="N7" s="174">
        <f t="shared" si="19"/>
        <v>-4004</v>
      </c>
      <c r="O7" s="69">
        <f t="shared" si="20"/>
        <v>-13603.248</v>
      </c>
      <c r="S7" s="175" t="s">
        <v>149</v>
      </c>
      <c r="T7" s="65" t="s">
        <v>262</v>
      </c>
      <c r="U7" s="224" t="e">
        <f t="shared" ref="U7:U34" si="45">AM7/BE7</f>
        <v>#DIV/0!</v>
      </c>
      <c r="V7" s="224" t="e">
        <f t="shared" si="21"/>
        <v>#DIV/0!</v>
      </c>
      <c r="W7" s="224">
        <f t="shared" si="22"/>
        <v>0.58557804918855605</v>
      </c>
      <c r="X7" s="224">
        <f t="shared" si="23"/>
        <v>0.62461658580112644</v>
      </c>
      <c r="Y7" s="224">
        <f t="shared" si="24"/>
        <v>0.94807874630528133</v>
      </c>
      <c r="Z7" s="224">
        <f t="shared" si="25"/>
        <v>1.0038480843232391</v>
      </c>
      <c r="AA7" s="224">
        <f t="shared" si="26"/>
        <v>3.5897435897435895E-2</v>
      </c>
      <c r="AB7" s="224">
        <f t="shared" si="27"/>
        <v>0</v>
      </c>
      <c r="AC7" s="224">
        <f t="shared" si="28"/>
        <v>0</v>
      </c>
      <c r="AD7" s="224">
        <f t="shared" si="29"/>
        <v>0</v>
      </c>
      <c r="AE7" s="224">
        <f t="shared" si="30"/>
        <v>0</v>
      </c>
      <c r="AF7" s="224">
        <f t="shared" si="31"/>
        <v>0</v>
      </c>
      <c r="AG7" s="228">
        <f t="shared" si="38"/>
        <v>1.1926683870532867E-2</v>
      </c>
      <c r="AH7" s="228"/>
      <c r="AI7" s="228"/>
      <c r="AK7" s="175" t="s">
        <v>149</v>
      </c>
      <c r="AL7" s="65" t="s">
        <v>263</v>
      </c>
      <c r="AM7" s="174">
        <v>8.6</v>
      </c>
      <c r="AN7" s="174">
        <v>14.2</v>
      </c>
      <c r="AO7" s="174">
        <v>21</v>
      </c>
      <c r="AP7" s="174">
        <v>22.4</v>
      </c>
      <c r="AQ7" s="174">
        <v>34</v>
      </c>
      <c r="AR7" s="174">
        <v>36</v>
      </c>
      <c r="AS7" s="174">
        <v>28</v>
      </c>
      <c r="AT7" s="174"/>
      <c r="AU7" s="174"/>
      <c r="AV7" s="174"/>
      <c r="AW7" s="174"/>
      <c r="AX7" s="174"/>
      <c r="AY7" s="69">
        <f t="shared" si="39"/>
        <v>164.2</v>
      </c>
      <c r="AZ7" s="69">
        <f t="shared" si="40"/>
        <v>164.2</v>
      </c>
      <c r="BA7" s="69">
        <f t="shared" si="41"/>
        <v>28</v>
      </c>
      <c r="BC7" s="175" t="s">
        <v>149</v>
      </c>
      <c r="BD7" s="65" t="s">
        <v>262</v>
      </c>
      <c r="BE7" s="69">
        <f t="shared" ref="BE7:BP7" si="46">BE40*BE68</f>
        <v>0</v>
      </c>
      <c r="BF7" s="69">
        <f t="shared" si="46"/>
        <v>0</v>
      </c>
      <c r="BG7" s="69">
        <f t="shared" si="46"/>
        <v>35.862000000000002</v>
      </c>
      <c r="BH7" s="69">
        <f t="shared" si="46"/>
        <v>35.862000000000002</v>
      </c>
      <c r="BI7" s="69">
        <f t="shared" si="46"/>
        <v>35.862000000000002</v>
      </c>
      <c r="BJ7" s="69">
        <f t="shared" si="46"/>
        <v>35.862000000000002</v>
      </c>
      <c r="BK7" s="69">
        <f t="shared" si="46"/>
        <v>780</v>
      </c>
      <c r="BL7" s="69">
        <f t="shared" si="46"/>
        <v>1300</v>
      </c>
      <c r="BM7" s="69">
        <f t="shared" si="46"/>
        <v>1924</v>
      </c>
      <c r="BN7" s="69">
        <f t="shared" si="46"/>
        <v>2548</v>
      </c>
      <c r="BO7" s="69">
        <f t="shared" si="46"/>
        <v>3068</v>
      </c>
      <c r="BP7" s="69">
        <f t="shared" si="46"/>
        <v>4004</v>
      </c>
      <c r="BQ7" s="69">
        <f t="shared" ref="BQ7:BQ33" si="47">SUM(BE7:BP7)</f>
        <v>13767.448</v>
      </c>
      <c r="BR7" s="69">
        <f t="shared" si="43"/>
        <v>923.44799999999998</v>
      </c>
      <c r="BS7" s="69">
        <f t="shared" si="44"/>
        <v>780</v>
      </c>
      <c r="BT7" s="180"/>
      <c r="BX7" s="196" t="s">
        <v>149</v>
      </c>
      <c r="BY7" s="65" t="s">
        <v>262</v>
      </c>
      <c r="BZ7" s="189">
        <v>0</v>
      </c>
      <c r="CA7" s="189">
        <v>0</v>
      </c>
      <c r="CB7" s="189">
        <v>0</v>
      </c>
      <c r="CC7" s="189">
        <v>0</v>
      </c>
      <c r="CD7" s="189">
        <v>0</v>
      </c>
      <c r="CE7" s="189">
        <v>0</v>
      </c>
      <c r="CF7" s="189">
        <v>12.8</v>
      </c>
      <c r="CG7" s="189">
        <v>47.6</v>
      </c>
      <c r="CH7" s="189">
        <v>147</v>
      </c>
      <c r="CI7" s="189">
        <v>137.136</v>
      </c>
      <c r="CJ7" s="189">
        <v>151.809</v>
      </c>
      <c r="CK7" s="189">
        <v>128.482</v>
      </c>
      <c r="CL7" s="220">
        <f>SUM(CF7:CK7)</f>
        <v>624.827</v>
      </c>
      <c r="CM7" s="189">
        <f t="shared" si="33"/>
        <v>0</v>
      </c>
      <c r="CN7" s="189">
        <f t="shared" si="34"/>
        <v>0</v>
      </c>
      <c r="CP7" s="595" t="e">
        <f t="shared" si="35"/>
        <v>#DIV/0!</v>
      </c>
      <c r="CQ7" s="594" t="e">
        <f t="shared" si="36"/>
        <v>#DIV/0!</v>
      </c>
    </row>
    <row r="8" spans="1:95">
      <c r="A8" s="175" t="s">
        <v>149</v>
      </c>
      <c r="B8" s="65" t="s">
        <v>26</v>
      </c>
      <c r="C8" s="174">
        <f t="shared" si="37"/>
        <v>0</v>
      </c>
      <c r="D8" s="174">
        <f t="shared" si="9"/>
        <v>0</v>
      </c>
      <c r="E8" s="174">
        <f t="shared" si="10"/>
        <v>0</v>
      </c>
      <c r="F8" s="174">
        <f t="shared" si="11"/>
        <v>0</v>
      </c>
      <c r="G8" s="174">
        <f t="shared" si="12"/>
        <v>0</v>
      </c>
      <c r="H8" s="174">
        <f t="shared" si="13"/>
        <v>0</v>
      </c>
      <c r="I8" s="174">
        <f t="shared" si="14"/>
        <v>-415.44749999999999</v>
      </c>
      <c r="J8" s="174">
        <f t="shared" si="15"/>
        <v>-692.41250000000002</v>
      </c>
      <c r="K8" s="174">
        <f t="shared" si="16"/>
        <v>-1024.7705000000001</v>
      </c>
      <c r="L8" s="174">
        <f t="shared" si="17"/>
        <v>-1357.1285</v>
      </c>
      <c r="M8" s="174">
        <f t="shared" si="18"/>
        <v>-1634.0934999999999</v>
      </c>
      <c r="N8" s="174">
        <f t="shared" si="19"/>
        <v>-2132.6305000000002</v>
      </c>
      <c r="O8" s="69">
        <f t="shared" si="20"/>
        <v>-7256.4830000000002</v>
      </c>
      <c r="S8" s="175" t="s">
        <v>149</v>
      </c>
      <c r="T8" s="65" t="s">
        <v>26</v>
      </c>
      <c r="U8" s="224" t="e">
        <f t="shared" si="45"/>
        <v>#DIV/0!</v>
      </c>
      <c r="V8" s="224" t="e">
        <f t="shared" si="21"/>
        <v>#DIV/0!</v>
      </c>
      <c r="W8" s="224" t="e">
        <f t="shared" si="22"/>
        <v>#DIV/0!</v>
      </c>
      <c r="X8" s="224" t="e">
        <f t="shared" si="23"/>
        <v>#DIV/0!</v>
      </c>
      <c r="Y8" s="224" t="e">
        <f t="shared" si="24"/>
        <v>#DIV/0!</v>
      </c>
      <c r="Z8" s="224" t="e">
        <f t="shared" si="25"/>
        <v>#DIV/0!</v>
      </c>
      <c r="AA8" s="224">
        <f t="shared" si="26"/>
        <v>0</v>
      </c>
      <c r="AB8" s="224">
        <f t="shared" si="27"/>
        <v>0</v>
      </c>
      <c r="AC8" s="224">
        <f t="shared" si="28"/>
        <v>0</v>
      </c>
      <c r="AD8" s="224">
        <f t="shared" si="29"/>
        <v>0</v>
      </c>
      <c r="AE8" s="224">
        <f t="shared" si="30"/>
        <v>0</v>
      </c>
      <c r="AF8" s="224">
        <f t="shared" si="31"/>
        <v>0</v>
      </c>
      <c r="AG8" s="228">
        <f t="shared" si="38"/>
        <v>0</v>
      </c>
      <c r="AH8" s="228"/>
      <c r="AI8" s="228"/>
      <c r="AK8" s="175" t="s">
        <v>149</v>
      </c>
      <c r="AL8" s="65" t="s">
        <v>26</v>
      </c>
      <c r="AM8" s="174">
        <v>0</v>
      </c>
      <c r="AN8" s="174">
        <v>0</v>
      </c>
      <c r="AO8" s="174">
        <v>0</v>
      </c>
      <c r="AP8" s="174">
        <v>0</v>
      </c>
      <c r="AQ8" s="174">
        <v>0</v>
      </c>
      <c r="AR8" s="174">
        <v>0</v>
      </c>
      <c r="AS8" s="174">
        <v>0</v>
      </c>
      <c r="AT8" s="174"/>
      <c r="AU8" s="174"/>
      <c r="AV8" s="174"/>
      <c r="AW8" s="174"/>
      <c r="AX8" s="174"/>
      <c r="AY8" s="69">
        <f t="shared" si="39"/>
        <v>0</v>
      </c>
      <c r="AZ8" s="69">
        <f t="shared" si="40"/>
        <v>0</v>
      </c>
      <c r="BA8" s="69">
        <f t="shared" si="41"/>
        <v>0</v>
      </c>
      <c r="BC8" s="175" t="s">
        <v>149</v>
      </c>
      <c r="BD8" s="65" t="s">
        <v>26</v>
      </c>
      <c r="BE8" s="69">
        <f t="shared" ref="BE8:BP8" si="48">BE41*BE69</f>
        <v>0</v>
      </c>
      <c r="BF8" s="69">
        <f t="shared" si="48"/>
        <v>0</v>
      </c>
      <c r="BG8" s="69">
        <f t="shared" si="48"/>
        <v>0</v>
      </c>
      <c r="BH8" s="69">
        <f t="shared" si="48"/>
        <v>0</v>
      </c>
      <c r="BI8" s="69">
        <f t="shared" si="48"/>
        <v>0</v>
      </c>
      <c r="BJ8" s="69">
        <f t="shared" si="48"/>
        <v>0</v>
      </c>
      <c r="BK8" s="69">
        <f>BK41*BK69</f>
        <v>415.44749999999999</v>
      </c>
      <c r="BL8" s="69">
        <f t="shared" si="48"/>
        <v>692.41250000000002</v>
      </c>
      <c r="BM8" s="69">
        <f t="shared" si="48"/>
        <v>1024.7705000000001</v>
      </c>
      <c r="BN8" s="69">
        <f t="shared" si="48"/>
        <v>1357.1285</v>
      </c>
      <c r="BO8" s="69">
        <f t="shared" si="48"/>
        <v>1634.0934999999999</v>
      </c>
      <c r="BP8" s="69">
        <f t="shared" si="48"/>
        <v>2132.6305000000002</v>
      </c>
      <c r="BQ8" s="69">
        <f t="shared" si="47"/>
        <v>7256.4830000000002</v>
      </c>
      <c r="BR8" s="69">
        <f t="shared" si="43"/>
        <v>415.44749999999999</v>
      </c>
      <c r="BS8" s="69">
        <f t="shared" si="44"/>
        <v>415.44749999999999</v>
      </c>
      <c r="BT8" s="180"/>
      <c r="BX8" s="196" t="s">
        <v>149</v>
      </c>
      <c r="BY8" s="65" t="s">
        <v>26</v>
      </c>
      <c r="BZ8" s="189">
        <v>243.30181818181799</v>
      </c>
      <c r="CA8" s="189">
        <v>175.93090909090901</v>
      </c>
      <c r="CB8" s="189">
        <v>284.005454545455</v>
      </c>
      <c r="CC8" s="189">
        <v>245.91818181818201</v>
      </c>
      <c r="CD8" s="189">
        <v>207.20363636363601</v>
      </c>
      <c r="CE8" s="189">
        <v>269.38181818181801</v>
      </c>
      <c r="CF8" s="189">
        <v>235.965454545455</v>
      </c>
      <c r="CG8" s="189">
        <v>221.641818181818</v>
      </c>
      <c r="CH8" s="189">
        <v>229.62727272727301</v>
      </c>
      <c r="CI8" s="189">
        <v>223.74727272727301</v>
      </c>
      <c r="CJ8" s="189">
        <v>193.821818181818</v>
      </c>
      <c r="CK8" s="189">
        <v>229.570909090909</v>
      </c>
      <c r="CL8" s="220">
        <f>SUM(BZ8:CK8)</f>
        <v>2760.116363636364</v>
      </c>
      <c r="CM8" s="189">
        <f t="shared" si="33"/>
        <v>1425.7418181818182</v>
      </c>
      <c r="CN8" s="189">
        <f t="shared" si="34"/>
        <v>269.38181818181801</v>
      </c>
      <c r="CP8" s="595">
        <f t="shared" si="35"/>
        <v>0</v>
      </c>
      <c r="CQ8" s="594">
        <f t="shared" si="36"/>
        <v>0</v>
      </c>
    </row>
    <row r="9" spans="1:95">
      <c r="A9" s="176" t="s">
        <v>149</v>
      </c>
      <c r="B9" s="176" t="s">
        <v>162</v>
      </c>
      <c r="C9" s="177">
        <f t="shared" si="37"/>
        <v>104.76699999999998</v>
      </c>
      <c r="D9" s="177">
        <f t="shared" si="9"/>
        <v>-5.5390000000000157</v>
      </c>
      <c r="E9" s="177">
        <f t="shared" si="10"/>
        <v>-79.816000000000031</v>
      </c>
      <c r="F9" s="177">
        <f t="shared" si="11"/>
        <v>-52.423000000000002</v>
      </c>
      <c r="G9" s="177">
        <f t="shared" si="12"/>
        <v>-183.75500000000002</v>
      </c>
      <c r="H9" s="177">
        <f t="shared" si="13"/>
        <v>-397.44299999999998</v>
      </c>
      <c r="I9" s="177">
        <f t="shared" si="14"/>
        <v>-3864.0805000000005</v>
      </c>
      <c r="J9" s="177">
        <f t="shared" si="15"/>
        <v>-6488.2725000000009</v>
      </c>
      <c r="K9" s="177">
        <f t="shared" si="16"/>
        <v>-9441.5265000000018</v>
      </c>
      <c r="L9" s="177">
        <f t="shared" si="17"/>
        <v>-12323.056500000001</v>
      </c>
      <c r="M9" s="177">
        <f t="shared" si="18"/>
        <v>-14831.9175</v>
      </c>
      <c r="N9" s="177">
        <f t="shared" si="19"/>
        <v>-19297.660499999998</v>
      </c>
      <c r="O9" s="177">
        <f t="shared" si="20"/>
        <v>-66860.722999999998</v>
      </c>
      <c r="P9" s="177"/>
      <c r="Q9" s="177"/>
      <c r="S9" s="176" t="s">
        <v>149</v>
      </c>
      <c r="T9" s="176" t="s">
        <v>162</v>
      </c>
      <c r="U9" s="226">
        <f t="shared" si="45"/>
        <v>2.4606965590318439</v>
      </c>
      <c r="V9" s="226">
        <f t="shared" si="21"/>
        <v>0.96138670458981645</v>
      </c>
      <c r="W9" s="226">
        <f t="shared" si="22"/>
        <v>0.68205103691133462</v>
      </c>
      <c r="X9" s="226">
        <f t="shared" si="23"/>
        <v>0.81727524956778763</v>
      </c>
      <c r="Y9" s="226">
        <f t="shared" si="24"/>
        <v>0.53418660420500808</v>
      </c>
      <c r="Z9" s="226">
        <f t="shared" si="25"/>
        <v>0.38430186083691192</v>
      </c>
      <c r="AA9" s="226">
        <f t="shared" si="26"/>
        <v>4.6173474079057586E-2</v>
      </c>
      <c r="AB9" s="226">
        <f t="shared" si="27"/>
        <v>0</v>
      </c>
      <c r="AC9" s="226">
        <f t="shared" si="28"/>
        <v>0</v>
      </c>
      <c r="AD9" s="226">
        <f t="shared" si="29"/>
        <v>0</v>
      </c>
      <c r="AE9" s="226">
        <f t="shared" si="30"/>
        <v>0</v>
      </c>
      <c r="AF9" s="226">
        <f t="shared" si="31"/>
        <v>0</v>
      </c>
      <c r="AG9" s="226">
        <f t="shared" si="38"/>
        <v>2.00207048067963E-2</v>
      </c>
      <c r="AH9" s="226"/>
      <c r="AI9" s="226"/>
      <c r="AK9" s="176" t="s">
        <v>149</v>
      </c>
      <c r="AL9" s="176" t="s">
        <v>162</v>
      </c>
      <c r="AM9" s="177">
        <f>SUM(AM5:AM8)</f>
        <v>176.49099999999999</v>
      </c>
      <c r="AN9" s="177">
        <f t="shared" ref="AN9" si="49">SUM(AN5:AN8)</f>
        <v>137.90899999999999</v>
      </c>
      <c r="AO9" s="177">
        <f t="shared" ref="AO9" si="50">SUM(AO5:AO8)</f>
        <v>171.21799999999999</v>
      </c>
      <c r="AP9" s="177">
        <f t="shared" ref="AP9" si="51">SUM(AP5:AP8)</f>
        <v>234.47300000000001</v>
      </c>
      <c r="AQ9" s="177">
        <f t="shared" ref="AQ9" si="52">SUM(AQ5:AQ8)</f>
        <v>210.727</v>
      </c>
      <c r="AR9" s="177">
        <f t="shared" ref="AR9" si="53">SUM(AR5:AR8)</f>
        <v>248.07300000000001</v>
      </c>
      <c r="AS9" s="177">
        <f t="shared" ref="AS9" si="54">SUM(AS5:AS8)</f>
        <v>187.05500000000001</v>
      </c>
      <c r="AT9" s="177">
        <f t="shared" ref="AT9" si="55">SUM(AT5:AT8)</f>
        <v>0</v>
      </c>
      <c r="AU9" s="177">
        <f t="shared" ref="AU9" si="56">SUM(AU5:AU8)</f>
        <v>0</v>
      </c>
      <c r="AV9" s="177">
        <f t="shared" ref="AV9" si="57">SUM(AV5:AV8)</f>
        <v>0</v>
      </c>
      <c r="AW9" s="177">
        <f t="shared" ref="AW9" si="58">SUM(AW5:AW8)</f>
        <v>0</v>
      </c>
      <c r="AX9" s="177">
        <f t="shared" ref="AX9" si="59">SUM(AX5:AX8)</f>
        <v>0</v>
      </c>
      <c r="AY9" s="177">
        <f t="shared" si="39"/>
        <v>1365.9459999999999</v>
      </c>
      <c r="AZ9" s="177">
        <f t="shared" si="40"/>
        <v>1365.9459999999999</v>
      </c>
      <c r="BA9" s="177">
        <f t="shared" si="41"/>
        <v>187.05500000000001</v>
      </c>
      <c r="BC9" s="176" t="s">
        <v>149</v>
      </c>
      <c r="BD9" s="176" t="s">
        <v>162</v>
      </c>
      <c r="BE9" s="177">
        <f>SUM(BE5:BE8)</f>
        <v>71.724000000000004</v>
      </c>
      <c r="BF9" s="177">
        <f t="shared" ref="BF9:BP9" si="60">SUM(BF5:BF8)</f>
        <v>143.44800000000001</v>
      </c>
      <c r="BG9" s="177">
        <f t="shared" si="60"/>
        <v>251.03400000000002</v>
      </c>
      <c r="BH9" s="177">
        <f t="shared" si="60"/>
        <v>286.89600000000002</v>
      </c>
      <c r="BI9" s="177">
        <f t="shared" si="60"/>
        <v>394.48200000000003</v>
      </c>
      <c r="BJ9" s="177">
        <f t="shared" si="60"/>
        <v>645.51599999999996</v>
      </c>
      <c r="BK9" s="177">
        <f t="shared" si="60"/>
        <v>4051.1355000000003</v>
      </c>
      <c r="BL9" s="177">
        <f t="shared" si="60"/>
        <v>6488.2725000000009</v>
      </c>
      <c r="BM9" s="177">
        <f t="shared" si="60"/>
        <v>9441.5265000000018</v>
      </c>
      <c r="BN9" s="177">
        <f t="shared" si="60"/>
        <v>12323.056500000001</v>
      </c>
      <c r="BO9" s="177">
        <f t="shared" si="60"/>
        <v>14831.9175</v>
      </c>
      <c r="BP9" s="177">
        <f t="shared" si="60"/>
        <v>19297.660499999998</v>
      </c>
      <c r="BQ9" s="177">
        <f t="shared" si="47"/>
        <v>68226.668999999994</v>
      </c>
      <c r="BR9" s="177">
        <f t="shared" si="43"/>
        <v>5844.2355000000007</v>
      </c>
      <c r="BS9" s="177">
        <f t="shared" si="44"/>
        <v>4051.1355000000003</v>
      </c>
      <c r="BT9" s="180"/>
      <c r="BV9" s="219">
        <f>BQ9/$BQ$34</f>
        <v>0.20067069265129944</v>
      </c>
      <c r="BX9" s="194" t="s">
        <v>149</v>
      </c>
      <c r="BY9" s="194" t="s">
        <v>162</v>
      </c>
      <c r="BZ9" s="195">
        <f t="shared" ref="BZ9:CK9" si="61">SUM(BZ5:BZ8)</f>
        <v>2479.3299999999981</v>
      </c>
      <c r="CA9" s="195">
        <f t="shared" si="61"/>
        <v>2267.6781818181789</v>
      </c>
      <c r="CB9" s="195">
        <f t="shared" si="61"/>
        <v>2370.445454545455</v>
      </c>
      <c r="CC9" s="195">
        <f t="shared" si="61"/>
        <v>2524.3663636363617</v>
      </c>
      <c r="CD9" s="195">
        <f t="shared" si="61"/>
        <v>2107.3572727272763</v>
      </c>
      <c r="CE9" s="195">
        <f t="shared" si="61"/>
        <v>2174.0536363636379</v>
      </c>
      <c r="CF9" s="195">
        <f t="shared" si="61"/>
        <v>2313.9218181818151</v>
      </c>
      <c r="CG9" s="195">
        <f t="shared" si="61"/>
        <v>2469.1363636363681</v>
      </c>
      <c r="CH9" s="195">
        <f t="shared" si="61"/>
        <v>2600.0472727272731</v>
      </c>
      <c r="CI9" s="195">
        <f t="shared" si="61"/>
        <v>2736.7469090909131</v>
      </c>
      <c r="CJ9" s="195">
        <f t="shared" si="61"/>
        <v>2456.7853636363679</v>
      </c>
      <c r="CK9" s="195">
        <f t="shared" si="61"/>
        <v>2357.3529090909092</v>
      </c>
      <c r="CL9" s="195">
        <f>SUM(BZ9:CK9)</f>
        <v>28857.221545454559</v>
      </c>
      <c r="CM9" s="195">
        <f t="shared" si="33"/>
        <v>13923.230909090909</v>
      </c>
      <c r="CN9" s="195">
        <f t="shared" si="34"/>
        <v>2174.0536363636379</v>
      </c>
      <c r="CP9" s="595">
        <f t="shared" si="35"/>
        <v>9.8105533759993258E-2</v>
      </c>
      <c r="CQ9" s="594">
        <f t="shared" si="36"/>
        <v>8.6039735575646439E-2</v>
      </c>
    </row>
    <row r="10" spans="1:95">
      <c r="A10" s="65" t="s">
        <v>150</v>
      </c>
      <c r="B10" s="65" t="s">
        <v>260</v>
      </c>
      <c r="C10" s="174">
        <f t="shared" si="37"/>
        <v>0</v>
      </c>
      <c r="D10" s="174">
        <f t="shared" si="9"/>
        <v>0</v>
      </c>
      <c r="E10" s="174">
        <f t="shared" si="10"/>
        <v>0</v>
      </c>
      <c r="F10" s="174">
        <f t="shared" si="11"/>
        <v>0</v>
      </c>
      <c r="G10" s="174">
        <f t="shared" si="12"/>
        <v>0</v>
      </c>
      <c r="H10" s="174">
        <f t="shared" si="13"/>
        <v>0</v>
      </c>
      <c r="I10" s="174">
        <f t="shared" si="14"/>
        <v>-420</v>
      </c>
      <c r="J10" s="174">
        <f t="shared" si="15"/>
        <v>-1260</v>
      </c>
      <c r="K10" s="174">
        <f t="shared" si="16"/>
        <v>-2100</v>
      </c>
      <c r="L10" s="174">
        <f t="shared" si="17"/>
        <v>-2940</v>
      </c>
      <c r="M10" s="174">
        <f t="shared" si="18"/>
        <v>-3780</v>
      </c>
      <c r="N10" s="174">
        <f t="shared" si="19"/>
        <v>-4200</v>
      </c>
      <c r="O10" s="69">
        <f t="shared" si="20"/>
        <v>-14700</v>
      </c>
      <c r="S10" s="65" t="s">
        <v>150</v>
      </c>
      <c r="T10" s="65" t="s">
        <v>260</v>
      </c>
      <c r="U10" s="224" t="e">
        <f t="shared" si="45"/>
        <v>#DIV/0!</v>
      </c>
      <c r="V10" s="224" t="e">
        <f t="shared" si="21"/>
        <v>#DIV/0!</v>
      </c>
      <c r="W10" s="224" t="e">
        <f t="shared" si="22"/>
        <v>#DIV/0!</v>
      </c>
      <c r="X10" s="224" t="e">
        <f t="shared" si="23"/>
        <v>#DIV/0!</v>
      </c>
      <c r="Y10" s="224" t="e">
        <f t="shared" si="24"/>
        <v>#DIV/0!</v>
      </c>
      <c r="Z10" s="224" t="e">
        <f t="shared" si="25"/>
        <v>#DIV/0!</v>
      </c>
      <c r="AA10" s="224">
        <f t="shared" si="26"/>
        <v>0</v>
      </c>
      <c r="AB10" s="224">
        <f t="shared" si="27"/>
        <v>0</v>
      </c>
      <c r="AC10" s="224">
        <f t="shared" si="28"/>
        <v>0</v>
      </c>
      <c r="AD10" s="224">
        <f t="shared" si="29"/>
        <v>0</v>
      </c>
      <c r="AE10" s="224">
        <f t="shared" si="30"/>
        <v>0</v>
      </c>
      <c r="AF10" s="224">
        <f t="shared" si="31"/>
        <v>0</v>
      </c>
      <c r="AG10" s="228">
        <f t="shared" si="38"/>
        <v>0</v>
      </c>
      <c r="AH10" s="228"/>
      <c r="AI10" s="228"/>
      <c r="AK10" s="65" t="s">
        <v>150</v>
      </c>
      <c r="AL10" s="65" t="s">
        <v>260</v>
      </c>
      <c r="AM10" s="174">
        <v>0</v>
      </c>
      <c r="AN10" s="174">
        <v>0</v>
      </c>
      <c r="AO10" s="174">
        <v>0</v>
      </c>
      <c r="AP10" s="174">
        <v>0</v>
      </c>
      <c r="AQ10" s="174">
        <v>0</v>
      </c>
      <c r="AR10" s="174">
        <v>0</v>
      </c>
      <c r="AS10" s="174">
        <v>0</v>
      </c>
      <c r="AT10" s="174"/>
      <c r="AU10" s="174"/>
      <c r="AV10" s="174"/>
      <c r="AW10" s="174"/>
      <c r="AX10" s="174"/>
      <c r="AY10" s="69">
        <f t="shared" si="39"/>
        <v>0</v>
      </c>
      <c r="AZ10" s="69">
        <f t="shared" si="40"/>
        <v>0</v>
      </c>
      <c r="BA10" s="69">
        <f t="shared" si="41"/>
        <v>0</v>
      </c>
      <c r="BC10" s="65" t="s">
        <v>150</v>
      </c>
      <c r="BD10" s="65" t="s">
        <v>260</v>
      </c>
      <c r="BE10" s="69">
        <f t="shared" ref="BE10:BP10" si="62">BE43*BE71</f>
        <v>0</v>
      </c>
      <c r="BF10" s="69">
        <f t="shared" si="62"/>
        <v>0</v>
      </c>
      <c r="BG10" s="69">
        <f t="shared" si="62"/>
        <v>0</v>
      </c>
      <c r="BH10" s="69">
        <f t="shared" si="62"/>
        <v>0</v>
      </c>
      <c r="BI10" s="69">
        <f t="shared" si="62"/>
        <v>0</v>
      </c>
      <c r="BJ10" s="69">
        <f t="shared" si="62"/>
        <v>0</v>
      </c>
      <c r="BK10" s="69">
        <f t="shared" si="62"/>
        <v>420</v>
      </c>
      <c r="BL10" s="69">
        <f t="shared" si="62"/>
        <v>1260</v>
      </c>
      <c r="BM10" s="69">
        <f t="shared" si="62"/>
        <v>2100</v>
      </c>
      <c r="BN10" s="69">
        <f t="shared" si="62"/>
        <v>2940</v>
      </c>
      <c r="BO10" s="69">
        <f t="shared" si="62"/>
        <v>3780</v>
      </c>
      <c r="BP10" s="69">
        <f t="shared" si="62"/>
        <v>4200</v>
      </c>
      <c r="BQ10" s="69">
        <f t="shared" si="47"/>
        <v>14700</v>
      </c>
      <c r="BR10" s="69">
        <f t="shared" si="43"/>
        <v>420</v>
      </c>
      <c r="BS10" s="69">
        <f t="shared" si="44"/>
        <v>420</v>
      </c>
      <c r="BT10" s="180"/>
      <c r="BX10" s="65" t="s">
        <v>150</v>
      </c>
      <c r="BY10" s="65" t="s">
        <v>260</v>
      </c>
      <c r="BZ10" s="189">
        <v>0</v>
      </c>
      <c r="CA10" s="189">
        <v>0</v>
      </c>
      <c r="CB10" s="189">
        <v>0</v>
      </c>
      <c r="CC10" s="189">
        <v>0</v>
      </c>
      <c r="CD10" s="189">
        <v>0</v>
      </c>
      <c r="CE10" s="189">
        <v>0</v>
      </c>
      <c r="CF10" s="189">
        <v>0</v>
      </c>
      <c r="CG10" s="189">
        <v>0</v>
      </c>
      <c r="CH10" s="189">
        <v>0</v>
      </c>
      <c r="CI10" s="189">
        <v>0</v>
      </c>
      <c r="CJ10" s="189">
        <v>0</v>
      </c>
      <c r="CK10" s="189">
        <v>0</v>
      </c>
      <c r="CL10" s="189">
        <f>SUM(BZ10:CK10)</f>
        <v>0</v>
      </c>
      <c r="CM10" s="189">
        <f t="shared" si="33"/>
        <v>0</v>
      </c>
      <c r="CN10" s="189">
        <f t="shared" si="34"/>
        <v>0</v>
      </c>
      <c r="CP10" s="595" t="e">
        <f t="shared" si="35"/>
        <v>#DIV/0!</v>
      </c>
      <c r="CQ10" s="594" t="e">
        <f t="shared" si="36"/>
        <v>#DIV/0!</v>
      </c>
    </row>
    <row r="11" spans="1:95">
      <c r="A11" s="175" t="s">
        <v>150</v>
      </c>
      <c r="B11" s="65" t="s">
        <v>24</v>
      </c>
      <c r="C11" s="174">
        <f t="shared" si="37"/>
        <v>0</v>
      </c>
      <c r="D11" s="174">
        <f t="shared" si="9"/>
        <v>-35.862000000000002</v>
      </c>
      <c r="E11" s="174">
        <f t="shared" si="10"/>
        <v>-72.240545454545511</v>
      </c>
      <c r="F11" s="174">
        <f t="shared" si="11"/>
        <v>-143.44800000000001</v>
      </c>
      <c r="G11" s="174">
        <f t="shared" si="12"/>
        <v>-143.96454545454549</v>
      </c>
      <c r="H11" s="174">
        <f t="shared" si="13"/>
        <v>-179.82654545454551</v>
      </c>
      <c r="I11" s="174">
        <f t="shared" si="14"/>
        <v>-251.03400000000002</v>
      </c>
      <c r="J11" s="174">
        <f t="shared" si="15"/>
        <v>-322.75800000000004</v>
      </c>
      <c r="K11" s="174">
        <f t="shared" si="16"/>
        <v>-394.48200000000003</v>
      </c>
      <c r="L11" s="174">
        <f t="shared" si="17"/>
        <v>-466.20600000000002</v>
      </c>
      <c r="M11" s="174">
        <f t="shared" si="18"/>
        <v>-537.93000000000006</v>
      </c>
      <c r="N11" s="174">
        <f t="shared" si="19"/>
        <v>-537.93000000000006</v>
      </c>
      <c r="O11" s="69">
        <f t="shared" si="20"/>
        <v>-3085.6816363636372</v>
      </c>
      <c r="S11" s="175" t="s">
        <v>150</v>
      </c>
      <c r="T11" s="65" t="s">
        <v>24</v>
      </c>
      <c r="U11" s="224" t="e">
        <f>AM11/BE11</f>
        <v>#DIV/0!</v>
      </c>
      <c r="V11" s="224">
        <f>AN11/BF11</f>
        <v>0</v>
      </c>
      <c r="W11" s="224">
        <f>AO11/BG11</f>
        <v>0.32853210032396868</v>
      </c>
      <c r="X11" s="224">
        <f t="shared" si="23"/>
        <v>0</v>
      </c>
      <c r="Y11" s="224">
        <f t="shared" si="24"/>
        <v>0.19711926019438125</v>
      </c>
      <c r="Z11" s="224">
        <f t="shared" si="25"/>
        <v>0.16426605016198434</v>
      </c>
      <c r="AA11" s="224">
        <f t="shared" si="26"/>
        <v>0</v>
      </c>
      <c r="AB11" s="224">
        <f t="shared" si="27"/>
        <v>0</v>
      </c>
      <c r="AC11" s="224">
        <f t="shared" si="28"/>
        <v>0</v>
      </c>
      <c r="AD11" s="224">
        <f t="shared" si="29"/>
        <v>0</v>
      </c>
      <c r="AE11" s="224">
        <f t="shared" si="30"/>
        <v>0</v>
      </c>
      <c r="AF11" s="224">
        <f t="shared" si="31"/>
        <v>0</v>
      </c>
      <c r="AG11" s="228">
        <f t="shared" si="38"/>
        <v>3.3222347223772111E-2</v>
      </c>
      <c r="AH11" s="228"/>
      <c r="AI11" s="228"/>
      <c r="AK11" s="175" t="s">
        <v>150</v>
      </c>
      <c r="AL11" s="65" t="s">
        <v>264</v>
      </c>
      <c r="AM11" s="174">
        <v>0</v>
      </c>
      <c r="AN11" s="174">
        <v>0</v>
      </c>
      <c r="AO11" s="174">
        <v>35.345454545454501</v>
      </c>
      <c r="AP11" s="174">
        <v>0</v>
      </c>
      <c r="AQ11" s="174">
        <v>35.345454545454501</v>
      </c>
      <c r="AR11" s="174">
        <v>35.345454545454501</v>
      </c>
      <c r="AS11" s="174">
        <v>0</v>
      </c>
      <c r="AT11" s="174"/>
      <c r="AU11" s="174"/>
      <c r="AV11" s="174"/>
      <c r="AW11" s="174"/>
      <c r="AX11" s="174"/>
      <c r="AY11" s="69">
        <f t="shared" si="39"/>
        <v>106.0363636363635</v>
      </c>
      <c r="AZ11" s="69">
        <f t="shared" si="40"/>
        <v>106.0363636363635</v>
      </c>
      <c r="BA11" s="69">
        <f t="shared" si="41"/>
        <v>0</v>
      </c>
      <c r="BC11" s="175" t="s">
        <v>150</v>
      </c>
      <c r="BD11" s="65" t="s">
        <v>24</v>
      </c>
      <c r="BE11" s="69">
        <f t="shared" ref="BE11:BP11" si="63">BE44*BE72</f>
        <v>0</v>
      </c>
      <c r="BF11" s="69">
        <f t="shared" si="63"/>
        <v>35.862000000000002</v>
      </c>
      <c r="BG11" s="69">
        <f t="shared" si="63"/>
        <v>107.58600000000001</v>
      </c>
      <c r="BH11" s="69">
        <f t="shared" si="63"/>
        <v>143.44800000000001</v>
      </c>
      <c r="BI11" s="69">
        <f>BI44*BI72</f>
        <v>179.31</v>
      </c>
      <c r="BJ11" s="69">
        <f t="shared" si="63"/>
        <v>215.17200000000003</v>
      </c>
      <c r="BK11" s="69">
        <f t="shared" si="63"/>
        <v>251.03400000000002</v>
      </c>
      <c r="BL11" s="69">
        <f t="shared" si="63"/>
        <v>322.75800000000004</v>
      </c>
      <c r="BM11" s="69">
        <f t="shared" si="63"/>
        <v>394.48200000000003</v>
      </c>
      <c r="BN11" s="69">
        <f t="shared" si="63"/>
        <v>466.20600000000002</v>
      </c>
      <c r="BO11" s="69">
        <f>BO44*BO72</f>
        <v>537.93000000000006</v>
      </c>
      <c r="BP11" s="69">
        <f t="shared" si="63"/>
        <v>537.93000000000006</v>
      </c>
      <c r="BQ11" s="69">
        <f t="shared" si="47"/>
        <v>3191.7180000000008</v>
      </c>
      <c r="BR11" s="69">
        <f t="shared" si="43"/>
        <v>932.41200000000003</v>
      </c>
      <c r="BS11" s="69">
        <f t="shared" si="44"/>
        <v>251.03400000000002</v>
      </c>
      <c r="BT11" s="180"/>
      <c r="BX11" s="196" t="s">
        <v>150</v>
      </c>
      <c r="BY11" s="65" t="s">
        <v>24</v>
      </c>
      <c r="BZ11" s="189">
        <v>297.55636363636398</v>
      </c>
      <c r="CA11" s="189">
        <v>359.05727272727302</v>
      </c>
      <c r="CB11" s="189">
        <v>351.31818181818198</v>
      </c>
      <c r="CC11" s="189">
        <v>512.75909090909101</v>
      </c>
      <c r="CD11" s="189">
        <v>463.13818181818198</v>
      </c>
      <c r="CE11" s="189">
        <v>761.54545454545405</v>
      </c>
      <c r="CF11" s="189">
        <v>469.56090909090898</v>
      </c>
      <c r="CG11" s="189">
        <v>417.02272727272702</v>
      </c>
      <c r="CH11" s="189">
        <v>674.05090909090904</v>
      </c>
      <c r="CI11" s="189">
        <v>494.61363636363598</v>
      </c>
      <c r="CJ11" s="189">
        <v>494.64</v>
      </c>
      <c r="CK11" s="189">
        <v>338.94545454545403</v>
      </c>
      <c r="CL11" s="220">
        <f>SUM(BZ11:CK11)</f>
        <v>5634.2081818181805</v>
      </c>
      <c r="CM11" s="189">
        <f t="shared" si="33"/>
        <v>2745.374545454546</v>
      </c>
      <c r="CN11" s="189">
        <f t="shared" si="34"/>
        <v>761.54545454545405</v>
      </c>
      <c r="CP11" s="595">
        <f t="shared" si="35"/>
        <v>3.8623642013409606E-2</v>
      </c>
      <c r="CQ11" s="594">
        <f t="shared" si="36"/>
        <v>0</v>
      </c>
    </row>
    <row r="12" spans="1:95">
      <c r="A12" s="175" t="s">
        <v>150</v>
      </c>
      <c r="B12" s="65" t="s">
        <v>262</v>
      </c>
      <c r="C12" s="174">
        <f t="shared" si="37"/>
        <v>0</v>
      </c>
      <c r="D12" s="174">
        <f t="shared" si="9"/>
        <v>239.12727272727301</v>
      </c>
      <c r="E12" s="174">
        <f t="shared" si="10"/>
        <v>311.27272727272702</v>
      </c>
      <c r="F12" s="174">
        <f t="shared" si="11"/>
        <v>393.01818181818197</v>
      </c>
      <c r="G12" s="174">
        <f t="shared" si="12"/>
        <v>252.50909090909099</v>
      </c>
      <c r="H12" s="174">
        <f t="shared" si="13"/>
        <v>379.745</v>
      </c>
      <c r="I12" s="174">
        <f t="shared" si="14"/>
        <v>271.72699999999998</v>
      </c>
      <c r="J12" s="174">
        <f t="shared" si="15"/>
        <v>-156</v>
      </c>
      <c r="K12" s="174">
        <f t="shared" si="16"/>
        <v>-260</v>
      </c>
      <c r="L12" s="174">
        <f t="shared" si="17"/>
        <v>-364</v>
      </c>
      <c r="M12" s="174">
        <f t="shared" si="18"/>
        <v>-468</v>
      </c>
      <c r="N12" s="174">
        <f t="shared" si="19"/>
        <v>-520</v>
      </c>
      <c r="O12" s="69">
        <f t="shared" si="20"/>
        <v>79.399272727273001</v>
      </c>
      <c r="S12" s="175" t="s">
        <v>150</v>
      </c>
      <c r="T12" s="65" t="s">
        <v>262</v>
      </c>
      <c r="U12" s="224" t="e">
        <f t="shared" si="45"/>
        <v>#DIV/0!</v>
      </c>
      <c r="V12" s="224" t="e">
        <f>AN12/BF12</f>
        <v>#DIV/0!</v>
      </c>
      <c r="W12" s="224" t="e">
        <f t="shared" si="22"/>
        <v>#DIV/0!</v>
      </c>
      <c r="X12" s="224" t="e">
        <f t="shared" si="23"/>
        <v>#DIV/0!</v>
      </c>
      <c r="Y12" s="224" t="e">
        <f t="shared" si="24"/>
        <v>#DIV/0!</v>
      </c>
      <c r="Z12" s="224" t="e">
        <f t="shared" si="25"/>
        <v>#DIV/0!</v>
      </c>
      <c r="AA12" s="224">
        <f t="shared" si="26"/>
        <v>6.2255192307692306</v>
      </c>
      <c r="AB12" s="224">
        <f t="shared" si="27"/>
        <v>0</v>
      </c>
      <c r="AC12" s="224">
        <f t="shared" si="28"/>
        <v>0</v>
      </c>
      <c r="AD12" s="224">
        <f t="shared" si="29"/>
        <v>0</v>
      </c>
      <c r="AE12" s="224">
        <f t="shared" si="30"/>
        <v>0</v>
      </c>
      <c r="AF12" s="224">
        <f t="shared" si="31"/>
        <v>0</v>
      </c>
      <c r="AG12" s="228">
        <f t="shared" si="38"/>
        <v>1.0436259740259741</v>
      </c>
      <c r="AH12" s="228"/>
      <c r="AI12" s="228"/>
      <c r="AK12" s="175" t="s">
        <v>150</v>
      </c>
      <c r="AL12" s="65" t="s">
        <v>265</v>
      </c>
      <c r="AM12" s="174">
        <v>0</v>
      </c>
      <c r="AN12" s="174">
        <v>239.12727272727301</v>
      </c>
      <c r="AO12" s="174">
        <v>311.27272727272702</v>
      </c>
      <c r="AP12" s="174">
        <v>393.01818181818197</v>
      </c>
      <c r="AQ12" s="174">
        <v>252.50909090909099</v>
      </c>
      <c r="AR12" s="174">
        <v>379.745</v>
      </c>
      <c r="AS12" s="174">
        <v>323.72699999999998</v>
      </c>
      <c r="AT12" s="174"/>
      <c r="AU12" s="174"/>
      <c r="AV12" s="174"/>
      <c r="AW12" s="174"/>
      <c r="AX12" s="174"/>
      <c r="AY12" s="69">
        <f t="shared" si="39"/>
        <v>1899.399272727273</v>
      </c>
      <c r="AZ12" s="69">
        <f t="shared" si="40"/>
        <v>1899.399272727273</v>
      </c>
      <c r="BA12" s="69">
        <f t="shared" si="41"/>
        <v>323.72699999999998</v>
      </c>
      <c r="BC12" s="175" t="s">
        <v>150</v>
      </c>
      <c r="BD12" s="65" t="s">
        <v>262</v>
      </c>
      <c r="BE12" s="69">
        <f t="shared" ref="BE12:BP12" si="64">BE45*BE73</f>
        <v>0</v>
      </c>
      <c r="BF12" s="69">
        <f t="shared" si="64"/>
        <v>0</v>
      </c>
      <c r="BG12" s="69">
        <f t="shared" si="64"/>
        <v>0</v>
      </c>
      <c r="BH12" s="69">
        <f t="shared" si="64"/>
        <v>0</v>
      </c>
      <c r="BI12" s="69">
        <f t="shared" si="64"/>
        <v>0</v>
      </c>
      <c r="BJ12" s="69">
        <f t="shared" si="64"/>
        <v>0</v>
      </c>
      <c r="BK12" s="69">
        <f t="shared" si="64"/>
        <v>52</v>
      </c>
      <c r="BL12" s="69">
        <f t="shared" si="64"/>
        <v>156</v>
      </c>
      <c r="BM12" s="69">
        <f t="shared" si="64"/>
        <v>260</v>
      </c>
      <c r="BN12" s="69">
        <f t="shared" si="64"/>
        <v>364</v>
      </c>
      <c r="BO12" s="69">
        <f t="shared" si="64"/>
        <v>468</v>
      </c>
      <c r="BP12" s="69">
        <f t="shared" si="64"/>
        <v>520</v>
      </c>
      <c r="BQ12" s="69">
        <f t="shared" si="47"/>
        <v>1820</v>
      </c>
      <c r="BR12" s="69">
        <f t="shared" si="43"/>
        <v>52</v>
      </c>
      <c r="BS12" s="69">
        <f t="shared" si="44"/>
        <v>52</v>
      </c>
      <c r="BT12" s="180"/>
      <c r="BX12" s="196" t="s">
        <v>150</v>
      </c>
      <c r="BY12" s="65" t="s">
        <v>262</v>
      </c>
      <c r="BZ12" s="189">
        <v>0</v>
      </c>
      <c r="CA12" s="189">
        <v>0</v>
      </c>
      <c r="CB12" s="189">
        <v>0</v>
      </c>
      <c r="CC12" s="189">
        <v>0</v>
      </c>
      <c r="CD12" s="189">
        <v>0</v>
      </c>
      <c r="CE12" s="189">
        <v>0</v>
      </c>
      <c r="CF12" s="189">
        <v>0</v>
      </c>
      <c r="CG12" s="189">
        <v>0</v>
      </c>
      <c r="CH12" s="189">
        <v>0</v>
      </c>
      <c r="CI12" s="189">
        <v>49.2</v>
      </c>
      <c r="CJ12" s="189">
        <v>106.8</v>
      </c>
      <c r="CK12" s="189">
        <v>53</v>
      </c>
      <c r="CL12" s="220">
        <f>SUM(CI12:CK12)</f>
        <v>209</v>
      </c>
      <c r="CM12" s="189">
        <f t="shared" si="33"/>
        <v>0</v>
      </c>
      <c r="CN12" s="189">
        <f t="shared" si="34"/>
        <v>0</v>
      </c>
      <c r="CP12" s="595" t="e">
        <f t="shared" si="35"/>
        <v>#DIV/0!</v>
      </c>
      <c r="CQ12" s="594" t="e">
        <f t="shared" si="36"/>
        <v>#DIV/0!</v>
      </c>
    </row>
    <row r="13" spans="1:95">
      <c r="A13" s="175" t="s">
        <v>150</v>
      </c>
      <c r="B13" s="65" t="s">
        <v>26</v>
      </c>
      <c r="C13" s="174">
        <f t="shared" si="37"/>
        <v>0</v>
      </c>
      <c r="D13" s="174">
        <f t="shared" si="9"/>
        <v>0</v>
      </c>
      <c r="E13" s="174">
        <f t="shared" si="10"/>
        <v>0</v>
      </c>
      <c r="F13" s="174">
        <f t="shared" si="11"/>
        <v>0</v>
      </c>
      <c r="G13" s="174">
        <f t="shared" si="12"/>
        <v>0</v>
      </c>
      <c r="H13" s="174">
        <f t="shared" si="13"/>
        <v>0</v>
      </c>
      <c r="I13" s="174">
        <f t="shared" si="14"/>
        <v>-27.6965</v>
      </c>
      <c r="J13" s="174">
        <f t="shared" si="15"/>
        <v>-83.089500000000001</v>
      </c>
      <c r="K13" s="174">
        <f t="shared" si="16"/>
        <v>-138.48250000000002</v>
      </c>
      <c r="L13" s="174">
        <f t="shared" si="17"/>
        <v>-193.87549999999999</v>
      </c>
      <c r="M13" s="174">
        <f t="shared" si="18"/>
        <v>-249.26850000000002</v>
      </c>
      <c r="N13" s="174">
        <f t="shared" si="19"/>
        <v>-276.96500000000003</v>
      </c>
      <c r="O13" s="69">
        <f t="shared" si="20"/>
        <v>-969.37750000000005</v>
      </c>
      <c r="S13" s="175" t="s">
        <v>150</v>
      </c>
      <c r="T13" s="65" t="s">
        <v>26</v>
      </c>
      <c r="U13" s="224" t="e">
        <f t="shared" si="45"/>
        <v>#DIV/0!</v>
      </c>
      <c r="V13" s="224" t="e">
        <f t="shared" si="21"/>
        <v>#DIV/0!</v>
      </c>
      <c r="W13" s="224" t="e">
        <f t="shared" si="22"/>
        <v>#DIV/0!</v>
      </c>
      <c r="X13" s="224" t="e">
        <f t="shared" si="23"/>
        <v>#DIV/0!</v>
      </c>
      <c r="Y13" s="224" t="e">
        <f t="shared" si="24"/>
        <v>#DIV/0!</v>
      </c>
      <c r="Z13" s="224" t="e">
        <f t="shared" si="25"/>
        <v>#DIV/0!</v>
      </c>
      <c r="AA13" s="224">
        <f t="shared" si="26"/>
        <v>0</v>
      </c>
      <c r="AB13" s="224">
        <f t="shared" si="27"/>
        <v>0</v>
      </c>
      <c r="AC13" s="224">
        <f t="shared" si="28"/>
        <v>0</v>
      </c>
      <c r="AD13" s="224">
        <f t="shared" si="29"/>
        <v>0</v>
      </c>
      <c r="AE13" s="224">
        <f t="shared" si="30"/>
        <v>0</v>
      </c>
      <c r="AF13" s="224">
        <f t="shared" si="31"/>
        <v>0</v>
      </c>
      <c r="AG13" s="228">
        <f t="shared" si="38"/>
        <v>0</v>
      </c>
      <c r="AH13" s="228"/>
      <c r="AI13" s="228"/>
      <c r="AK13" s="175" t="s">
        <v>150</v>
      </c>
      <c r="AL13" s="65" t="s">
        <v>26</v>
      </c>
      <c r="AM13" s="174">
        <v>0</v>
      </c>
      <c r="AN13" s="174">
        <v>0</v>
      </c>
      <c r="AO13" s="174">
        <v>0</v>
      </c>
      <c r="AP13" s="174">
        <v>0</v>
      </c>
      <c r="AQ13" s="174">
        <v>0</v>
      </c>
      <c r="AR13" s="174">
        <v>0</v>
      </c>
      <c r="AS13" s="174">
        <v>0</v>
      </c>
      <c r="AT13" s="174"/>
      <c r="AU13" s="174"/>
      <c r="AV13" s="174"/>
      <c r="AW13" s="174"/>
      <c r="AX13" s="174"/>
      <c r="AY13" s="69">
        <f t="shared" si="39"/>
        <v>0</v>
      </c>
      <c r="AZ13" s="69">
        <f t="shared" si="40"/>
        <v>0</v>
      </c>
      <c r="BA13" s="69">
        <f t="shared" si="41"/>
        <v>0</v>
      </c>
      <c r="BC13" s="175" t="s">
        <v>150</v>
      </c>
      <c r="BD13" s="65" t="s">
        <v>26</v>
      </c>
      <c r="BE13" s="69">
        <f t="shared" ref="BE13:BP13" si="65">BE46*BE74</f>
        <v>0</v>
      </c>
      <c r="BF13" s="69">
        <f t="shared" si="65"/>
        <v>0</v>
      </c>
      <c r="BG13" s="69">
        <f t="shared" si="65"/>
        <v>0</v>
      </c>
      <c r="BH13" s="69">
        <f t="shared" si="65"/>
        <v>0</v>
      </c>
      <c r="BI13" s="69">
        <f t="shared" si="65"/>
        <v>0</v>
      </c>
      <c r="BJ13" s="69">
        <f t="shared" si="65"/>
        <v>0</v>
      </c>
      <c r="BK13" s="69">
        <f t="shared" si="65"/>
        <v>27.6965</v>
      </c>
      <c r="BL13" s="69">
        <f t="shared" si="65"/>
        <v>83.089500000000001</v>
      </c>
      <c r="BM13" s="69">
        <f t="shared" si="65"/>
        <v>138.48250000000002</v>
      </c>
      <c r="BN13" s="69">
        <f t="shared" si="65"/>
        <v>193.87549999999999</v>
      </c>
      <c r="BO13" s="69">
        <f t="shared" si="65"/>
        <v>249.26850000000002</v>
      </c>
      <c r="BP13" s="69">
        <f t="shared" si="65"/>
        <v>276.96500000000003</v>
      </c>
      <c r="BQ13" s="69">
        <f t="shared" si="47"/>
        <v>969.37750000000005</v>
      </c>
      <c r="BR13" s="69">
        <f t="shared" si="43"/>
        <v>27.6965</v>
      </c>
      <c r="BS13" s="69">
        <f t="shared" si="44"/>
        <v>27.6965</v>
      </c>
      <c r="BT13" s="180"/>
      <c r="BX13" s="196" t="s">
        <v>150</v>
      </c>
      <c r="BY13" s="65" t="s">
        <v>26</v>
      </c>
      <c r="BZ13" s="189">
        <v>83.101818181818203</v>
      </c>
      <c r="CA13" s="189">
        <v>34.2218181818182</v>
      </c>
      <c r="CB13" s="189">
        <v>125.592727272727</v>
      </c>
      <c r="CC13" s="189">
        <v>83.661818181818205</v>
      </c>
      <c r="CD13" s="189">
        <v>70.48</v>
      </c>
      <c r="CE13" s="189">
        <v>67.956363636363605</v>
      </c>
      <c r="CF13" s="189">
        <v>68.614545454545393</v>
      </c>
      <c r="CG13" s="189">
        <v>64.007272727272706</v>
      </c>
      <c r="CH13" s="189">
        <v>98.236363636363606</v>
      </c>
      <c r="CI13" s="189">
        <v>96.992727272727294</v>
      </c>
      <c r="CJ13" s="189">
        <v>97.265454545454503</v>
      </c>
      <c r="CK13" s="189">
        <v>102.77818181818201</v>
      </c>
      <c r="CL13" s="220">
        <f t="shared" ref="CL13:CL33" si="66">SUM(BZ13:CK13)</f>
        <v>992.90909090909088</v>
      </c>
      <c r="CM13" s="189">
        <f t="shared" si="33"/>
        <v>465.01454545454527</v>
      </c>
      <c r="CN13" s="189">
        <f t="shared" si="34"/>
        <v>67.956363636363605</v>
      </c>
      <c r="CP13" s="595">
        <f t="shared" si="35"/>
        <v>0</v>
      </c>
      <c r="CQ13" s="594">
        <f t="shared" si="36"/>
        <v>0</v>
      </c>
    </row>
    <row r="14" spans="1:95">
      <c r="A14" s="176" t="s">
        <v>150</v>
      </c>
      <c r="B14" s="176" t="s">
        <v>162</v>
      </c>
      <c r="C14" s="177">
        <f t="shared" si="37"/>
        <v>0</v>
      </c>
      <c r="D14" s="177">
        <f t="shared" si="9"/>
        <v>203.26527272727301</v>
      </c>
      <c r="E14" s="177">
        <f t="shared" si="10"/>
        <v>239.03218181818153</v>
      </c>
      <c r="F14" s="177">
        <f t="shared" si="11"/>
        <v>249.57018181818196</v>
      </c>
      <c r="G14" s="177">
        <f t="shared" si="12"/>
        <v>108.54454545454547</v>
      </c>
      <c r="H14" s="177">
        <f t="shared" si="13"/>
        <v>199.91845454545449</v>
      </c>
      <c r="I14" s="177">
        <f t="shared" si="14"/>
        <v>-427.00350000000003</v>
      </c>
      <c r="J14" s="177">
        <f t="shared" si="15"/>
        <v>-1821.8475000000001</v>
      </c>
      <c r="K14" s="177">
        <f t="shared" si="16"/>
        <v>-2892.9645</v>
      </c>
      <c r="L14" s="177">
        <f t="shared" si="17"/>
        <v>-3964.0815000000002</v>
      </c>
      <c r="M14" s="177">
        <f t="shared" si="18"/>
        <v>-5035.1985000000004</v>
      </c>
      <c r="N14" s="177">
        <f t="shared" si="19"/>
        <v>-5534.8950000000004</v>
      </c>
      <c r="O14" s="177">
        <f t="shared" si="20"/>
        <v>-18675.659863636367</v>
      </c>
      <c r="P14" s="177"/>
      <c r="Q14" s="177"/>
      <c r="S14" s="176" t="s">
        <v>150</v>
      </c>
      <c r="T14" s="176" t="s">
        <v>162</v>
      </c>
      <c r="U14" s="226" t="e">
        <f t="shared" si="45"/>
        <v>#DIV/0!</v>
      </c>
      <c r="V14" s="226">
        <f t="shared" si="21"/>
        <v>6.6679848510198259</v>
      </c>
      <c r="W14" s="226">
        <f t="shared" si="22"/>
        <v>3.2217777574980153</v>
      </c>
      <c r="X14" s="226">
        <f t="shared" si="23"/>
        <v>2.7397954786276695</v>
      </c>
      <c r="Y14" s="226">
        <f t="shared" si="24"/>
        <v>1.6053457445460124</v>
      </c>
      <c r="Z14" s="226">
        <f t="shared" si="25"/>
        <v>1.9291099889644308</v>
      </c>
      <c r="AA14" s="226">
        <f t="shared" si="26"/>
        <v>0.4312159956202658</v>
      </c>
      <c r="AB14" s="226">
        <f t="shared" si="27"/>
        <v>0</v>
      </c>
      <c r="AC14" s="226">
        <f t="shared" si="28"/>
        <v>0</v>
      </c>
      <c r="AD14" s="226">
        <f t="shared" si="29"/>
        <v>0</v>
      </c>
      <c r="AE14" s="226">
        <f t="shared" si="30"/>
        <v>0</v>
      </c>
      <c r="AF14" s="226">
        <f t="shared" si="31"/>
        <v>0</v>
      </c>
      <c r="AG14" s="226">
        <f t="shared" si="38"/>
        <v>9.6969507072951544E-2</v>
      </c>
      <c r="AH14" s="226"/>
      <c r="AI14" s="226"/>
      <c r="AK14" s="176" t="s">
        <v>150</v>
      </c>
      <c r="AL14" s="176" t="s">
        <v>162</v>
      </c>
      <c r="AM14" s="177">
        <f>SUM(AM10:AM13)</f>
        <v>0</v>
      </c>
      <c r="AN14" s="177">
        <f t="shared" ref="AN14" si="67">SUM(AN10:AN13)</f>
        <v>239.12727272727301</v>
      </c>
      <c r="AO14" s="177">
        <f t="shared" ref="AO14" si="68">SUM(AO10:AO13)</f>
        <v>346.61818181818154</v>
      </c>
      <c r="AP14" s="177">
        <f>SUM(AP10:AP13)</f>
        <v>393.01818181818197</v>
      </c>
      <c r="AQ14" s="177">
        <f>SUM(AQ10:AQ13)</f>
        <v>287.85454545454547</v>
      </c>
      <c r="AR14" s="177">
        <f t="shared" ref="AR14" si="69">SUM(AR10:AR13)</f>
        <v>415.09045454545452</v>
      </c>
      <c r="AS14" s="177">
        <f t="shared" ref="AS14" si="70">SUM(AS10:AS13)</f>
        <v>323.72699999999998</v>
      </c>
      <c r="AT14" s="177">
        <f t="shared" ref="AT14" si="71">SUM(AT10:AT13)</f>
        <v>0</v>
      </c>
      <c r="AU14" s="177">
        <f t="shared" ref="AU14" si="72">SUM(AU10:AU13)</f>
        <v>0</v>
      </c>
      <c r="AV14" s="177">
        <f t="shared" ref="AV14" si="73">SUM(AV10:AV13)</f>
        <v>0</v>
      </c>
      <c r="AW14" s="177">
        <f t="shared" ref="AW14" si="74">SUM(AW10:AW13)</f>
        <v>0</v>
      </c>
      <c r="AX14" s="177">
        <f t="shared" ref="AX14" si="75">SUM(AX10:AX13)</f>
        <v>0</v>
      </c>
      <c r="AY14" s="177">
        <f t="shared" si="39"/>
        <v>2005.4356363636366</v>
      </c>
      <c r="AZ14" s="177">
        <f t="shared" si="40"/>
        <v>2005.4356363636366</v>
      </c>
      <c r="BA14" s="177">
        <f t="shared" si="41"/>
        <v>323.72699999999998</v>
      </c>
      <c r="BC14" s="176" t="s">
        <v>150</v>
      </c>
      <c r="BD14" s="176" t="s">
        <v>162</v>
      </c>
      <c r="BE14" s="177">
        <f>SUM(BE10:BE13)</f>
        <v>0</v>
      </c>
      <c r="BF14" s="177">
        <f t="shared" ref="BF14:BP14" si="76">SUM(BF10:BF13)</f>
        <v>35.862000000000002</v>
      </c>
      <c r="BG14" s="177">
        <f t="shared" si="76"/>
        <v>107.58600000000001</v>
      </c>
      <c r="BH14" s="177">
        <f t="shared" si="76"/>
        <v>143.44800000000001</v>
      </c>
      <c r="BI14" s="177">
        <f t="shared" si="76"/>
        <v>179.31</v>
      </c>
      <c r="BJ14" s="177">
        <f t="shared" si="76"/>
        <v>215.17200000000003</v>
      </c>
      <c r="BK14" s="177">
        <f t="shared" si="76"/>
        <v>750.73050000000001</v>
      </c>
      <c r="BL14" s="177">
        <f t="shared" si="76"/>
        <v>1821.8475000000001</v>
      </c>
      <c r="BM14" s="177">
        <f t="shared" si="76"/>
        <v>2892.9645</v>
      </c>
      <c r="BN14" s="177">
        <f t="shared" si="76"/>
        <v>3964.0815000000002</v>
      </c>
      <c r="BO14" s="177">
        <f t="shared" si="76"/>
        <v>5035.1985000000004</v>
      </c>
      <c r="BP14" s="177">
        <f t="shared" si="76"/>
        <v>5534.8950000000004</v>
      </c>
      <c r="BQ14" s="177">
        <f t="shared" si="47"/>
        <v>20681.095500000003</v>
      </c>
      <c r="BR14" s="177">
        <f t="shared" si="43"/>
        <v>1432.1085</v>
      </c>
      <c r="BS14" s="177">
        <f t="shared" si="44"/>
        <v>750.73050000000001</v>
      </c>
      <c r="BT14" s="180"/>
      <c r="BV14" s="219">
        <f>BQ14/$BQ$34</f>
        <v>6.0827969760221957E-2</v>
      </c>
      <c r="BX14" s="194" t="s">
        <v>150</v>
      </c>
      <c r="BY14" s="194" t="s">
        <v>162</v>
      </c>
      <c r="BZ14" s="195">
        <f t="shared" ref="BZ14:CK14" si="77">SUM(BZ10:BZ13)</f>
        <v>380.65818181818219</v>
      </c>
      <c r="CA14" s="195">
        <f t="shared" si="77"/>
        <v>393.27909090909122</v>
      </c>
      <c r="CB14" s="195">
        <f t="shared" si="77"/>
        <v>476.910909090909</v>
      </c>
      <c r="CC14" s="195">
        <f t="shared" si="77"/>
        <v>596.42090909090916</v>
      </c>
      <c r="CD14" s="195">
        <f t="shared" si="77"/>
        <v>533.61818181818194</v>
      </c>
      <c r="CE14" s="195">
        <f t="shared" si="77"/>
        <v>829.50181818181761</v>
      </c>
      <c r="CF14" s="195">
        <f t="shared" si="77"/>
        <v>538.17545454545439</v>
      </c>
      <c r="CG14" s="195">
        <f t="shared" si="77"/>
        <v>481.02999999999975</v>
      </c>
      <c r="CH14" s="195">
        <f t="shared" si="77"/>
        <v>772.28727272727269</v>
      </c>
      <c r="CI14" s="195">
        <f t="shared" si="77"/>
        <v>640.80636363636324</v>
      </c>
      <c r="CJ14" s="195">
        <f t="shared" si="77"/>
        <v>698.70545454545447</v>
      </c>
      <c r="CK14" s="195">
        <f t="shared" si="77"/>
        <v>494.72363636363605</v>
      </c>
      <c r="CL14" s="195">
        <f t="shared" si="66"/>
        <v>6836.1172727272715</v>
      </c>
      <c r="CM14" s="195">
        <f t="shared" si="33"/>
        <v>3210.3890909090915</v>
      </c>
      <c r="CN14" s="195">
        <f>SUMIF(CA$2:CL$2,1,CA14:CL14)</f>
        <v>829.50181818181761</v>
      </c>
      <c r="CP14" s="595">
        <f t="shared" si="35"/>
        <v>0.62467058651627605</v>
      </c>
      <c r="CQ14" s="594">
        <f t="shared" si="36"/>
        <v>0.39026677567696738</v>
      </c>
    </row>
    <row r="15" spans="1:95">
      <c r="A15" s="65" t="s">
        <v>151</v>
      </c>
      <c r="B15" s="65" t="s">
        <v>260</v>
      </c>
      <c r="C15" s="174">
        <f t="shared" si="37"/>
        <v>0</v>
      </c>
      <c r="D15" s="174">
        <f t="shared" si="9"/>
        <v>0</v>
      </c>
      <c r="E15" s="174">
        <f t="shared" si="10"/>
        <v>0</v>
      </c>
      <c r="F15" s="174">
        <f t="shared" si="11"/>
        <v>0</v>
      </c>
      <c r="G15" s="174">
        <f t="shared" si="12"/>
        <v>0</v>
      </c>
      <c r="H15" s="174">
        <f t="shared" si="13"/>
        <v>0</v>
      </c>
      <c r="I15" s="174">
        <f t="shared" si="14"/>
        <v>-50</v>
      </c>
      <c r="J15" s="174">
        <f t="shared" si="15"/>
        <v>-110</v>
      </c>
      <c r="K15" s="174">
        <f t="shared" si="16"/>
        <v>-170</v>
      </c>
      <c r="L15" s="174">
        <f t="shared" si="17"/>
        <v>-250</v>
      </c>
      <c r="M15" s="174">
        <f t="shared" si="18"/>
        <v>-330</v>
      </c>
      <c r="N15" s="174">
        <f t="shared" si="19"/>
        <v>-410</v>
      </c>
      <c r="O15" s="69">
        <f t="shared" si="20"/>
        <v>-1320</v>
      </c>
      <c r="S15" s="65" t="s">
        <v>151</v>
      </c>
      <c r="T15" s="65" t="s">
        <v>260</v>
      </c>
      <c r="U15" s="224" t="e">
        <f t="shared" si="45"/>
        <v>#DIV/0!</v>
      </c>
      <c r="V15" s="224" t="e">
        <f t="shared" si="21"/>
        <v>#DIV/0!</v>
      </c>
      <c r="W15" s="224" t="e">
        <f t="shared" si="22"/>
        <v>#DIV/0!</v>
      </c>
      <c r="X15" s="224" t="e">
        <f t="shared" si="23"/>
        <v>#DIV/0!</v>
      </c>
      <c r="Y15" s="224" t="e">
        <f t="shared" si="24"/>
        <v>#DIV/0!</v>
      </c>
      <c r="Z15" s="224" t="e">
        <f t="shared" si="25"/>
        <v>#DIV/0!</v>
      </c>
      <c r="AA15" s="224">
        <f t="shared" si="26"/>
        <v>0</v>
      </c>
      <c r="AB15" s="224">
        <f t="shared" si="27"/>
        <v>0</v>
      </c>
      <c r="AC15" s="224">
        <f t="shared" si="28"/>
        <v>0</v>
      </c>
      <c r="AD15" s="224">
        <f t="shared" si="29"/>
        <v>0</v>
      </c>
      <c r="AE15" s="224">
        <f t="shared" si="30"/>
        <v>0</v>
      </c>
      <c r="AF15" s="224">
        <f t="shared" si="31"/>
        <v>0</v>
      </c>
      <c r="AG15" s="228">
        <f t="shared" si="38"/>
        <v>0</v>
      </c>
      <c r="AH15" s="228"/>
      <c r="AI15" s="228"/>
      <c r="AK15" s="65" t="s">
        <v>151</v>
      </c>
      <c r="AL15" s="65" t="s">
        <v>260</v>
      </c>
      <c r="AM15" s="174">
        <v>0</v>
      </c>
      <c r="AN15" s="174">
        <v>0</v>
      </c>
      <c r="AO15" s="174">
        <v>0</v>
      </c>
      <c r="AP15" s="174">
        <v>0</v>
      </c>
      <c r="AQ15" s="174">
        <v>0</v>
      </c>
      <c r="AR15" s="174">
        <v>0</v>
      </c>
      <c r="AS15" s="174">
        <v>0</v>
      </c>
      <c r="AT15" s="174"/>
      <c r="AU15" s="174"/>
      <c r="AV15" s="174"/>
      <c r="AW15" s="174"/>
      <c r="AX15" s="174"/>
      <c r="AY15" s="69">
        <f t="shared" si="39"/>
        <v>0</v>
      </c>
      <c r="AZ15" s="69">
        <f t="shared" si="40"/>
        <v>0</v>
      </c>
      <c r="BA15" s="69">
        <f t="shared" si="41"/>
        <v>0</v>
      </c>
      <c r="BC15" s="65" t="s">
        <v>151</v>
      </c>
      <c r="BD15" s="65" t="s">
        <v>260</v>
      </c>
      <c r="BE15" s="69">
        <f t="shared" ref="BE15:BP15" si="78">BE48*BE76</f>
        <v>0</v>
      </c>
      <c r="BF15" s="69">
        <f t="shared" si="78"/>
        <v>0</v>
      </c>
      <c r="BG15" s="69">
        <f t="shared" si="78"/>
        <v>0</v>
      </c>
      <c r="BH15" s="69">
        <f t="shared" si="78"/>
        <v>0</v>
      </c>
      <c r="BI15" s="69">
        <f t="shared" si="78"/>
        <v>0</v>
      </c>
      <c r="BJ15" s="69">
        <f t="shared" si="78"/>
        <v>0</v>
      </c>
      <c r="BK15" s="69">
        <f>BK48*BK76</f>
        <v>50</v>
      </c>
      <c r="BL15" s="69">
        <f t="shared" si="78"/>
        <v>110</v>
      </c>
      <c r="BM15" s="69">
        <f t="shared" si="78"/>
        <v>170</v>
      </c>
      <c r="BN15" s="69">
        <f t="shared" si="78"/>
        <v>250</v>
      </c>
      <c r="BO15" s="69">
        <f t="shared" si="78"/>
        <v>330</v>
      </c>
      <c r="BP15" s="69">
        <f t="shared" si="78"/>
        <v>410</v>
      </c>
      <c r="BQ15" s="69">
        <f t="shared" si="47"/>
        <v>1320</v>
      </c>
      <c r="BR15" s="69">
        <f t="shared" si="43"/>
        <v>50</v>
      </c>
      <c r="BS15" s="69">
        <f t="shared" si="44"/>
        <v>50</v>
      </c>
      <c r="BT15" s="180"/>
      <c r="BX15" s="65" t="s">
        <v>151</v>
      </c>
      <c r="BY15" s="65" t="s">
        <v>260</v>
      </c>
      <c r="BZ15" s="189">
        <v>0</v>
      </c>
      <c r="CA15" s="189">
        <v>0</v>
      </c>
      <c r="CB15" s="189">
        <v>0</v>
      </c>
      <c r="CC15" s="189">
        <v>0</v>
      </c>
      <c r="CD15" s="189">
        <v>0</v>
      </c>
      <c r="CE15" s="189">
        <v>0</v>
      </c>
      <c r="CF15" s="189">
        <v>0</v>
      </c>
      <c r="CG15" s="189">
        <v>0</v>
      </c>
      <c r="CH15" s="189">
        <v>0</v>
      </c>
      <c r="CI15" s="189">
        <v>0</v>
      </c>
      <c r="CJ15" s="189">
        <v>0</v>
      </c>
      <c r="CK15" s="189">
        <v>0</v>
      </c>
      <c r="CL15" s="189">
        <f t="shared" si="66"/>
        <v>0</v>
      </c>
      <c r="CM15" s="189">
        <f t="shared" si="33"/>
        <v>0</v>
      </c>
      <c r="CN15" s="189">
        <f>SUMIF(BZ$2:CK$2,1,BZ15:CK15)</f>
        <v>0</v>
      </c>
      <c r="CP15" s="595" t="e">
        <f t="shared" si="35"/>
        <v>#DIV/0!</v>
      </c>
      <c r="CQ15" s="594" t="e">
        <f t="shared" si="36"/>
        <v>#DIV/0!</v>
      </c>
    </row>
    <row r="16" spans="1:95">
      <c r="A16" s="175" t="s">
        <v>151</v>
      </c>
      <c r="B16" s="65" t="s">
        <v>24</v>
      </c>
      <c r="C16" s="174">
        <f t="shared" si="37"/>
        <v>0</v>
      </c>
      <c r="D16" s="174">
        <f t="shared" si="9"/>
        <v>0</v>
      </c>
      <c r="E16" s="174">
        <f t="shared" si="10"/>
        <v>0</v>
      </c>
      <c r="F16" s="174">
        <f t="shared" si="11"/>
        <v>0</v>
      </c>
      <c r="G16" s="174">
        <f t="shared" si="12"/>
        <v>35.344999999999999</v>
      </c>
      <c r="H16" s="174">
        <f t="shared" si="13"/>
        <v>0</v>
      </c>
      <c r="I16" s="174">
        <f t="shared" si="14"/>
        <v>0</v>
      </c>
      <c r="J16" s="174">
        <f t="shared" si="15"/>
        <v>0</v>
      </c>
      <c r="K16" s="174">
        <f t="shared" si="16"/>
        <v>0</v>
      </c>
      <c r="L16" s="174">
        <f t="shared" si="17"/>
        <v>0</v>
      </c>
      <c r="M16" s="174">
        <f t="shared" si="18"/>
        <v>0</v>
      </c>
      <c r="N16" s="174">
        <f t="shared" si="19"/>
        <v>0</v>
      </c>
      <c r="O16" s="69">
        <f t="shared" si="20"/>
        <v>35.344999999999999</v>
      </c>
      <c r="S16" s="175" t="s">
        <v>151</v>
      </c>
      <c r="T16" s="65" t="s">
        <v>24</v>
      </c>
      <c r="U16" s="224" t="e">
        <f t="shared" si="45"/>
        <v>#DIV/0!</v>
      </c>
      <c r="V16" s="224" t="e">
        <f t="shared" si="21"/>
        <v>#DIV/0!</v>
      </c>
      <c r="W16" s="224" t="e">
        <f t="shared" si="22"/>
        <v>#DIV/0!</v>
      </c>
      <c r="X16" s="224" t="e">
        <f t="shared" si="23"/>
        <v>#DIV/0!</v>
      </c>
      <c r="Y16" s="224" t="e">
        <f t="shared" si="24"/>
        <v>#DIV/0!</v>
      </c>
      <c r="Z16" s="224" t="e">
        <f t="shared" si="25"/>
        <v>#DIV/0!</v>
      </c>
      <c r="AA16" s="224" t="e">
        <f t="shared" si="26"/>
        <v>#DIV/0!</v>
      </c>
      <c r="AB16" s="224" t="e">
        <f t="shared" si="27"/>
        <v>#DIV/0!</v>
      </c>
      <c r="AC16" s="224" t="e">
        <f t="shared" si="28"/>
        <v>#DIV/0!</v>
      </c>
      <c r="AD16" s="224" t="e">
        <f t="shared" si="29"/>
        <v>#DIV/0!</v>
      </c>
      <c r="AE16" s="224" t="e">
        <f t="shared" si="30"/>
        <v>#DIV/0!</v>
      </c>
      <c r="AF16" s="224" t="e">
        <f t="shared" si="31"/>
        <v>#DIV/0!</v>
      </c>
      <c r="AG16" s="228" t="e">
        <f t="shared" si="38"/>
        <v>#DIV/0!</v>
      </c>
      <c r="AH16" s="228"/>
      <c r="AI16" s="228"/>
      <c r="AK16" s="175" t="s">
        <v>151</v>
      </c>
      <c r="AL16" s="65" t="s">
        <v>264</v>
      </c>
      <c r="AM16" s="174">
        <v>0</v>
      </c>
      <c r="AN16" s="174">
        <v>0</v>
      </c>
      <c r="AO16" s="174">
        <v>0</v>
      </c>
      <c r="AP16" s="174">
        <v>0</v>
      </c>
      <c r="AQ16" s="174">
        <v>35.344999999999999</v>
      </c>
      <c r="AR16" s="174">
        <v>0</v>
      </c>
      <c r="AS16" s="174">
        <v>0</v>
      </c>
      <c r="AT16" s="174"/>
      <c r="AU16" s="174"/>
      <c r="AV16" s="174"/>
      <c r="AW16" s="174"/>
      <c r="AX16" s="174"/>
      <c r="AY16" s="69">
        <f t="shared" si="39"/>
        <v>35.344999999999999</v>
      </c>
      <c r="AZ16" s="69">
        <f t="shared" si="40"/>
        <v>35.344999999999999</v>
      </c>
      <c r="BA16" s="69">
        <f t="shared" si="41"/>
        <v>0</v>
      </c>
      <c r="BC16" s="175" t="s">
        <v>151</v>
      </c>
      <c r="BD16" s="65" t="s">
        <v>24</v>
      </c>
      <c r="BE16" s="69">
        <f>BE49*BE77</f>
        <v>0</v>
      </c>
      <c r="BF16" s="69">
        <f t="shared" ref="BF16:BP16" si="79">BF49*BF77</f>
        <v>0</v>
      </c>
      <c r="BG16" s="69">
        <f t="shared" si="79"/>
        <v>0</v>
      </c>
      <c r="BH16" s="69">
        <f t="shared" si="79"/>
        <v>0</v>
      </c>
      <c r="BI16" s="69">
        <f t="shared" si="79"/>
        <v>0</v>
      </c>
      <c r="BJ16" s="69">
        <f t="shared" si="79"/>
        <v>0</v>
      </c>
      <c r="BK16" s="69">
        <f t="shared" si="79"/>
        <v>0</v>
      </c>
      <c r="BL16" s="69">
        <f t="shared" si="79"/>
        <v>0</v>
      </c>
      <c r="BM16" s="69">
        <f t="shared" si="79"/>
        <v>0</v>
      </c>
      <c r="BN16" s="69">
        <f t="shared" si="79"/>
        <v>0</v>
      </c>
      <c r="BO16" s="69">
        <f t="shared" si="79"/>
        <v>0</v>
      </c>
      <c r="BP16" s="69">
        <f t="shared" si="79"/>
        <v>0</v>
      </c>
      <c r="BQ16" s="69">
        <f t="shared" si="47"/>
        <v>0</v>
      </c>
      <c r="BR16" s="69">
        <f t="shared" si="43"/>
        <v>0</v>
      </c>
      <c r="BS16" s="69">
        <f t="shared" si="44"/>
        <v>0</v>
      </c>
      <c r="BT16" s="180"/>
      <c r="BX16" s="196" t="s">
        <v>151</v>
      </c>
      <c r="BY16" s="65" t="s">
        <v>24</v>
      </c>
      <c r="BZ16" s="189">
        <v>0</v>
      </c>
      <c r="CA16" s="189">
        <v>0</v>
      </c>
      <c r="CB16" s="189">
        <v>0</v>
      </c>
      <c r="CC16" s="189">
        <v>0</v>
      </c>
      <c r="CD16" s="189">
        <v>0</v>
      </c>
      <c r="CE16" s="189">
        <v>0</v>
      </c>
      <c r="CF16" s="189">
        <v>0</v>
      </c>
      <c r="CG16" s="189">
        <v>0</v>
      </c>
      <c r="CH16" s="189">
        <v>0</v>
      </c>
      <c r="CI16" s="189">
        <v>0</v>
      </c>
      <c r="CJ16" s="189">
        <v>0</v>
      </c>
      <c r="CK16" s="189">
        <v>0</v>
      </c>
      <c r="CL16" s="189">
        <f t="shared" si="66"/>
        <v>0</v>
      </c>
      <c r="CM16" s="189">
        <f t="shared" si="33"/>
        <v>0</v>
      </c>
      <c r="CN16" s="189">
        <f>SUMIF(BZ$2:CK$2,1,BZ16:CK16)</f>
        <v>0</v>
      </c>
      <c r="CP16" s="595" t="e">
        <f t="shared" si="35"/>
        <v>#DIV/0!</v>
      </c>
      <c r="CQ16" s="594" t="e">
        <f t="shared" si="36"/>
        <v>#DIV/0!</v>
      </c>
    </row>
    <row r="17" spans="1:95">
      <c r="A17" s="175" t="s">
        <v>151</v>
      </c>
      <c r="B17" s="65" t="s">
        <v>262</v>
      </c>
      <c r="C17" s="174">
        <f t="shared" si="37"/>
        <v>0</v>
      </c>
      <c r="D17" s="174">
        <f t="shared" si="9"/>
        <v>0</v>
      </c>
      <c r="E17" s="174">
        <f t="shared" si="10"/>
        <v>0</v>
      </c>
      <c r="F17" s="174">
        <f t="shared" si="11"/>
        <v>0</v>
      </c>
      <c r="G17" s="174">
        <f t="shared" si="12"/>
        <v>0</v>
      </c>
      <c r="H17" s="174">
        <f t="shared" si="13"/>
        <v>0</v>
      </c>
      <c r="I17" s="174">
        <f t="shared" si="14"/>
        <v>-130</v>
      </c>
      <c r="J17" s="174">
        <f t="shared" si="15"/>
        <v>-286</v>
      </c>
      <c r="K17" s="174">
        <f t="shared" si="16"/>
        <v>-442</v>
      </c>
      <c r="L17" s="174">
        <f t="shared" si="17"/>
        <v>-650</v>
      </c>
      <c r="M17" s="174">
        <f t="shared" si="18"/>
        <v>-858</v>
      </c>
      <c r="N17" s="174">
        <f t="shared" si="19"/>
        <v>-1066</v>
      </c>
      <c r="O17" s="69">
        <f t="shared" si="20"/>
        <v>-3432</v>
      </c>
      <c r="S17" s="175" t="s">
        <v>151</v>
      </c>
      <c r="T17" s="65" t="s">
        <v>262</v>
      </c>
      <c r="U17" s="224" t="e">
        <f t="shared" si="45"/>
        <v>#DIV/0!</v>
      </c>
      <c r="V17" s="224" t="e">
        <f t="shared" si="21"/>
        <v>#DIV/0!</v>
      </c>
      <c r="W17" s="224" t="e">
        <f t="shared" si="22"/>
        <v>#DIV/0!</v>
      </c>
      <c r="X17" s="224" t="e">
        <f t="shared" si="23"/>
        <v>#DIV/0!</v>
      </c>
      <c r="Y17" s="224" t="e">
        <f t="shared" si="24"/>
        <v>#DIV/0!</v>
      </c>
      <c r="Z17" s="224" t="e">
        <f t="shared" si="25"/>
        <v>#DIV/0!</v>
      </c>
      <c r="AA17" s="224">
        <f t="shared" si="26"/>
        <v>0</v>
      </c>
      <c r="AB17" s="224">
        <f t="shared" si="27"/>
        <v>0</v>
      </c>
      <c r="AC17" s="224">
        <f t="shared" si="28"/>
        <v>0</v>
      </c>
      <c r="AD17" s="224">
        <f t="shared" si="29"/>
        <v>0</v>
      </c>
      <c r="AE17" s="224">
        <f t="shared" si="30"/>
        <v>0</v>
      </c>
      <c r="AF17" s="224">
        <f t="shared" si="31"/>
        <v>0</v>
      </c>
      <c r="AG17" s="228">
        <f t="shared" si="38"/>
        <v>0</v>
      </c>
      <c r="AH17" s="228"/>
      <c r="AI17" s="228"/>
      <c r="AK17" s="175" t="s">
        <v>151</v>
      </c>
      <c r="AL17" s="65" t="s">
        <v>265</v>
      </c>
      <c r="AM17" s="174">
        <v>0</v>
      </c>
      <c r="AN17" s="174">
        <v>0</v>
      </c>
      <c r="AO17" s="174">
        <v>0</v>
      </c>
      <c r="AP17" s="174">
        <v>0</v>
      </c>
      <c r="AQ17" s="174">
        <v>0</v>
      </c>
      <c r="AR17" s="174">
        <v>0</v>
      </c>
      <c r="AS17" s="174">
        <v>0</v>
      </c>
      <c r="AT17" s="174"/>
      <c r="AU17" s="174"/>
      <c r="AV17" s="174"/>
      <c r="AW17" s="174"/>
      <c r="AX17" s="174"/>
      <c r="AY17" s="69">
        <f t="shared" si="39"/>
        <v>0</v>
      </c>
      <c r="AZ17" s="69">
        <f t="shared" si="40"/>
        <v>0</v>
      </c>
      <c r="BA17" s="69">
        <f t="shared" si="41"/>
        <v>0</v>
      </c>
      <c r="BC17" s="175" t="s">
        <v>151</v>
      </c>
      <c r="BD17" s="65" t="s">
        <v>262</v>
      </c>
      <c r="BE17" s="69">
        <f t="shared" ref="BE17:BP17" si="80">BE50*BE78</f>
        <v>0</v>
      </c>
      <c r="BF17" s="69">
        <f t="shared" si="80"/>
        <v>0</v>
      </c>
      <c r="BG17" s="69">
        <f t="shared" si="80"/>
        <v>0</v>
      </c>
      <c r="BH17" s="69">
        <f t="shared" si="80"/>
        <v>0</v>
      </c>
      <c r="BI17" s="69">
        <f t="shared" si="80"/>
        <v>0</v>
      </c>
      <c r="BJ17" s="69">
        <f t="shared" si="80"/>
        <v>0</v>
      </c>
      <c r="BK17" s="69">
        <f t="shared" si="80"/>
        <v>130</v>
      </c>
      <c r="BL17" s="69">
        <f t="shared" si="80"/>
        <v>286</v>
      </c>
      <c r="BM17" s="69">
        <f t="shared" si="80"/>
        <v>442</v>
      </c>
      <c r="BN17" s="69">
        <f t="shared" si="80"/>
        <v>650</v>
      </c>
      <c r="BO17" s="69">
        <f t="shared" si="80"/>
        <v>858</v>
      </c>
      <c r="BP17" s="69">
        <f t="shared" si="80"/>
        <v>1066</v>
      </c>
      <c r="BQ17" s="69">
        <f t="shared" si="47"/>
        <v>3432</v>
      </c>
      <c r="BR17" s="69">
        <f t="shared" si="43"/>
        <v>130</v>
      </c>
      <c r="BS17" s="69">
        <f t="shared" si="44"/>
        <v>130</v>
      </c>
      <c r="BT17" s="180"/>
      <c r="BX17" s="196" t="s">
        <v>151</v>
      </c>
      <c r="BY17" s="65" t="s">
        <v>262</v>
      </c>
      <c r="BZ17" s="189">
        <v>0</v>
      </c>
      <c r="CA17" s="189">
        <v>0</v>
      </c>
      <c r="CB17" s="189">
        <v>0</v>
      </c>
      <c r="CC17" s="189">
        <v>0</v>
      </c>
      <c r="CD17" s="189">
        <v>0</v>
      </c>
      <c r="CE17" s="189">
        <v>0</v>
      </c>
      <c r="CF17" s="189">
        <v>0</v>
      </c>
      <c r="CG17" s="189">
        <v>0</v>
      </c>
      <c r="CH17" s="189">
        <v>0</v>
      </c>
      <c r="CI17" s="189">
        <v>0</v>
      </c>
      <c r="CJ17" s="189">
        <v>0</v>
      </c>
      <c r="CK17" s="189">
        <v>0</v>
      </c>
      <c r="CL17" s="189">
        <f t="shared" si="66"/>
        <v>0</v>
      </c>
      <c r="CM17" s="189">
        <f t="shared" si="33"/>
        <v>0</v>
      </c>
      <c r="CN17" s="189">
        <f>SUMIF(BZ$2:CK$2,1,BZ17:CK17)</f>
        <v>0</v>
      </c>
      <c r="CP17" s="595" t="e">
        <f t="shared" si="35"/>
        <v>#DIV/0!</v>
      </c>
      <c r="CQ17" s="594" t="e">
        <f t="shared" si="36"/>
        <v>#DIV/0!</v>
      </c>
    </row>
    <row r="18" spans="1:95">
      <c r="A18" s="175" t="s">
        <v>151</v>
      </c>
      <c r="B18" s="65" t="s">
        <v>26</v>
      </c>
      <c r="C18" s="174">
        <f t="shared" si="37"/>
        <v>0</v>
      </c>
      <c r="D18" s="174">
        <f t="shared" si="9"/>
        <v>0</v>
      </c>
      <c r="E18" s="174">
        <f t="shared" si="10"/>
        <v>0</v>
      </c>
      <c r="F18" s="174">
        <f t="shared" si="11"/>
        <v>0</v>
      </c>
      <c r="G18" s="174">
        <f t="shared" si="12"/>
        <v>0</v>
      </c>
      <c r="H18" s="174">
        <f t="shared" si="13"/>
        <v>0</v>
      </c>
      <c r="I18" s="174">
        <f t="shared" si="14"/>
        <v>0</v>
      </c>
      <c r="J18" s="174">
        <f t="shared" si="15"/>
        <v>0</v>
      </c>
      <c r="K18" s="174">
        <f t="shared" si="16"/>
        <v>0</v>
      </c>
      <c r="L18" s="174">
        <f t="shared" si="17"/>
        <v>0</v>
      </c>
      <c r="M18" s="174">
        <f t="shared" si="18"/>
        <v>0</v>
      </c>
      <c r="N18" s="174">
        <f t="shared" si="19"/>
        <v>0</v>
      </c>
      <c r="O18" s="69">
        <f t="shared" si="20"/>
        <v>0</v>
      </c>
      <c r="S18" s="175" t="s">
        <v>151</v>
      </c>
      <c r="T18" s="65" t="s">
        <v>26</v>
      </c>
      <c r="U18" s="224" t="e">
        <f t="shared" si="45"/>
        <v>#DIV/0!</v>
      </c>
      <c r="V18" s="224" t="e">
        <f t="shared" si="21"/>
        <v>#DIV/0!</v>
      </c>
      <c r="W18" s="224" t="e">
        <f t="shared" si="22"/>
        <v>#DIV/0!</v>
      </c>
      <c r="X18" s="224" t="e">
        <f t="shared" si="23"/>
        <v>#DIV/0!</v>
      </c>
      <c r="Y18" s="224" t="e">
        <f t="shared" si="24"/>
        <v>#DIV/0!</v>
      </c>
      <c r="Z18" s="224" t="e">
        <f t="shared" si="25"/>
        <v>#DIV/0!</v>
      </c>
      <c r="AA18" s="224" t="e">
        <f t="shared" si="26"/>
        <v>#DIV/0!</v>
      </c>
      <c r="AB18" s="224" t="e">
        <f t="shared" si="27"/>
        <v>#DIV/0!</v>
      </c>
      <c r="AC18" s="224" t="e">
        <f t="shared" si="28"/>
        <v>#DIV/0!</v>
      </c>
      <c r="AD18" s="224" t="e">
        <f t="shared" si="29"/>
        <v>#DIV/0!</v>
      </c>
      <c r="AE18" s="224" t="e">
        <f t="shared" si="30"/>
        <v>#DIV/0!</v>
      </c>
      <c r="AF18" s="224" t="e">
        <f t="shared" si="31"/>
        <v>#DIV/0!</v>
      </c>
      <c r="AG18" s="228" t="e">
        <f t="shared" si="38"/>
        <v>#DIV/0!</v>
      </c>
      <c r="AH18" s="228"/>
      <c r="AI18" s="228"/>
      <c r="AK18" s="175" t="s">
        <v>151</v>
      </c>
      <c r="AL18" s="65" t="s">
        <v>26</v>
      </c>
      <c r="AM18" s="174">
        <v>0</v>
      </c>
      <c r="AN18" s="174">
        <v>0</v>
      </c>
      <c r="AO18" s="174">
        <v>0</v>
      </c>
      <c r="AP18" s="174">
        <v>0</v>
      </c>
      <c r="AQ18" s="174">
        <v>0</v>
      </c>
      <c r="AR18" s="174">
        <v>0</v>
      </c>
      <c r="AS18" s="174">
        <v>0</v>
      </c>
      <c r="AT18" s="174"/>
      <c r="AU18" s="174"/>
      <c r="AV18" s="174"/>
      <c r="AW18" s="174"/>
      <c r="AX18" s="174"/>
      <c r="AY18" s="69">
        <f t="shared" si="39"/>
        <v>0</v>
      </c>
      <c r="AZ18" s="69">
        <f t="shared" si="40"/>
        <v>0</v>
      </c>
      <c r="BA18" s="69">
        <f t="shared" si="41"/>
        <v>0</v>
      </c>
      <c r="BC18" s="175" t="s">
        <v>151</v>
      </c>
      <c r="BD18" s="65" t="s">
        <v>26</v>
      </c>
      <c r="BE18" s="69">
        <f t="shared" ref="BE18:BP18" si="81">BE51*BE79</f>
        <v>0</v>
      </c>
      <c r="BF18" s="69">
        <f t="shared" si="81"/>
        <v>0</v>
      </c>
      <c r="BG18" s="69">
        <f t="shared" si="81"/>
        <v>0</v>
      </c>
      <c r="BH18" s="69">
        <f t="shared" si="81"/>
        <v>0</v>
      </c>
      <c r="BI18" s="69">
        <f t="shared" si="81"/>
        <v>0</v>
      </c>
      <c r="BJ18" s="69">
        <f t="shared" si="81"/>
        <v>0</v>
      </c>
      <c r="BK18" s="69">
        <f t="shared" si="81"/>
        <v>0</v>
      </c>
      <c r="BL18" s="69">
        <f t="shared" si="81"/>
        <v>0</v>
      </c>
      <c r="BM18" s="69">
        <f t="shared" si="81"/>
        <v>0</v>
      </c>
      <c r="BN18" s="69">
        <f t="shared" si="81"/>
        <v>0</v>
      </c>
      <c r="BO18" s="69">
        <f t="shared" si="81"/>
        <v>0</v>
      </c>
      <c r="BP18" s="69">
        <f t="shared" si="81"/>
        <v>0</v>
      </c>
      <c r="BQ18" s="69">
        <f t="shared" si="47"/>
        <v>0</v>
      </c>
      <c r="BR18" s="69">
        <f t="shared" si="43"/>
        <v>0</v>
      </c>
      <c r="BS18" s="69">
        <f t="shared" si="44"/>
        <v>0</v>
      </c>
      <c r="BT18" s="180"/>
      <c r="BX18" s="196" t="s">
        <v>151</v>
      </c>
      <c r="BY18" s="65" t="s">
        <v>26</v>
      </c>
      <c r="BZ18" s="189">
        <v>0</v>
      </c>
      <c r="CA18" s="189">
        <v>0</v>
      </c>
      <c r="CB18" s="189">
        <v>0</v>
      </c>
      <c r="CC18" s="189">
        <v>0</v>
      </c>
      <c r="CD18" s="189">
        <v>0</v>
      </c>
      <c r="CE18" s="189">
        <v>0</v>
      </c>
      <c r="CF18" s="189">
        <v>0</v>
      </c>
      <c r="CG18" s="189">
        <v>0</v>
      </c>
      <c r="CH18" s="189">
        <v>0</v>
      </c>
      <c r="CI18" s="189">
        <v>0</v>
      </c>
      <c r="CJ18" s="189">
        <v>0</v>
      </c>
      <c r="CK18" s="189">
        <v>0</v>
      </c>
      <c r="CL18" s="189">
        <f t="shared" si="66"/>
        <v>0</v>
      </c>
      <c r="CM18" s="189">
        <f t="shared" si="33"/>
        <v>0</v>
      </c>
      <c r="CN18" s="189">
        <f>SUMIF(BZ$2:CK$2,1,BZ18:CK18)</f>
        <v>0</v>
      </c>
      <c r="CP18" s="595" t="e">
        <f t="shared" si="35"/>
        <v>#DIV/0!</v>
      </c>
      <c r="CQ18" s="594" t="e">
        <f t="shared" si="36"/>
        <v>#DIV/0!</v>
      </c>
    </row>
    <row r="19" spans="1:95">
      <c r="A19" s="178" t="s">
        <v>151</v>
      </c>
      <c r="B19" s="178" t="s">
        <v>162</v>
      </c>
      <c r="C19" s="179">
        <f t="shared" si="37"/>
        <v>0</v>
      </c>
      <c r="D19" s="179">
        <f t="shared" si="9"/>
        <v>0</v>
      </c>
      <c r="E19" s="179">
        <f t="shared" si="10"/>
        <v>0</v>
      </c>
      <c r="F19" s="179">
        <f t="shared" si="11"/>
        <v>0</v>
      </c>
      <c r="G19" s="179">
        <f t="shared" si="12"/>
        <v>35.344999999999999</v>
      </c>
      <c r="H19" s="179">
        <f t="shared" si="13"/>
        <v>0</v>
      </c>
      <c r="I19" s="179">
        <f t="shared" si="14"/>
        <v>-180</v>
      </c>
      <c r="J19" s="179">
        <f t="shared" si="15"/>
        <v>-396</v>
      </c>
      <c r="K19" s="179">
        <f t="shared" si="16"/>
        <v>-612</v>
      </c>
      <c r="L19" s="179">
        <f t="shared" si="17"/>
        <v>-900</v>
      </c>
      <c r="M19" s="179">
        <f t="shared" si="18"/>
        <v>-1188</v>
      </c>
      <c r="N19" s="179">
        <f t="shared" si="19"/>
        <v>-1476</v>
      </c>
      <c r="O19" s="179">
        <f t="shared" si="20"/>
        <v>-4716.6549999999997</v>
      </c>
      <c r="P19" s="179"/>
      <c r="Q19" s="179"/>
      <c r="S19" s="178" t="s">
        <v>151</v>
      </c>
      <c r="T19" s="178" t="s">
        <v>162</v>
      </c>
      <c r="U19" s="227" t="e">
        <f t="shared" si="45"/>
        <v>#DIV/0!</v>
      </c>
      <c r="V19" s="227" t="e">
        <f t="shared" si="21"/>
        <v>#DIV/0!</v>
      </c>
      <c r="W19" s="227" t="e">
        <f t="shared" si="22"/>
        <v>#DIV/0!</v>
      </c>
      <c r="X19" s="227" t="e">
        <f t="shared" si="23"/>
        <v>#DIV/0!</v>
      </c>
      <c r="Y19" s="227" t="e">
        <f t="shared" si="24"/>
        <v>#DIV/0!</v>
      </c>
      <c r="Z19" s="227" t="e">
        <f t="shared" si="25"/>
        <v>#DIV/0!</v>
      </c>
      <c r="AA19" s="227">
        <f t="shared" si="26"/>
        <v>0</v>
      </c>
      <c r="AB19" s="227">
        <f t="shared" si="27"/>
        <v>0</v>
      </c>
      <c r="AC19" s="227">
        <f t="shared" si="28"/>
        <v>0</v>
      </c>
      <c r="AD19" s="227">
        <f t="shared" si="29"/>
        <v>0</v>
      </c>
      <c r="AE19" s="227">
        <f t="shared" si="30"/>
        <v>0</v>
      </c>
      <c r="AF19" s="227">
        <f t="shared" si="31"/>
        <v>0</v>
      </c>
      <c r="AG19" s="227">
        <f t="shared" si="38"/>
        <v>7.4379208754208753E-3</v>
      </c>
      <c r="AH19" s="227"/>
      <c r="AI19" s="227"/>
      <c r="AK19" s="178" t="s">
        <v>151</v>
      </c>
      <c r="AL19" s="178" t="s">
        <v>162</v>
      </c>
      <c r="AM19" s="179">
        <f>SUM(AM15:AM18)</f>
        <v>0</v>
      </c>
      <c r="AN19" s="179">
        <f t="shared" ref="AN19" si="82">SUM(AN15:AN18)</f>
        <v>0</v>
      </c>
      <c r="AO19" s="179">
        <f t="shared" ref="AO19" si="83">SUM(AO15:AO18)</f>
        <v>0</v>
      </c>
      <c r="AP19" s="179">
        <f t="shared" ref="AP19" si="84">SUM(AP15:AP18)</f>
        <v>0</v>
      </c>
      <c r="AQ19" s="179">
        <f t="shared" ref="AQ19" si="85">SUM(AQ15:AQ18)</f>
        <v>35.344999999999999</v>
      </c>
      <c r="AR19" s="179">
        <f t="shared" ref="AR19" si="86">SUM(AR15:AR18)</f>
        <v>0</v>
      </c>
      <c r="AS19" s="179">
        <f t="shared" ref="AS19" si="87">SUM(AS15:AS18)</f>
        <v>0</v>
      </c>
      <c r="AT19" s="179">
        <f t="shared" ref="AT19" si="88">SUM(AT15:AT18)</f>
        <v>0</v>
      </c>
      <c r="AU19" s="179">
        <f t="shared" ref="AU19" si="89">SUM(AU15:AU18)</f>
        <v>0</v>
      </c>
      <c r="AV19" s="179">
        <f t="shared" ref="AV19" si="90">SUM(AV15:AV18)</f>
        <v>0</v>
      </c>
      <c r="AW19" s="179">
        <f t="shared" ref="AW19" si="91">SUM(AW15:AW18)</f>
        <v>0</v>
      </c>
      <c r="AX19" s="179">
        <f t="shared" ref="AX19" si="92">SUM(AX15:AX18)</f>
        <v>0</v>
      </c>
      <c r="AY19" s="179">
        <f t="shared" si="39"/>
        <v>35.344999999999999</v>
      </c>
      <c r="AZ19" s="179">
        <f t="shared" si="40"/>
        <v>35.344999999999999</v>
      </c>
      <c r="BA19" s="179">
        <f t="shared" si="41"/>
        <v>0</v>
      </c>
      <c r="BC19" s="178" t="s">
        <v>151</v>
      </c>
      <c r="BD19" s="178" t="s">
        <v>162</v>
      </c>
      <c r="BE19" s="179">
        <f>SUM(BE15:BE18)</f>
        <v>0</v>
      </c>
      <c r="BF19" s="179">
        <f t="shared" ref="BF19:BP19" si="93">SUM(BF15:BF18)</f>
        <v>0</v>
      </c>
      <c r="BG19" s="179">
        <f t="shared" si="93"/>
        <v>0</v>
      </c>
      <c r="BH19" s="179">
        <f t="shared" si="93"/>
        <v>0</v>
      </c>
      <c r="BI19" s="179">
        <f t="shared" si="93"/>
        <v>0</v>
      </c>
      <c r="BJ19" s="179">
        <f t="shared" si="93"/>
        <v>0</v>
      </c>
      <c r="BK19" s="179">
        <f t="shared" si="93"/>
        <v>180</v>
      </c>
      <c r="BL19" s="179">
        <f t="shared" si="93"/>
        <v>396</v>
      </c>
      <c r="BM19" s="179">
        <f t="shared" si="93"/>
        <v>612</v>
      </c>
      <c r="BN19" s="179">
        <f t="shared" si="93"/>
        <v>900</v>
      </c>
      <c r="BO19" s="179">
        <f t="shared" si="93"/>
        <v>1188</v>
      </c>
      <c r="BP19" s="179">
        <f t="shared" si="93"/>
        <v>1476</v>
      </c>
      <c r="BQ19" s="179">
        <f t="shared" si="47"/>
        <v>4752</v>
      </c>
      <c r="BR19" s="179">
        <f t="shared" si="43"/>
        <v>180</v>
      </c>
      <c r="BS19" s="179">
        <f t="shared" si="44"/>
        <v>180</v>
      </c>
      <c r="BT19" s="180"/>
      <c r="BV19" s="219">
        <f>BQ19/$BQ$34</f>
        <v>1.3976750520811371E-2</v>
      </c>
      <c r="BX19" s="197" t="s">
        <v>151</v>
      </c>
      <c r="BY19" s="197" t="s">
        <v>162</v>
      </c>
      <c r="BZ19" s="198">
        <f t="shared" ref="BZ19:CK19" si="94">SUM(BZ15:BZ18)</f>
        <v>0</v>
      </c>
      <c r="CA19" s="198">
        <f t="shared" si="94"/>
        <v>0</v>
      </c>
      <c r="CB19" s="198">
        <f t="shared" si="94"/>
        <v>0</v>
      </c>
      <c r="CC19" s="198">
        <f t="shared" si="94"/>
        <v>0</v>
      </c>
      <c r="CD19" s="198">
        <f t="shared" si="94"/>
        <v>0</v>
      </c>
      <c r="CE19" s="198">
        <f t="shared" si="94"/>
        <v>0</v>
      </c>
      <c r="CF19" s="198">
        <f t="shared" si="94"/>
        <v>0</v>
      </c>
      <c r="CG19" s="198">
        <f t="shared" si="94"/>
        <v>0</v>
      </c>
      <c r="CH19" s="198">
        <f t="shared" si="94"/>
        <v>0</v>
      </c>
      <c r="CI19" s="198">
        <f t="shared" si="94"/>
        <v>0</v>
      </c>
      <c r="CJ19" s="198">
        <f t="shared" si="94"/>
        <v>0</v>
      </c>
      <c r="CK19" s="198">
        <f t="shared" si="94"/>
        <v>0</v>
      </c>
      <c r="CL19" s="198">
        <f t="shared" si="66"/>
        <v>0</v>
      </c>
      <c r="CM19" s="198">
        <f t="shared" si="33"/>
        <v>0</v>
      </c>
      <c r="CN19" s="198">
        <f>SUMIF(CA$2:CL$2,1,CA19:CL19)</f>
        <v>0</v>
      </c>
      <c r="CP19" s="595" t="e">
        <f t="shared" si="35"/>
        <v>#DIV/0!</v>
      </c>
      <c r="CQ19" s="594" t="e">
        <f t="shared" si="36"/>
        <v>#DIV/0!</v>
      </c>
    </row>
    <row r="20" spans="1:95">
      <c r="A20" s="65" t="s">
        <v>266</v>
      </c>
      <c r="B20" s="65" t="s">
        <v>260</v>
      </c>
      <c r="C20" s="174">
        <f t="shared" si="37"/>
        <v>0</v>
      </c>
      <c r="D20" s="174">
        <f t="shared" si="9"/>
        <v>0</v>
      </c>
      <c r="E20" s="174">
        <f t="shared" si="10"/>
        <v>0</v>
      </c>
      <c r="F20" s="174">
        <f t="shared" si="11"/>
        <v>0</v>
      </c>
      <c r="G20" s="174">
        <f t="shared" si="12"/>
        <v>0</v>
      </c>
      <c r="H20" s="174">
        <f t="shared" si="13"/>
        <v>0</v>
      </c>
      <c r="I20" s="174">
        <f t="shared" si="14"/>
        <v>-800</v>
      </c>
      <c r="J20" s="174">
        <f t="shared" si="15"/>
        <v>-2332.7999999999997</v>
      </c>
      <c r="K20" s="174">
        <f t="shared" si="16"/>
        <v>-2684.2751999999996</v>
      </c>
      <c r="L20" s="174">
        <f t="shared" si="17"/>
        <v>-2817.8357759999999</v>
      </c>
      <c r="M20" s="174">
        <f t="shared" si="18"/>
        <v>-3000.3685631999997</v>
      </c>
      <c r="N20" s="174">
        <f t="shared" si="19"/>
        <v>-3102.5869240319994</v>
      </c>
      <c r="O20" s="69">
        <f t="shared" si="20"/>
        <v>-14737.866463231998</v>
      </c>
      <c r="S20" s="65" t="s">
        <v>266</v>
      </c>
      <c r="T20" s="65" t="s">
        <v>260</v>
      </c>
      <c r="U20" s="224" t="e">
        <f t="shared" si="45"/>
        <v>#DIV/0!</v>
      </c>
      <c r="V20" s="224" t="e">
        <f t="shared" si="21"/>
        <v>#DIV/0!</v>
      </c>
      <c r="W20" s="224" t="e">
        <f t="shared" si="22"/>
        <v>#DIV/0!</v>
      </c>
      <c r="X20" s="224" t="e">
        <f t="shared" si="23"/>
        <v>#DIV/0!</v>
      </c>
      <c r="Y20" s="224" t="e">
        <f t="shared" si="24"/>
        <v>#DIV/0!</v>
      </c>
      <c r="Z20" s="224" t="e">
        <f t="shared" si="25"/>
        <v>#DIV/0!</v>
      </c>
      <c r="AA20" s="224">
        <f t="shared" si="26"/>
        <v>0</v>
      </c>
      <c r="AB20" s="224">
        <f t="shared" si="27"/>
        <v>0</v>
      </c>
      <c r="AC20" s="224">
        <f t="shared" si="28"/>
        <v>0</v>
      </c>
      <c r="AD20" s="224">
        <f t="shared" si="29"/>
        <v>0</v>
      </c>
      <c r="AE20" s="224">
        <f t="shared" si="30"/>
        <v>0</v>
      </c>
      <c r="AF20" s="224">
        <f t="shared" si="31"/>
        <v>0</v>
      </c>
      <c r="AG20" s="228">
        <f t="shared" si="38"/>
        <v>0</v>
      </c>
      <c r="AH20" s="228"/>
      <c r="AI20" s="228"/>
      <c r="AK20" s="65" t="s">
        <v>266</v>
      </c>
      <c r="AL20" s="65" t="s">
        <v>260</v>
      </c>
      <c r="AM20" s="174">
        <v>0</v>
      </c>
      <c r="AN20" s="174">
        <v>0</v>
      </c>
      <c r="AO20" s="174">
        <v>0</v>
      </c>
      <c r="AP20" s="174">
        <v>0</v>
      </c>
      <c r="AQ20" s="174">
        <v>0</v>
      </c>
      <c r="AR20" s="174">
        <v>0</v>
      </c>
      <c r="AS20" s="174">
        <v>0</v>
      </c>
      <c r="AT20" s="174"/>
      <c r="AU20" s="174"/>
      <c r="AV20" s="174"/>
      <c r="AW20" s="174"/>
      <c r="AX20" s="174"/>
      <c r="AY20" s="69">
        <f t="shared" si="39"/>
        <v>0</v>
      </c>
      <c r="AZ20" s="69">
        <f t="shared" si="40"/>
        <v>0</v>
      </c>
      <c r="BA20" s="69">
        <f t="shared" si="41"/>
        <v>0</v>
      </c>
      <c r="BC20" s="65" t="s">
        <v>266</v>
      </c>
      <c r="BD20" s="65" t="s">
        <v>260</v>
      </c>
      <c r="BE20" s="69">
        <f t="shared" ref="BE20:BJ20" si="95">BE53*BE81</f>
        <v>0</v>
      </c>
      <c r="BF20" s="69">
        <f t="shared" si="95"/>
        <v>0</v>
      </c>
      <c r="BG20" s="69">
        <f t="shared" si="95"/>
        <v>0</v>
      </c>
      <c r="BH20" s="69">
        <f t="shared" si="95"/>
        <v>0</v>
      </c>
      <c r="BI20" s="69">
        <f t="shared" si="95"/>
        <v>0</v>
      </c>
      <c r="BJ20" s="69">
        <f t="shared" si="95"/>
        <v>0</v>
      </c>
      <c r="BK20" s="69">
        <f>200*BK53</f>
        <v>800</v>
      </c>
      <c r="BL20" s="69">
        <f>200*BL140</f>
        <v>2332.7999999999997</v>
      </c>
      <c r="BM20" s="69">
        <f>200*BM140</f>
        <v>2684.2751999999996</v>
      </c>
      <c r="BN20" s="69">
        <f>200*BN140</f>
        <v>2817.8357759999999</v>
      </c>
      <c r="BO20" s="69">
        <f>200*BO140</f>
        <v>3000.3685631999997</v>
      </c>
      <c r="BP20" s="69">
        <f>200*BP140</f>
        <v>3102.5869240319994</v>
      </c>
      <c r="BQ20" s="69">
        <f t="shared" si="47"/>
        <v>14737.866463231998</v>
      </c>
      <c r="BR20" s="69">
        <f t="shared" si="43"/>
        <v>800</v>
      </c>
      <c r="BS20" s="69">
        <f t="shared" si="44"/>
        <v>800</v>
      </c>
      <c r="BT20" s="180"/>
      <c r="BX20" s="65" t="s">
        <v>266</v>
      </c>
      <c r="BY20" s="65" t="s">
        <v>260</v>
      </c>
      <c r="BZ20" s="189">
        <v>0</v>
      </c>
      <c r="CA20" s="189">
        <v>0</v>
      </c>
      <c r="CB20" s="189">
        <v>0</v>
      </c>
      <c r="CC20" s="189">
        <v>0</v>
      </c>
      <c r="CD20" s="189">
        <v>0</v>
      </c>
      <c r="CE20" s="189">
        <v>0</v>
      </c>
      <c r="CF20" s="189">
        <v>0</v>
      </c>
      <c r="CG20" s="189">
        <v>0</v>
      </c>
      <c r="CH20" s="189">
        <v>0</v>
      </c>
      <c r="CI20" s="189">
        <v>0</v>
      </c>
      <c r="CJ20" s="189">
        <v>0</v>
      </c>
      <c r="CK20" s="189">
        <v>0</v>
      </c>
      <c r="CL20" s="189">
        <f t="shared" si="66"/>
        <v>0</v>
      </c>
      <c r="CM20" s="189">
        <f t="shared" si="33"/>
        <v>0</v>
      </c>
      <c r="CN20" s="189">
        <f>SUMIF(BZ$2:CK$2,1,BZ20:CK20)</f>
        <v>0</v>
      </c>
      <c r="CP20" s="595" t="e">
        <f t="shared" si="35"/>
        <v>#DIV/0!</v>
      </c>
      <c r="CQ20" s="594" t="e">
        <f t="shared" si="36"/>
        <v>#DIV/0!</v>
      </c>
    </row>
    <row r="21" spans="1:95">
      <c r="A21" s="175" t="s">
        <v>266</v>
      </c>
      <c r="B21" s="65" t="s">
        <v>267</v>
      </c>
      <c r="C21" s="174">
        <f t="shared" si="37"/>
        <v>0</v>
      </c>
      <c r="D21" s="174">
        <f t="shared" si="9"/>
        <v>0</v>
      </c>
      <c r="E21" s="174">
        <f t="shared" si="10"/>
        <v>0</v>
      </c>
      <c r="F21" s="174">
        <f t="shared" si="11"/>
        <v>0</v>
      </c>
      <c r="G21" s="174">
        <f t="shared" si="12"/>
        <v>0</v>
      </c>
      <c r="H21" s="174">
        <f t="shared" si="13"/>
        <v>0</v>
      </c>
      <c r="I21" s="174">
        <f t="shared" si="14"/>
        <v>0</v>
      </c>
      <c r="J21" s="174">
        <f t="shared" si="15"/>
        <v>-500</v>
      </c>
      <c r="K21" s="174">
        <f t="shared" si="16"/>
        <v>0</v>
      </c>
      <c r="L21" s="174">
        <f t="shared" si="17"/>
        <v>-500</v>
      </c>
      <c r="M21" s="174">
        <f t="shared" si="18"/>
        <v>0</v>
      </c>
      <c r="N21" s="174">
        <f t="shared" si="19"/>
        <v>0</v>
      </c>
      <c r="O21" s="69">
        <f t="shared" si="20"/>
        <v>-1000</v>
      </c>
      <c r="S21" s="175" t="s">
        <v>266</v>
      </c>
      <c r="T21" s="65" t="s">
        <v>267</v>
      </c>
      <c r="U21" s="224" t="e">
        <f t="shared" si="45"/>
        <v>#DIV/0!</v>
      </c>
      <c r="V21" s="224" t="e">
        <f t="shared" si="21"/>
        <v>#DIV/0!</v>
      </c>
      <c r="W21" s="224" t="e">
        <f t="shared" si="22"/>
        <v>#DIV/0!</v>
      </c>
      <c r="X21" s="224" t="e">
        <f t="shared" si="23"/>
        <v>#DIV/0!</v>
      </c>
      <c r="Y21" s="224" t="e">
        <f t="shared" si="24"/>
        <v>#DIV/0!</v>
      </c>
      <c r="Z21" s="224" t="e">
        <f t="shared" si="25"/>
        <v>#DIV/0!</v>
      </c>
      <c r="AA21" s="224" t="e">
        <f t="shared" si="26"/>
        <v>#DIV/0!</v>
      </c>
      <c r="AB21" s="224">
        <f t="shared" si="27"/>
        <v>0</v>
      </c>
      <c r="AC21" s="224" t="e">
        <f t="shared" si="28"/>
        <v>#DIV/0!</v>
      </c>
      <c r="AD21" s="224">
        <f t="shared" si="29"/>
        <v>0</v>
      </c>
      <c r="AE21" s="224" t="e">
        <f t="shared" si="30"/>
        <v>#DIV/0!</v>
      </c>
      <c r="AF21" s="224" t="e">
        <f t="shared" si="31"/>
        <v>#DIV/0!</v>
      </c>
      <c r="AG21" s="228">
        <f t="shared" si="38"/>
        <v>0</v>
      </c>
      <c r="AH21" s="228"/>
      <c r="AI21" s="228"/>
      <c r="AK21" s="175" t="s">
        <v>266</v>
      </c>
      <c r="AL21" s="65" t="s">
        <v>267</v>
      </c>
      <c r="AM21" s="174">
        <v>0</v>
      </c>
      <c r="AN21" s="174">
        <v>0</v>
      </c>
      <c r="AO21" s="174">
        <v>0</v>
      </c>
      <c r="AP21" s="174">
        <v>0</v>
      </c>
      <c r="AQ21" s="174">
        <v>0</v>
      </c>
      <c r="AR21" s="174">
        <v>0</v>
      </c>
      <c r="AS21" s="174">
        <v>0</v>
      </c>
      <c r="AT21" s="174"/>
      <c r="AU21" s="174"/>
      <c r="AV21" s="174"/>
      <c r="AW21" s="174"/>
      <c r="AX21" s="174"/>
      <c r="AY21" s="69">
        <f t="shared" si="39"/>
        <v>0</v>
      </c>
      <c r="AZ21" s="69">
        <f t="shared" si="40"/>
        <v>0</v>
      </c>
      <c r="BA21" s="69">
        <f t="shared" si="41"/>
        <v>0</v>
      </c>
      <c r="BC21" s="175" t="s">
        <v>266</v>
      </c>
      <c r="BD21" s="65" t="s">
        <v>267</v>
      </c>
      <c r="BE21" s="69">
        <f t="shared" ref="BE21:BP21" si="96">BE54*BE82</f>
        <v>0</v>
      </c>
      <c r="BF21" s="69">
        <f t="shared" si="96"/>
        <v>0</v>
      </c>
      <c r="BG21" s="69">
        <f t="shared" si="96"/>
        <v>0</v>
      </c>
      <c r="BH21" s="69">
        <f t="shared" si="96"/>
        <v>0</v>
      </c>
      <c r="BI21" s="69">
        <f t="shared" si="96"/>
        <v>0</v>
      </c>
      <c r="BJ21" s="69">
        <f t="shared" si="96"/>
        <v>0</v>
      </c>
      <c r="BK21" s="69">
        <f t="shared" si="96"/>
        <v>0</v>
      </c>
      <c r="BL21" s="69">
        <f t="shared" si="96"/>
        <v>500</v>
      </c>
      <c r="BM21" s="69">
        <f t="shared" si="96"/>
        <v>0</v>
      </c>
      <c r="BN21" s="69">
        <f t="shared" si="96"/>
        <v>500</v>
      </c>
      <c r="BO21" s="69">
        <f t="shared" si="96"/>
        <v>0</v>
      </c>
      <c r="BP21" s="69">
        <f t="shared" si="96"/>
        <v>0</v>
      </c>
      <c r="BQ21" s="69">
        <f t="shared" si="47"/>
        <v>1000</v>
      </c>
      <c r="BR21" s="69">
        <f t="shared" si="43"/>
        <v>0</v>
      </c>
      <c r="BS21" s="69">
        <f t="shared" si="44"/>
        <v>0</v>
      </c>
      <c r="BT21" s="180"/>
      <c r="BX21" s="196" t="s">
        <v>266</v>
      </c>
      <c r="BY21" s="65" t="s">
        <v>267</v>
      </c>
      <c r="BZ21" s="189">
        <v>0</v>
      </c>
      <c r="CA21" s="189">
        <v>0</v>
      </c>
      <c r="CB21" s="189">
        <v>0</v>
      </c>
      <c r="CC21" s="189">
        <v>0</v>
      </c>
      <c r="CD21" s="189">
        <v>0</v>
      </c>
      <c r="CE21" s="189">
        <v>0</v>
      </c>
      <c r="CF21" s="189">
        <v>0</v>
      </c>
      <c r="CG21" s="189">
        <v>0</v>
      </c>
      <c r="CH21" s="189">
        <v>0</v>
      </c>
      <c r="CI21" s="189">
        <v>0</v>
      </c>
      <c r="CJ21" s="189">
        <v>0</v>
      </c>
      <c r="CK21" s="189">
        <v>0</v>
      </c>
      <c r="CL21" s="189">
        <f t="shared" si="66"/>
        <v>0</v>
      </c>
      <c r="CM21" s="189">
        <f t="shared" si="33"/>
        <v>0</v>
      </c>
      <c r="CN21" s="189">
        <f>SUMIF(BZ$2:CK$2,1,BZ21:CK21)</f>
        <v>0</v>
      </c>
      <c r="CP21" s="595" t="e">
        <f t="shared" si="35"/>
        <v>#DIV/0!</v>
      </c>
      <c r="CQ21" s="594" t="e">
        <f t="shared" si="36"/>
        <v>#DIV/0!</v>
      </c>
    </row>
    <row r="22" spans="1:95">
      <c r="A22" s="175" t="s">
        <v>266</v>
      </c>
      <c r="B22" s="65" t="s">
        <v>268</v>
      </c>
      <c r="C22" s="174">
        <f t="shared" si="37"/>
        <v>0</v>
      </c>
      <c r="D22" s="174">
        <f t="shared" si="9"/>
        <v>0</v>
      </c>
      <c r="E22" s="174">
        <f t="shared" si="10"/>
        <v>0</v>
      </c>
      <c r="F22" s="174">
        <f t="shared" si="11"/>
        <v>0</v>
      </c>
      <c r="G22" s="174">
        <f t="shared" si="12"/>
        <v>0</v>
      </c>
      <c r="H22" s="174">
        <f t="shared" si="13"/>
        <v>0</v>
      </c>
      <c r="I22" s="174">
        <f t="shared" si="14"/>
        <v>0</v>
      </c>
      <c r="J22" s="174">
        <f t="shared" si="15"/>
        <v>-800</v>
      </c>
      <c r="K22" s="174">
        <f t="shared" si="16"/>
        <v>0</v>
      </c>
      <c r="L22" s="174">
        <f t="shared" si="17"/>
        <v>-800</v>
      </c>
      <c r="M22" s="174">
        <f t="shared" si="18"/>
        <v>0</v>
      </c>
      <c r="N22" s="174">
        <f t="shared" si="19"/>
        <v>0</v>
      </c>
      <c r="O22" s="69">
        <f t="shared" si="20"/>
        <v>-1600</v>
      </c>
      <c r="S22" s="175" t="s">
        <v>266</v>
      </c>
      <c r="T22" s="65" t="s">
        <v>268</v>
      </c>
      <c r="U22" s="224" t="e">
        <f t="shared" si="45"/>
        <v>#DIV/0!</v>
      </c>
      <c r="V22" s="224" t="e">
        <f t="shared" si="21"/>
        <v>#DIV/0!</v>
      </c>
      <c r="W22" s="224" t="e">
        <f t="shared" si="22"/>
        <v>#DIV/0!</v>
      </c>
      <c r="X22" s="224" t="e">
        <f t="shared" si="23"/>
        <v>#DIV/0!</v>
      </c>
      <c r="Y22" s="224" t="e">
        <f t="shared" si="24"/>
        <v>#DIV/0!</v>
      </c>
      <c r="Z22" s="224" t="e">
        <f t="shared" si="25"/>
        <v>#DIV/0!</v>
      </c>
      <c r="AA22" s="224" t="e">
        <f t="shared" si="26"/>
        <v>#DIV/0!</v>
      </c>
      <c r="AB22" s="224">
        <f t="shared" si="27"/>
        <v>0</v>
      </c>
      <c r="AC22" s="224" t="e">
        <f t="shared" si="28"/>
        <v>#DIV/0!</v>
      </c>
      <c r="AD22" s="224">
        <f t="shared" si="29"/>
        <v>0</v>
      </c>
      <c r="AE22" s="224" t="e">
        <f t="shared" si="30"/>
        <v>#DIV/0!</v>
      </c>
      <c r="AF22" s="224" t="e">
        <f t="shared" si="31"/>
        <v>#DIV/0!</v>
      </c>
      <c r="AG22" s="228">
        <f t="shared" si="38"/>
        <v>0</v>
      </c>
      <c r="AH22" s="228"/>
      <c r="AI22" s="228"/>
      <c r="AK22" s="175" t="s">
        <v>266</v>
      </c>
      <c r="AL22" s="65" t="s">
        <v>268</v>
      </c>
      <c r="AM22" s="174">
        <v>0</v>
      </c>
      <c r="AN22" s="174">
        <v>0</v>
      </c>
      <c r="AO22" s="174">
        <v>0</v>
      </c>
      <c r="AP22" s="174">
        <v>0</v>
      </c>
      <c r="AQ22" s="174">
        <v>0</v>
      </c>
      <c r="AR22" s="174">
        <v>0</v>
      </c>
      <c r="AS22" s="174">
        <v>0</v>
      </c>
      <c r="AT22" s="174"/>
      <c r="AU22" s="174"/>
      <c r="AV22" s="174"/>
      <c r="AW22" s="174"/>
      <c r="AX22" s="174"/>
      <c r="AY22" s="69">
        <f t="shared" si="39"/>
        <v>0</v>
      </c>
      <c r="AZ22" s="69">
        <f t="shared" si="40"/>
        <v>0</v>
      </c>
      <c r="BA22" s="69">
        <f t="shared" si="41"/>
        <v>0</v>
      </c>
      <c r="BC22" s="175" t="s">
        <v>266</v>
      </c>
      <c r="BD22" s="65" t="s">
        <v>268</v>
      </c>
      <c r="BE22" s="69">
        <f t="shared" ref="BE22:BP22" si="97">BE55*BE83</f>
        <v>0</v>
      </c>
      <c r="BF22" s="69">
        <f t="shared" si="97"/>
        <v>0</v>
      </c>
      <c r="BG22" s="69">
        <f t="shared" si="97"/>
        <v>0</v>
      </c>
      <c r="BH22" s="69">
        <f t="shared" si="97"/>
        <v>0</v>
      </c>
      <c r="BI22" s="69">
        <f t="shared" si="97"/>
        <v>0</v>
      </c>
      <c r="BJ22" s="69">
        <f t="shared" si="97"/>
        <v>0</v>
      </c>
      <c r="BK22" s="69">
        <f t="shared" si="97"/>
        <v>0</v>
      </c>
      <c r="BL22" s="69">
        <f t="shared" si="97"/>
        <v>800</v>
      </c>
      <c r="BM22" s="69">
        <f t="shared" si="97"/>
        <v>0</v>
      </c>
      <c r="BN22" s="69">
        <f t="shared" si="97"/>
        <v>800</v>
      </c>
      <c r="BO22" s="69">
        <f t="shared" si="97"/>
        <v>0</v>
      </c>
      <c r="BP22" s="69">
        <f t="shared" si="97"/>
        <v>0</v>
      </c>
      <c r="BQ22" s="69">
        <f t="shared" si="47"/>
        <v>1600</v>
      </c>
      <c r="BR22" s="69">
        <f t="shared" si="43"/>
        <v>0</v>
      </c>
      <c r="BS22" s="69">
        <f t="shared" si="44"/>
        <v>0</v>
      </c>
      <c r="BT22" s="180"/>
      <c r="BX22" s="196" t="s">
        <v>266</v>
      </c>
      <c r="BY22" s="65" t="s">
        <v>268</v>
      </c>
      <c r="BZ22" s="189">
        <v>0</v>
      </c>
      <c r="CA22" s="189">
        <v>0</v>
      </c>
      <c r="CB22" s="189">
        <v>0</v>
      </c>
      <c r="CC22" s="189">
        <v>0</v>
      </c>
      <c r="CD22" s="189">
        <v>0</v>
      </c>
      <c r="CE22" s="189">
        <v>0</v>
      </c>
      <c r="CF22" s="189">
        <v>0</v>
      </c>
      <c r="CG22" s="189">
        <v>0</v>
      </c>
      <c r="CH22" s="189">
        <v>0</v>
      </c>
      <c r="CI22" s="189">
        <v>0</v>
      </c>
      <c r="CJ22" s="189">
        <v>0</v>
      </c>
      <c r="CK22" s="189">
        <v>0</v>
      </c>
      <c r="CL22" s="189">
        <f t="shared" si="66"/>
        <v>0</v>
      </c>
      <c r="CM22" s="189">
        <f t="shared" si="33"/>
        <v>0</v>
      </c>
      <c r="CN22" s="189">
        <f>SUMIF(BZ$2:CK$2,1,BZ22:CK22)</f>
        <v>0</v>
      </c>
      <c r="CP22" s="595" t="e">
        <f t="shared" si="35"/>
        <v>#DIV/0!</v>
      </c>
      <c r="CQ22" s="594" t="e">
        <f t="shared" si="36"/>
        <v>#DIV/0!</v>
      </c>
    </row>
    <row r="23" spans="1:95">
      <c r="A23" s="178" t="s">
        <v>266</v>
      </c>
      <c r="B23" s="178" t="s">
        <v>162</v>
      </c>
      <c r="C23" s="179">
        <f t="shared" si="37"/>
        <v>0</v>
      </c>
      <c r="D23" s="179">
        <f t="shared" si="9"/>
        <v>0</v>
      </c>
      <c r="E23" s="179">
        <f t="shared" si="10"/>
        <v>0</v>
      </c>
      <c r="F23" s="179">
        <f t="shared" si="11"/>
        <v>0</v>
      </c>
      <c r="G23" s="179">
        <f t="shared" si="12"/>
        <v>0</v>
      </c>
      <c r="H23" s="179">
        <f t="shared" si="13"/>
        <v>0</v>
      </c>
      <c r="I23" s="179">
        <f t="shared" si="14"/>
        <v>-800</v>
      </c>
      <c r="J23" s="179">
        <f t="shared" si="15"/>
        <v>-3632.7999999999997</v>
      </c>
      <c r="K23" s="179">
        <f t="shared" si="16"/>
        <v>-2684.2751999999996</v>
      </c>
      <c r="L23" s="179">
        <f t="shared" si="17"/>
        <v>-4117.8357759999999</v>
      </c>
      <c r="M23" s="179">
        <f t="shared" si="18"/>
        <v>-3000.3685631999997</v>
      </c>
      <c r="N23" s="179">
        <f t="shared" si="19"/>
        <v>-3102.5869240319994</v>
      </c>
      <c r="O23" s="179">
        <f t="shared" si="20"/>
        <v>-17337.866463232</v>
      </c>
      <c r="P23" s="179"/>
      <c r="Q23" s="179"/>
      <c r="S23" s="178" t="s">
        <v>266</v>
      </c>
      <c r="T23" s="178" t="s">
        <v>162</v>
      </c>
      <c r="U23" s="227" t="e">
        <f t="shared" si="45"/>
        <v>#DIV/0!</v>
      </c>
      <c r="V23" s="227" t="e">
        <f t="shared" si="21"/>
        <v>#DIV/0!</v>
      </c>
      <c r="W23" s="227" t="e">
        <f t="shared" si="22"/>
        <v>#DIV/0!</v>
      </c>
      <c r="X23" s="227" t="e">
        <f t="shared" si="23"/>
        <v>#DIV/0!</v>
      </c>
      <c r="Y23" s="227" t="e">
        <f t="shared" si="24"/>
        <v>#DIV/0!</v>
      </c>
      <c r="Z23" s="227" t="e">
        <f t="shared" si="25"/>
        <v>#DIV/0!</v>
      </c>
      <c r="AA23" s="227">
        <f t="shared" si="26"/>
        <v>0</v>
      </c>
      <c r="AB23" s="227">
        <f t="shared" si="27"/>
        <v>0</v>
      </c>
      <c r="AC23" s="227">
        <f t="shared" si="28"/>
        <v>0</v>
      </c>
      <c r="AD23" s="227">
        <f t="shared" si="29"/>
        <v>0</v>
      </c>
      <c r="AE23" s="227">
        <f t="shared" si="30"/>
        <v>0</v>
      </c>
      <c r="AF23" s="227">
        <f t="shared" si="31"/>
        <v>0</v>
      </c>
      <c r="AG23" s="227">
        <f t="shared" si="38"/>
        <v>0</v>
      </c>
      <c r="AH23" s="227"/>
      <c r="AI23" s="227"/>
      <c r="AK23" s="178" t="s">
        <v>266</v>
      </c>
      <c r="AL23" s="178" t="s">
        <v>162</v>
      </c>
      <c r="AM23" s="179">
        <f>SUM(AM20:AM22)</f>
        <v>0</v>
      </c>
      <c r="AN23" s="179">
        <f t="shared" ref="AN23" si="98">SUM(AN20:AN22)</f>
        <v>0</v>
      </c>
      <c r="AO23" s="179">
        <f t="shared" ref="AO23" si="99">SUM(AO20:AO22)</f>
        <v>0</v>
      </c>
      <c r="AP23" s="179">
        <f t="shared" ref="AP23" si="100">SUM(AP20:AP22)</f>
        <v>0</v>
      </c>
      <c r="AQ23" s="179">
        <f t="shared" ref="AQ23" si="101">SUM(AQ20:AQ22)</f>
        <v>0</v>
      </c>
      <c r="AR23" s="179">
        <f t="shared" ref="AR23" si="102">SUM(AR20:AR22)</f>
        <v>0</v>
      </c>
      <c r="AS23" s="179">
        <f t="shared" ref="AS23" si="103">SUM(AS20:AS22)</f>
        <v>0</v>
      </c>
      <c r="AT23" s="179">
        <f t="shared" ref="AT23" si="104">SUM(AT20:AT22)</f>
        <v>0</v>
      </c>
      <c r="AU23" s="179">
        <f t="shared" ref="AU23" si="105">SUM(AU20:AU22)</f>
        <v>0</v>
      </c>
      <c r="AV23" s="179">
        <f t="shared" ref="AV23" si="106">SUM(AV20:AV22)</f>
        <v>0</v>
      </c>
      <c r="AW23" s="179">
        <f t="shared" ref="AW23" si="107">SUM(AW20:AW22)</f>
        <v>0</v>
      </c>
      <c r="AX23" s="179">
        <f t="shared" ref="AX23" si="108">SUM(AX20:AX22)</f>
        <v>0</v>
      </c>
      <c r="AY23" s="179">
        <f t="shared" si="39"/>
        <v>0</v>
      </c>
      <c r="AZ23" s="179">
        <f t="shared" si="40"/>
        <v>0</v>
      </c>
      <c r="BA23" s="179">
        <f t="shared" si="41"/>
        <v>0</v>
      </c>
      <c r="BC23" s="178" t="s">
        <v>266</v>
      </c>
      <c r="BD23" s="178" t="s">
        <v>162</v>
      </c>
      <c r="BE23" s="179">
        <f>SUM(BE20:BE22)</f>
        <v>0</v>
      </c>
      <c r="BF23" s="179">
        <f t="shared" ref="BF23:BP23" si="109">SUM(BF20:BF22)</f>
        <v>0</v>
      </c>
      <c r="BG23" s="179">
        <f t="shared" si="109"/>
        <v>0</v>
      </c>
      <c r="BH23" s="179">
        <f t="shared" si="109"/>
        <v>0</v>
      </c>
      <c r="BI23" s="179">
        <f t="shared" si="109"/>
        <v>0</v>
      </c>
      <c r="BJ23" s="179">
        <f t="shared" si="109"/>
        <v>0</v>
      </c>
      <c r="BK23" s="179">
        <f t="shared" si="109"/>
        <v>800</v>
      </c>
      <c r="BL23" s="179">
        <f t="shared" si="109"/>
        <v>3632.7999999999997</v>
      </c>
      <c r="BM23" s="179">
        <f t="shared" si="109"/>
        <v>2684.2751999999996</v>
      </c>
      <c r="BN23" s="179">
        <f t="shared" si="109"/>
        <v>4117.8357759999999</v>
      </c>
      <c r="BO23" s="179">
        <f t="shared" si="109"/>
        <v>3000.3685631999997</v>
      </c>
      <c r="BP23" s="179">
        <f t="shared" si="109"/>
        <v>3102.5869240319994</v>
      </c>
      <c r="BQ23" s="179">
        <f t="shared" si="47"/>
        <v>17337.866463232</v>
      </c>
      <c r="BR23" s="179">
        <f t="shared" si="43"/>
        <v>800</v>
      </c>
      <c r="BS23" s="179">
        <f t="shared" si="44"/>
        <v>800</v>
      </c>
      <c r="BT23" s="180"/>
      <c r="BV23" s="219">
        <f>BQ23/$BQ$34</f>
        <v>5.0994746237318152E-2</v>
      </c>
      <c r="BX23" s="197" t="s">
        <v>266</v>
      </c>
      <c r="BY23" s="197" t="s">
        <v>162</v>
      </c>
      <c r="BZ23" s="198">
        <f t="shared" ref="BZ23:CK23" si="110">SUM(BZ20:BZ22)</f>
        <v>0</v>
      </c>
      <c r="CA23" s="198">
        <f t="shared" si="110"/>
        <v>0</v>
      </c>
      <c r="CB23" s="198">
        <f t="shared" si="110"/>
        <v>0</v>
      </c>
      <c r="CC23" s="198">
        <f t="shared" si="110"/>
        <v>0</v>
      </c>
      <c r="CD23" s="198">
        <f t="shared" si="110"/>
        <v>0</v>
      </c>
      <c r="CE23" s="198">
        <f t="shared" si="110"/>
        <v>0</v>
      </c>
      <c r="CF23" s="198">
        <f t="shared" si="110"/>
        <v>0</v>
      </c>
      <c r="CG23" s="198">
        <f t="shared" si="110"/>
        <v>0</v>
      </c>
      <c r="CH23" s="198">
        <f t="shared" si="110"/>
        <v>0</v>
      </c>
      <c r="CI23" s="198">
        <f t="shared" si="110"/>
        <v>0</v>
      </c>
      <c r="CJ23" s="198">
        <f t="shared" si="110"/>
        <v>0</v>
      </c>
      <c r="CK23" s="198">
        <f t="shared" si="110"/>
        <v>0</v>
      </c>
      <c r="CL23" s="198">
        <f t="shared" si="66"/>
        <v>0</v>
      </c>
      <c r="CM23" s="198">
        <f t="shared" si="33"/>
        <v>0</v>
      </c>
      <c r="CN23" s="198">
        <f>SUMIF(CA$2:CL$2,1,CA23:CL23)</f>
        <v>0</v>
      </c>
      <c r="CP23" s="595" t="e">
        <f t="shared" si="35"/>
        <v>#DIV/0!</v>
      </c>
      <c r="CQ23" s="594" t="e">
        <f t="shared" si="36"/>
        <v>#DIV/0!</v>
      </c>
    </row>
    <row r="24" spans="1:95">
      <c r="A24" s="188" t="s">
        <v>269</v>
      </c>
      <c r="B24" s="188" t="s">
        <v>260</v>
      </c>
      <c r="C24" s="192">
        <f t="shared" si="37"/>
        <v>1449.0886399999995</v>
      </c>
      <c r="D24" s="192">
        <f t="shared" si="9"/>
        <v>247.64863999999898</v>
      </c>
      <c r="E24" s="192">
        <f t="shared" si="10"/>
        <v>320.20863999999892</v>
      </c>
      <c r="F24" s="192">
        <f t="shared" si="11"/>
        <v>-64.391360000000986</v>
      </c>
      <c r="G24" s="192">
        <f t="shared" si="12"/>
        <v>-113.91136000000051</v>
      </c>
      <c r="H24" s="192">
        <f t="shared" si="13"/>
        <v>2935.1286399999995</v>
      </c>
      <c r="I24" s="192">
        <f t="shared" si="14"/>
        <v>-68.231360000001132</v>
      </c>
      <c r="J24" s="192">
        <f t="shared" si="15"/>
        <v>-2738.9913600000004</v>
      </c>
      <c r="K24" s="192">
        <f t="shared" si="16"/>
        <v>-2234.7548800000013</v>
      </c>
      <c r="L24" s="192">
        <f t="shared" si="17"/>
        <v>-2234.7548800000013</v>
      </c>
      <c r="M24" s="192">
        <f t="shared" si="18"/>
        <v>-2234.7548800000013</v>
      </c>
      <c r="N24" s="192">
        <f t="shared" si="19"/>
        <v>-2234.7548800000013</v>
      </c>
      <c r="O24" s="189">
        <f t="shared" si="20"/>
        <v>-6972.4704000000092</v>
      </c>
      <c r="P24" s="189"/>
      <c r="Q24" s="189"/>
      <c r="R24" s="188"/>
      <c r="S24" s="188" t="s">
        <v>269</v>
      </c>
      <c r="T24" s="188" t="s">
        <v>260</v>
      </c>
      <c r="U24" s="222">
        <f t="shared" ref="U24:AG28" si="111">AM24/BE24</f>
        <v>1.5290592227351893</v>
      </c>
      <c r="V24" s="222">
        <f t="shared" si="111"/>
        <v>1.0904159989756226</v>
      </c>
      <c r="W24" s="222">
        <f t="shared" si="111"/>
        <v>1.1169075027677338</v>
      </c>
      <c r="X24" s="222">
        <f t="shared" si="111"/>
        <v>0.97649084953666998</v>
      </c>
      <c r="Y24" s="222">
        <f t="shared" si="111"/>
        <v>0.95841120141393932</v>
      </c>
      <c r="Z24" s="222">
        <f t="shared" si="111"/>
        <v>2.0716093094941339</v>
      </c>
      <c r="AA24" s="222">
        <f t="shared" si="111"/>
        <v>0.97508887359177321</v>
      </c>
      <c r="AB24" s="222">
        <f t="shared" si="111"/>
        <v>0</v>
      </c>
      <c r="AC24" s="222">
        <f t="shared" si="111"/>
        <v>0</v>
      </c>
      <c r="AD24" s="222">
        <f t="shared" si="111"/>
        <v>0</v>
      </c>
      <c r="AE24" s="222">
        <f t="shared" si="111"/>
        <v>0</v>
      </c>
      <c r="AF24" s="222">
        <f t="shared" si="111"/>
        <v>0</v>
      </c>
      <c r="AG24" s="201">
        <f t="shared" si="111"/>
        <v>0.77399495608407554</v>
      </c>
      <c r="AH24" s="201"/>
      <c r="AI24" s="201"/>
      <c r="AJ24" s="188"/>
      <c r="AK24" s="188" t="s">
        <v>269</v>
      </c>
      <c r="AL24" s="188" t="s">
        <v>260</v>
      </c>
      <c r="AM24" s="192">
        <v>4188.08</v>
      </c>
      <c r="AN24" s="192">
        <v>2986.6399999999994</v>
      </c>
      <c r="AO24" s="192">
        <v>3059.1999999999994</v>
      </c>
      <c r="AP24" s="192">
        <v>2674.5999999999995</v>
      </c>
      <c r="AQ24" s="192">
        <v>2625.08</v>
      </c>
      <c r="AR24" s="192">
        <v>5674.12</v>
      </c>
      <c r="AS24" s="192">
        <v>2670.7599999999993</v>
      </c>
      <c r="AT24" s="192"/>
      <c r="AU24" s="192"/>
      <c r="AV24" s="192"/>
      <c r="AW24" s="192"/>
      <c r="AX24" s="192"/>
      <c r="AY24" s="189">
        <f>SUM(AM24:AX24)</f>
        <v>23878.479999999996</v>
      </c>
      <c r="AZ24" s="189">
        <f t="shared" si="40"/>
        <v>23878.479999999996</v>
      </c>
      <c r="BA24" s="189">
        <f t="shared" si="41"/>
        <v>2670.7599999999993</v>
      </c>
      <c r="BB24" s="188"/>
      <c r="BC24" s="188" t="s">
        <v>269</v>
      </c>
      <c r="BD24" s="188" t="s">
        <v>260</v>
      </c>
      <c r="BE24" s="189">
        <f t="shared" ref="BE24:BG24" si="112">BE57*BE85</f>
        <v>2738.9913600000004</v>
      </c>
      <c r="BF24" s="189">
        <f t="shared" si="112"/>
        <v>2738.9913600000004</v>
      </c>
      <c r="BG24" s="189">
        <f t="shared" si="112"/>
        <v>2738.9913600000004</v>
      </c>
      <c r="BH24" s="189">
        <f t="shared" ref="BH24:BL24" si="113">BH57*BH85</f>
        <v>2738.9913600000004</v>
      </c>
      <c r="BI24" s="189">
        <f t="shared" si="113"/>
        <v>2738.9913600000004</v>
      </c>
      <c r="BJ24" s="189">
        <f t="shared" si="113"/>
        <v>2738.9913600000004</v>
      </c>
      <c r="BK24" s="189">
        <f t="shared" si="113"/>
        <v>2738.9913600000004</v>
      </c>
      <c r="BL24" s="189">
        <f t="shared" si="113"/>
        <v>2738.9913600000004</v>
      </c>
      <c r="BM24" s="189">
        <v>2234.7548800000013</v>
      </c>
      <c r="BN24" s="189">
        <v>2234.7548800000013</v>
      </c>
      <c r="BO24" s="189">
        <v>2234.7548800000013</v>
      </c>
      <c r="BP24" s="189">
        <v>2234.7548800000013</v>
      </c>
      <c r="BQ24" s="189">
        <f>SUM(BE24:BP24)</f>
        <v>30850.950400000005</v>
      </c>
      <c r="BR24" s="189">
        <f t="shared" si="43"/>
        <v>19172.939520000004</v>
      </c>
      <c r="BS24" s="189">
        <f t="shared" si="44"/>
        <v>2738.9913600000004</v>
      </c>
      <c r="BT24" s="189">
        <v>29606.6</v>
      </c>
      <c r="BU24" s="70">
        <f t="shared" ref="BU24:BU34" si="114">BQ24-BT24</f>
        <v>1244.3504000000066</v>
      </c>
      <c r="BV24" s="188"/>
      <c r="BW24" s="188"/>
      <c r="BX24" s="188" t="s">
        <v>270</v>
      </c>
      <c r="BY24" s="188" t="s">
        <v>260</v>
      </c>
      <c r="BZ24" s="189">
        <v>1653.0799999999997</v>
      </c>
      <c r="CA24" s="189">
        <v>1795.6399999999999</v>
      </c>
      <c r="CB24" s="189">
        <v>1701.5599999999997</v>
      </c>
      <c r="CC24" s="189">
        <v>1663.1599999999999</v>
      </c>
      <c r="CD24" s="189">
        <v>4662.6799999999994</v>
      </c>
      <c r="CE24" s="189">
        <v>1664.1199999999997</v>
      </c>
      <c r="CF24" s="189">
        <v>3253.08</v>
      </c>
      <c r="CG24" s="189">
        <v>1702.9999999999998</v>
      </c>
      <c r="CH24" s="189">
        <v>3089.0799999999995</v>
      </c>
      <c r="CI24" s="189">
        <v>2426.4</v>
      </c>
      <c r="CJ24" s="189">
        <v>2845.5199999999995</v>
      </c>
      <c r="CK24" s="189">
        <v>3149.2799999999997</v>
      </c>
      <c r="CL24" s="220">
        <f t="shared" si="66"/>
        <v>29606.6</v>
      </c>
      <c r="CM24" s="189">
        <f t="shared" si="33"/>
        <v>13140.239999999998</v>
      </c>
      <c r="CN24" s="189">
        <f>SUMIF(BZ$2:CK$2,1,BZ24:CK24)</f>
        <v>1664.1199999999997</v>
      </c>
      <c r="CP24" s="595">
        <f t="shared" si="35"/>
        <v>1.8172027299349174</v>
      </c>
      <c r="CQ24" s="594">
        <f t="shared" si="36"/>
        <v>1.6049082998822199</v>
      </c>
    </row>
    <row r="25" spans="1:95">
      <c r="A25" s="196" t="s">
        <v>269</v>
      </c>
      <c r="B25" s="188" t="s">
        <v>24</v>
      </c>
      <c r="C25" s="192">
        <f t="shared" si="37"/>
        <v>-210.88591636363617</v>
      </c>
      <c r="D25" s="192">
        <f t="shared" si="9"/>
        <v>-924.13300727272781</v>
      </c>
      <c r="E25" s="192">
        <f t="shared" si="10"/>
        <v>-260.32746181818084</v>
      </c>
      <c r="F25" s="192">
        <f t="shared" si="11"/>
        <v>-146.91155272727246</v>
      </c>
      <c r="G25" s="192">
        <f t="shared" si="12"/>
        <v>-649.49827999999934</v>
      </c>
      <c r="H25" s="192">
        <f t="shared" si="13"/>
        <v>-144.4315527272729</v>
      </c>
      <c r="I25" s="192">
        <f t="shared" si="14"/>
        <v>-276.84764363636032</v>
      </c>
      <c r="J25" s="192">
        <f t="shared" si="15"/>
        <v>-4355.0812800000003</v>
      </c>
      <c r="K25" s="192">
        <f t="shared" si="16"/>
        <v>-4355.0812800000003</v>
      </c>
      <c r="L25" s="192">
        <f t="shared" si="17"/>
        <v>-4355.0812800000003</v>
      </c>
      <c r="M25" s="192">
        <f t="shared" si="18"/>
        <v>-4355.0812800000003</v>
      </c>
      <c r="N25" s="192">
        <f t="shared" si="19"/>
        <v>-4355.0812800000003</v>
      </c>
      <c r="O25" s="189">
        <f t="shared" si="20"/>
        <v>-24388.441814545437</v>
      </c>
      <c r="P25" s="189"/>
      <c r="Q25" s="189"/>
      <c r="R25" s="188"/>
      <c r="S25" s="196" t="s">
        <v>269</v>
      </c>
      <c r="T25" s="188" t="s">
        <v>24</v>
      </c>
      <c r="U25" s="222">
        <f t="shared" si="111"/>
        <v>0.95157704235461793</v>
      </c>
      <c r="V25" s="222">
        <f t="shared" si="111"/>
        <v>0.7878034994394576</v>
      </c>
      <c r="W25" s="222">
        <f t="shared" si="111"/>
        <v>0.94022443093916708</v>
      </c>
      <c r="X25" s="222">
        <f t="shared" si="111"/>
        <v>0.9662666335524116</v>
      </c>
      <c r="Y25" s="222">
        <f t="shared" si="111"/>
        <v>0.85086425757821926</v>
      </c>
      <c r="Z25" s="222">
        <f t="shared" si="111"/>
        <v>0.96683608331478188</v>
      </c>
      <c r="AA25" s="222">
        <f t="shared" si="111"/>
        <v>0.93643111899937714</v>
      </c>
      <c r="AB25" s="222">
        <f t="shared" si="111"/>
        <v>0</v>
      </c>
      <c r="AC25" s="222">
        <f t="shared" si="111"/>
        <v>0</v>
      </c>
      <c r="AD25" s="222">
        <f t="shared" si="111"/>
        <v>0</v>
      </c>
      <c r="AE25" s="222">
        <f t="shared" si="111"/>
        <v>0</v>
      </c>
      <c r="AF25" s="222">
        <f t="shared" si="111"/>
        <v>0</v>
      </c>
      <c r="AG25" s="201">
        <f t="shared" si="111"/>
        <v>0.5333335888481695</v>
      </c>
      <c r="AH25" s="201"/>
      <c r="AI25" s="201"/>
      <c r="AJ25" s="188"/>
      <c r="AK25" s="196" t="s">
        <v>269</v>
      </c>
      <c r="AL25" s="188" t="s">
        <v>24</v>
      </c>
      <c r="AM25" s="192">
        <v>4144.1953636363642</v>
      </c>
      <c r="AN25" s="192">
        <v>3430.9482727272725</v>
      </c>
      <c r="AO25" s="192">
        <v>4094.7538181818195</v>
      </c>
      <c r="AP25" s="192">
        <v>4208.1697272727279</v>
      </c>
      <c r="AQ25" s="192">
        <v>3705.583000000001</v>
      </c>
      <c r="AR25" s="192">
        <v>4210.6497272727274</v>
      </c>
      <c r="AS25" s="192">
        <v>4078.23363636364</v>
      </c>
      <c r="AT25" s="192"/>
      <c r="AU25" s="192"/>
      <c r="AV25" s="192"/>
      <c r="AW25" s="192"/>
      <c r="AX25" s="192"/>
      <c r="AY25" s="189">
        <f>SUM(AM25:AX25)</f>
        <v>27872.533545454553</v>
      </c>
      <c r="AZ25" s="189">
        <f t="shared" si="40"/>
        <v>27872.533545454553</v>
      </c>
      <c r="BA25" s="189">
        <f t="shared" si="41"/>
        <v>4078.23363636364</v>
      </c>
      <c r="BB25" s="188"/>
      <c r="BC25" s="196" t="s">
        <v>269</v>
      </c>
      <c r="BD25" s="188" t="s">
        <v>24</v>
      </c>
      <c r="BE25" s="189">
        <f>BE58*BE86</f>
        <v>4355.0812800000003</v>
      </c>
      <c r="BF25" s="189">
        <f t="shared" ref="BF25:BP25" si="115">BF58*BF86</f>
        <v>4355.0812800000003</v>
      </c>
      <c r="BG25" s="189">
        <f t="shared" si="115"/>
        <v>4355.0812800000003</v>
      </c>
      <c r="BH25" s="189">
        <f t="shared" si="115"/>
        <v>4355.0812800000003</v>
      </c>
      <c r="BI25" s="189">
        <f t="shared" si="115"/>
        <v>4355.0812800000003</v>
      </c>
      <c r="BJ25" s="189">
        <f t="shared" si="115"/>
        <v>4355.0812800000003</v>
      </c>
      <c r="BK25" s="189">
        <f t="shared" si="115"/>
        <v>4355.0812800000003</v>
      </c>
      <c r="BL25" s="189">
        <f t="shared" si="115"/>
        <v>4355.0812800000003</v>
      </c>
      <c r="BM25" s="189">
        <f t="shared" si="115"/>
        <v>4355.0812800000003</v>
      </c>
      <c r="BN25" s="189">
        <f t="shared" si="115"/>
        <v>4355.0812800000003</v>
      </c>
      <c r="BO25" s="189">
        <f t="shared" si="115"/>
        <v>4355.0812800000003</v>
      </c>
      <c r="BP25" s="189">
        <f t="shared" si="115"/>
        <v>4355.0812800000003</v>
      </c>
      <c r="BQ25" s="189">
        <f>SUM(BE25:BP25)</f>
        <v>52260.975359999989</v>
      </c>
      <c r="BR25" s="189">
        <f t="shared" si="43"/>
        <v>30485.568959999997</v>
      </c>
      <c r="BS25" s="189">
        <f t="shared" si="44"/>
        <v>4355.0812800000003</v>
      </c>
      <c r="BT25" s="220">
        <v>80512.554000000004</v>
      </c>
      <c r="BU25" s="221">
        <f t="shared" si="114"/>
        <v>-28251.578640000014</v>
      </c>
      <c r="BV25" s="188"/>
      <c r="BW25" s="188"/>
      <c r="BX25" s="196" t="s">
        <v>270</v>
      </c>
      <c r="BY25" s="188" t="s">
        <v>24</v>
      </c>
      <c r="BZ25" s="189">
        <v>3046.4281818181798</v>
      </c>
      <c r="CA25" s="189">
        <v>3283.37</v>
      </c>
      <c r="CB25" s="189">
        <v>2928.5372727272702</v>
      </c>
      <c r="CC25" s="189">
        <v>3252.5918181818201</v>
      </c>
      <c r="CD25" s="189">
        <v>3174.21727272727</v>
      </c>
      <c r="CE25" s="189">
        <v>2978.9481818181798</v>
      </c>
      <c r="CF25" s="189">
        <v>3401.8809090909099</v>
      </c>
      <c r="CG25" s="189">
        <v>2881.3081818181799</v>
      </c>
      <c r="CH25" s="189">
        <v>3017.3236363636402</v>
      </c>
      <c r="CI25" s="189">
        <v>2521.8200000000002</v>
      </c>
      <c r="CJ25" s="189">
        <v>2485.7745454545502</v>
      </c>
      <c r="CK25" s="189">
        <v>2625.4127272727301</v>
      </c>
      <c r="CL25" s="220">
        <f t="shared" si="66"/>
        <v>35597.612727272724</v>
      </c>
      <c r="CM25" s="189">
        <f t="shared" si="33"/>
        <v>18664.09272727272</v>
      </c>
      <c r="CN25" s="189">
        <f>SUMIF(BZ$2:CK$2,1,BZ25:CK25)</f>
        <v>2978.9481818181798</v>
      </c>
      <c r="CP25" s="595">
        <f t="shared" si="35"/>
        <v>1.4933773611575605</v>
      </c>
      <c r="CQ25" s="594">
        <f t="shared" si="36"/>
        <v>1.3690179846883135</v>
      </c>
    </row>
    <row r="26" spans="1:95">
      <c r="A26" s="196" t="s">
        <v>269</v>
      </c>
      <c r="B26" s="188" t="s">
        <v>262</v>
      </c>
      <c r="C26" s="192">
        <f t="shared" si="37"/>
        <v>5.0218981818181589</v>
      </c>
      <c r="D26" s="192">
        <f t="shared" si="9"/>
        <v>20.030989090908719</v>
      </c>
      <c r="E26" s="192">
        <f t="shared" si="10"/>
        <v>15.008261818181978</v>
      </c>
      <c r="F26" s="192">
        <f t="shared" si="11"/>
        <v>35.208261818181512</v>
      </c>
      <c r="G26" s="192">
        <f t="shared" si="12"/>
        <v>-37.700829090909224</v>
      </c>
      <c r="H26" s="192">
        <f t="shared" si="13"/>
        <v>-63.709465454545551</v>
      </c>
      <c r="I26" s="192">
        <f t="shared" si="14"/>
        <v>-163.72909090909098</v>
      </c>
      <c r="J26" s="192">
        <f t="shared" si="15"/>
        <v>-320.32</v>
      </c>
      <c r="K26" s="192">
        <f t="shared" si="16"/>
        <v>-320.32</v>
      </c>
      <c r="L26" s="192">
        <f t="shared" si="17"/>
        <v>-320.32</v>
      </c>
      <c r="M26" s="192">
        <f t="shared" si="18"/>
        <v>-320.32</v>
      </c>
      <c r="N26" s="192">
        <f t="shared" si="19"/>
        <v>-320.32</v>
      </c>
      <c r="O26" s="189">
        <f t="shared" si="20"/>
        <v>-1791.4699745454557</v>
      </c>
      <c r="P26" s="189"/>
      <c r="Q26" s="189"/>
      <c r="R26" s="188"/>
      <c r="S26" s="196" t="s">
        <v>269</v>
      </c>
      <c r="T26" s="188" t="s">
        <v>262</v>
      </c>
      <c r="U26" s="222">
        <f t="shared" si="111"/>
        <v>1.0227327871098688</v>
      </c>
      <c r="V26" s="222">
        <f t="shared" si="111"/>
        <v>1.0906749189484506</v>
      </c>
      <c r="W26" s="222">
        <f t="shared" si="111"/>
        <v>1.06793837876625</v>
      </c>
      <c r="X26" s="222">
        <f t="shared" si="111"/>
        <v>1.1593783648021849</v>
      </c>
      <c r="Y26" s="222">
        <f t="shared" si="111"/>
        <v>0.82933845120712901</v>
      </c>
      <c r="Z26" s="222">
        <f t="shared" si="111"/>
        <v>0.71160432517224426</v>
      </c>
      <c r="AA26" s="222">
        <f t="shared" si="111"/>
        <v>0.48885773317591474</v>
      </c>
      <c r="AB26" s="222">
        <f t="shared" si="111"/>
        <v>0</v>
      </c>
      <c r="AC26" s="222">
        <f t="shared" si="111"/>
        <v>0</v>
      </c>
      <c r="AD26" s="222">
        <f t="shared" si="111"/>
        <v>0</v>
      </c>
      <c r="AE26" s="222">
        <f t="shared" si="111"/>
        <v>0</v>
      </c>
      <c r="AF26" s="222">
        <f t="shared" si="111"/>
        <v>0</v>
      </c>
      <c r="AG26" s="201">
        <f t="shared" si="111"/>
        <v>0.44833365995193086</v>
      </c>
      <c r="AH26" s="201"/>
      <c r="AI26" s="201"/>
      <c r="AJ26" s="188"/>
      <c r="AK26" s="196" t="s">
        <v>269</v>
      </c>
      <c r="AL26" s="188" t="s">
        <v>262</v>
      </c>
      <c r="AM26" s="192">
        <v>225.93181818181819</v>
      </c>
      <c r="AN26" s="192">
        <v>240.94090909090875</v>
      </c>
      <c r="AO26" s="192">
        <v>235.91818181818201</v>
      </c>
      <c r="AP26" s="192">
        <v>256.11818181818154</v>
      </c>
      <c r="AQ26" s="192">
        <v>183.2090909090908</v>
      </c>
      <c r="AR26" s="192">
        <v>157.20045454545448</v>
      </c>
      <c r="AS26" s="192">
        <v>156.59090909090901</v>
      </c>
      <c r="AT26" s="192"/>
      <c r="AU26" s="192"/>
      <c r="AV26" s="192"/>
      <c r="AW26" s="192"/>
      <c r="AX26" s="192"/>
      <c r="AY26" s="189">
        <f>SUM(AM26:AX26)</f>
        <v>1455.9095454545447</v>
      </c>
      <c r="AZ26" s="189">
        <f t="shared" si="40"/>
        <v>1455.9095454545447</v>
      </c>
      <c r="BA26" s="189">
        <f t="shared" si="41"/>
        <v>156.59090909090901</v>
      </c>
      <c r="BB26" s="188"/>
      <c r="BC26" s="196" t="s">
        <v>269</v>
      </c>
      <c r="BD26" s="188" t="s">
        <v>262</v>
      </c>
      <c r="BE26" s="189">
        <f t="shared" ref="BE26:BP26" si="116">BE59*BE87</f>
        <v>220.90992000000003</v>
      </c>
      <c r="BF26" s="189">
        <f t="shared" si="116"/>
        <v>220.90992000000003</v>
      </c>
      <c r="BG26" s="189">
        <f t="shared" si="116"/>
        <v>220.90992000000003</v>
      </c>
      <c r="BH26" s="189">
        <f t="shared" si="116"/>
        <v>220.90992000000003</v>
      </c>
      <c r="BI26" s="189">
        <f t="shared" si="116"/>
        <v>220.90992000000003</v>
      </c>
      <c r="BJ26" s="189">
        <f t="shared" si="116"/>
        <v>220.90992000000003</v>
      </c>
      <c r="BK26" s="189">
        <f t="shared" si="116"/>
        <v>320.32</v>
      </c>
      <c r="BL26" s="189">
        <f t="shared" si="116"/>
        <v>320.32</v>
      </c>
      <c r="BM26" s="189">
        <f t="shared" si="116"/>
        <v>320.32</v>
      </c>
      <c r="BN26" s="189">
        <f t="shared" si="116"/>
        <v>320.32</v>
      </c>
      <c r="BO26" s="189">
        <f t="shared" si="116"/>
        <v>320.32</v>
      </c>
      <c r="BP26" s="189">
        <f t="shared" si="116"/>
        <v>320.32</v>
      </c>
      <c r="BQ26" s="189">
        <f>SUM(BE26:BP26)</f>
        <v>3247.3795200000004</v>
      </c>
      <c r="BR26" s="189">
        <f t="shared" si="43"/>
        <v>1645.77952</v>
      </c>
      <c r="BS26" s="189">
        <f t="shared" si="44"/>
        <v>320.32</v>
      </c>
      <c r="BT26" s="220">
        <v>814.44500000000005</v>
      </c>
      <c r="BU26" s="221">
        <f t="shared" si="114"/>
        <v>2432.9345200000002</v>
      </c>
      <c r="BV26" s="188"/>
      <c r="BW26" s="188"/>
      <c r="BX26" s="196" t="s">
        <v>270</v>
      </c>
      <c r="BY26" s="188" t="s">
        <v>262</v>
      </c>
      <c r="BZ26" s="189">
        <v>0</v>
      </c>
      <c r="CA26" s="189">
        <v>0</v>
      </c>
      <c r="CB26" s="189">
        <v>0</v>
      </c>
      <c r="CC26" s="189">
        <v>0</v>
      </c>
      <c r="CD26" s="189">
        <v>0</v>
      </c>
      <c r="CE26" s="189">
        <v>0</v>
      </c>
      <c r="CF26" s="189">
        <v>0</v>
      </c>
      <c r="CG26" s="189">
        <v>0</v>
      </c>
      <c r="CH26" s="189">
        <v>0</v>
      </c>
      <c r="CI26" s="189">
        <v>0</v>
      </c>
      <c r="CJ26" s="189">
        <v>0</v>
      </c>
      <c r="CK26" s="189">
        <v>0</v>
      </c>
      <c r="CL26" s="189">
        <f t="shared" si="66"/>
        <v>0</v>
      </c>
      <c r="CM26" s="189">
        <f t="shared" si="33"/>
        <v>0</v>
      </c>
      <c r="CN26" s="189">
        <f>SUMIF(BZ$2:CK$2,1,BZ26:CK26)</f>
        <v>0</v>
      </c>
      <c r="CP26" s="595" t="e">
        <f t="shared" si="35"/>
        <v>#DIV/0!</v>
      </c>
      <c r="CQ26" s="594" t="e">
        <f t="shared" si="36"/>
        <v>#DIV/0!</v>
      </c>
    </row>
    <row r="27" spans="1:95">
      <c r="A27" s="196" t="s">
        <v>269</v>
      </c>
      <c r="B27" s="188" t="s">
        <v>26</v>
      </c>
      <c r="C27" s="192">
        <f t="shared" si="37"/>
        <v>-11.934363636363628</v>
      </c>
      <c r="D27" s="192">
        <f t="shared" si="9"/>
        <v>-36.170727272727277</v>
      </c>
      <c r="E27" s="192">
        <f t="shared" si="10"/>
        <v>-215.02345454545457</v>
      </c>
      <c r="F27" s="192">
        <f t="shared" si="11"/>
        <v>24.880181818181768</v>
      </c>
      <c r="G27" s="192">
        <f t="shared" si="12"/>
        <v>-34.452545454545486</v>
      </c>
      <c r="H27" s="192">
        <f t="shared" si="13"/>
        <v>-36.954363636363723</v>
      </c>
      <c r="I27" s="192">
        <f t="shared" si="14"/>
        <v>-38.772545454545536</v>
      </c>
      <c r="J27" s="192">
        <f t="shared" si="15"/>
        <v>-332.358</v>
      </c>
      <c r="K27" s="192">
        <f t="shared" si="16"/>
        <v>-332.358</v>
      </c>
      <c r="L27" s="192">
        <f t="shared" si="17"/>
        <v>-332.358</v>
      </c>
      <c r="M27" s="192">
        <f t="shared" si="18"/>
        <v>-332.358</v>
      </c>
      <c r="N27" s="192">
        <f t="shared" si="19"/>
        <v>-332.358</v>
      </c>
      <c r="O27" s="189">
        <f t="shared" si="20"/>
        <v>-2010.2178181818192</v>
      </c>
      <c r="P27" s="189"/>
      <c r="Q27" s="189"/>
      <c r="R27" s="188"/>
      <c r="S27" s="196" t="s">
        <v>269</v>
      </c>
      <c r="T27" s="188" t="s">
        <v>26</v>
      </c>
      <c r="U27" s="222">
        <f t="shared" si="111"/>
        <v>0.96409184182007468</v>
      </c>
      <c r="V27" s="222">
        <f t="shared" si="111"/>
        <v>0.89116937978707511</v>
      </c>
      <c r="W27" s="222">
        <f t="shared" si="111"/>
        <v>0.35303662151819853</v>
      </c>
      <c r="X27" s="222">
        <f t="shared" si="111"/>
        <v>1.0748595845990823</v>
      </c>
      <c r="Y27" s="222">
        <f t="shared" si="111"/>
        <v>0.89633905170164252</v>
      </c>
      <c r="Z27" s="222">
        <f t="shared" si="111"/>
        <v>0.88881157174984893</v>
      </c>
      <c r="AA27" s="222">
        <f t="shared" si="111"/>
        <v>0.88334101945930132</v>
      </c>
      <c r="AB27" s="222">
        <f t="shared" si="111"/>
        <v>0</v>
      </c>
      <c r="AC27" s="222">
        <f t="shared" si="111"/>
        <v>0</v>
      </c>
      <c r="AD27" s="222">
        <f t="shared" si="111"/>
        <v>0</v>
      </c>
      <c r="AE27" s="222">
        <f t="shared" si="111"/>
        <v>0</v>
      </c>
      <c r="AF27" s="222">
        <f t="shared" si="111"/>
        <v>0</v>
      </c>
      <c r="AG27" s="201">
        <f t="shared" si="111"/>
        <v>0.49597075588626849</v>
      </c>
      <c r="AH27" s="201"/>
      <c r="AI27" s="201"/>
      <c r="AJ27" s="188"/>
      <c r="AK27" s="196" t="s">
        <v>269</v>
      </c>
      <c r="AL27" s="188" t="s">
        <v>26</v>
      </c>
      <c r="AM27" s="192">
        <v>320.42363636363638</v>
      </c>
      <c r="AN27" s="192">
        <v>296.18727272727273</v>
      </c>
      <c r="AO27" s="192">
        <v>117.33454545454543</v>
      </c>
      <c r="AP27" s="192">
        <v>357.23818181818177</v>
      </c>
      <c r="AQ27" s="192">
        <v>297.90545454545452</v>
      </c>
      <c r="AR27" s="192">
        <v>295.40363636363628</v>
      </c>
      <c r="AS27" s="192">
        <v>293.58545454545447</v>
      </c>
      <c r="AT27" s="192"/>
      <c r="AU27" s="192"/>
      <c r="AV27" s="192"/>
      <c r="AW27" s="192"/>
      <c r="AX27" s="192"/>
      <c r="AY27" s="189">
        <f>SUM(AM27:AX27)</f>
        <v>1978.0781818181815</v>
      </c>
      <c r="AZ27" s="189">
        <f t="shared" si="40"/>
        <v>1978.0781818181815</v>
      </c>
      <c r="BA27" s="189">
        <f t="shared" si="41"/>
        <v>293.58545454545447</v>
      </c>
      <c r="BB27" s="188"/>
      <c r="BC27" s="196" t="s">
        <v>269</v>
      </c>
      <c r="BD27" s="188" t="s">
        <v>26</v>
      </c>
      <c r="BE27" s="189">
        <f t="shared" ref="BE27:BP27" si="117">BE60*BE88</f>
        <v>332.358</v>
      </c>
      <c r="BF27" s="189">
        <f t="shared" si="117"/>
        <v>332.358</v>
      </c>
      <c r="BG27" s="189">
        <f t="shared" si="117"/>
        <v>332.358</v>
      </c>
      <c r="BH27" s="189">
        <f t="shared" si="117"/>
        <v>332.358</v>
      </c>
      <c r="BI27" s="189">
        <f t="shared" si="117"/>
        <v>332.358</v>
      </c>
      <c r="BJ27" s="189">
        <f t="shared" si="117"/>
        <v>332.358</v>
      </c>
      <c r="BK27" s="189">
        <f t="shared" si="117"/>
        <v>332.358</v>
      </c>
      <c r="BL27" s="189">
        <f t="shared" si="117"/>
        <v>332.358</v>
      </c>
      <c r="BM27" s="189">
        <f t="shared" si="117"/>
        <v>332.358</v>
      </c>
      <c r="BN27" s="189">
        <f t="shared" si="117"/>
        <v>332.358</v>
      </c>
      <c r="BO27" s="189">
        <f t="shared" si="117"/>
        <v>332.358</v>
      </c>
      <c r="BP27" s="189">
        <f t="shared" si="117"/>
        <v>332.358</v>
      </c>
      <c r="BQ27" s="189">
        <f>SUM(BE27:BP27)</f>
        <v>3988.2960000000007</v>
      </c>
      <c r="BR27" s="189">
        <f t="shared" si="43"/>
        <v>2326.5059999999999</v>
      </c>
      <c r="BS27" s="189">
        <f t="shared" si="44"/>
        <v>332.358</v>
      </c>
      <c r="BT27" s="220">
        <v>3753.0250000000001</v>
      </c>
      <c r="BU27" s="221">
        <f t="shared" si="114"/>
        <v>235.27100000000064</v>
      </c>
      <c r="BV27" s="188"/>
      <c r="BW27" s="188"/>
      <c r="BX27" s="196" t="s">
        <v>270</v>
      </c>
      <c r="BY27" s="188" t="s">
        <v>26</v>
      </c>
      <c r="BZ27" s="189">
        <v>0</v>
      </c>
      <c r="CA27" s="189">
        <v>0</v>
      </c>
      <c r="CB27" s="189">
        <v>0</v>
      </c>
      <c r="CC27" s="189">
        <v>0</v>
      </c>
      <c r="CD27" s="189">
        <v>0</v>
      </c>
      <c r="CE27" s="189">
        <v>0</v>
      </c>
      <c r="CF27" s="189">
        <v>0</v>
      </c>
      <c r="CG27" s="189">
        <v>0</v>
      </c>
      <c r="CH27" s="189">
        <v>0</v>
      </c>
      <c r="CI27" s="189">
        <v>0</v>
      </c>
      <c r="CJ27" s="189">
        <v>0</v>
      </c>
      <c r="CK27" s="189">
        <v>0</v>
      </c>
      <c r="CL27" s="189">
        <f t="shared" si="66"/>
        <v>0</v>
      </c>
      <c r="CM27" s="189">
        <f t="shared" si="33"/>
        <v>0</v>
      </c>
      <c r="CN27" s="189">
        <f>SUMIF(BZ$2:CK$2,1,BZ27:CK27)</f>
        <v>0</v>
      </c>
      <c r="CP27" s="595" t="e">
        <f t="shared" si="35"/>
        <v>#DIV/0!</v>
      </c>
      <c r="CQ27" s="594" t="e">
        <f t="shared" si="36"/>
        <v>#DIV/0!</v>
      </c>
    </row>
    <row r="28" spans="1:95">
      <c r="A28" s="197" t="s">
        <v>269</v>
      </c>
      <c r="B28" s="197" t="s">
        <v>162</v>
      </c>
      <c r="C28" s="198">
        <f t="shared" si="37"/>
        <v>1231.2902581818162</v>
      </c>
      <c r="D28" s="198">
        <f t="shared" si="9"/>
        <v>-692.62410545454713</v>
      </c>
      <c r="E28" s="198">
        <f t="shared" si="10"/>
        <v>-140.13401454545419</v>
      </c>
      <c r="F28" s="198">
        <f t="shared" si="11"/>
        <v>-151.21446909090992</v>
      </c>
      <c r="G28" s="198">
        <f t="shared" si="12"/>
        <v>-835.56301454545428</v>
      </c>
      <c r="H28" s="198">
        <f t="shared" si="13"/>
        <v>2690.0332581818184</v>
      </c>
      <c r="I28" s="198">
        <f t="shared" si="14"/>
        <v>-547.58063999999831</v>
      </c>
      <c r="J28" s="198">
        <f t="shared" si="15"/>
        <v>-7746.7506400000002</v>
      </c>
      <c r="K28" s="198">
        <f t="shared" si="16"/>
        <v>-7242.5141600000015</v>
      </c>
      <c r="L28" s="198">
        <f t="shared" si="17"/>
        <v>-7242.5141600000015</v>
      </c>
      <c r="M28" s="198">
        <f t="shared" si="18"/>
        <v>-7242.5141600000015</v>
      </c>
      <c r="N28" s="198">
        <f t="shared" si="19"/>
        <v>-7242.5141600000015</v>
      </c>
      <c r="O28" s="198">
        <f t="shared" si="20"/>
        <v>-35162.600007272733</v>
      </c>
      <c r="P28" s="198"/>
      <c r="Q28" s="198"/>
      <c r="R28" s="188"/>
      <c r="S28" s="197" t="s">
        <v>269</v>
      </c>
      <c r="T28" s="197" t="s">
        <v>162</v>
      </c>
      <c r="U28" s="223">
        <f t="shared" si="111"/>
        <v>1.1610089479501113</v>
      </c>
      <c r="V28" s="223">
        <f t="shared" si="111"/>
        <v>0.90942941536076338</v>
      </c>
      <c r="W28" s="223">
        <f t="shared" si="111"/>
        <v>0.9816754578345267</v>
      </c>
      <c r="X28" s="223">
        <f t="shared" si="111"/>
        <v>0.98022652869915994</v>
      </c>
      <c r="Y28" s="223">
        <f t="shared" si="111"/>
        <v>0.8907380928062848</v>
      </c>
      <c r="Z28" s="223">
        <f t="shared" si="111"/>
        <v>1.3517606201889638</v>
      </c>
      <c r="AA28" s="223">
        <f t="shared" si="111"/>
        <v>0.92931479720379917</v>
      </c>
      <c r="AB28" s="223">
        <f t="shared" si="111"/>
        <v>0</v>
      </c>
      <c r="AC28" s="223">
        <f t="shared" si="111"/>
        <v>0</v>
      </c>
      <c r="AD28" s="223">
        <f t="shared" si="111"/>
        <v>0</v>
      </c>
      <c r="AE28" s="223">
        <f t="shared" si="111"/>
        <v>0</v>
      </c>
      <c r="AF28" s="223">
        <f t="shared" si="111"/>
        <v>0</v>
      </c>
      <c r="AG28" s="223">
        <f t="shared" si="111"/>
        <v>0.61080759744468638</v>
      </c>
      <c r="AH28" s="223"/>
      <c r="AI28" s="223"/>
      <c r="AJ28" s="188"/>
      <c r="AK28" s="197" t="s">
        <v>269</v>
      </c>
      <c r="AL28" s="197" t="s">
        <v>162</v>
      </c>
      <c r="AM28" s="198">
        <f>SUM(AM24:AM27)</f>
        <v>8878.6308181818167</v>
      </c>
      <c r="AN28" s="198">
        <f t="shared" ref="AN28:AX28" si="118">SUM(AN24:AN27)</f>
        <v>6954.7164545454534</v>
      </c>
      <c r="AO28" s="198">
        <f t="shared" si="118"/>
        <v>7507.2065454545464</v>
      </c>
      <c r="AP28" s="198">
        <f>SUM(AP24:AP27)</f>
        <v>7496.1260909090906</v>
      </c>
      <c r="AQ28" s="198">
        <f t="shared" si="118"/>
        <v>6811.7775454545463</v>
      </c>
      <c r="AR28" s="198">
        <f t="shared" si="118"/>
        <v>10337.373818181819</v>
      </c>
      <c r="AS28" s="198">
        <f>SUM(AS24:AS27)</f>
        <v>7199.1700000000019</v>
      </c>
      <c r="AT28" s="198">
        <f t="shared" si="118"/>
        <v>0</v>
      </c>
      <c r="AU28" s="198">
        <f t="shared" si="118"/>
        <v>0</v>
      </c>
      <c r="AV28" s="198">
        <f t="shared" si="118"/>
        <v>0</v>
      </c>
      <c r="AW28" s="198">
        <f t="shared" si="118"/>
        <v>0</v>
      </c>
      <c r="AX28" s="198">
        <f t="shared" si="118"/>
        <v>0</v>
      </c>
      <c r="AY28" s="198">
        <f>SUM(AM28:AX28)</f>
        <v>55185.001272727284</v>
      </c>
      <c r="AZ28" s="198">
        <f t="shared" si="40"/>
        <v>55185.001272727284</v>
      </c>
      <c r="BA28" s="198">
        <f t="shared" si="41"/>
        <v>7199.1700000000019</v>
      </c>
      <c r="BB28" s="188"/>
      <c r="BC28" s="197" t="s">
        <v>269</v>
      </c>
      <c r="BD28" s="197" t="s">
        <v>162</v>
      </c>
      <c r="BE28" s="198">
        <f>SUM(BE24:BE27)</f>
        <v>7647.3405600000006</v>
      </c>
      <c r="BF28" s="198">
        <f t="shared" ref="BF28:BP28" si="119">SUM(BF24:BF27)</f>
        <v>7647.3405600000006</v>
      </c>
      <c r="BG28" s="198">
        <f t="shared" si="119"/>
        <v>7647.3405600000006</v>
      </c>
      <c r="BH28" s="198">
        <f t="shared" si="119"/>
        <v>7647.3405600000006</v>
      </c>
      <c r="BI28" s="198">
        <f t="shared" si="119"/>
        <v>7647.3405600000006</v>
      </c>
      <c r="BJ28" s="198">
        <f t="shared" si="119"/>
        <v>7647.3405600000006</v>
      </c>
      <c r="BK28" s="198">
        <f t="shared" si="119"/>
        <v>7746.7506400000002</v>
      </c>
      <c r="BL28" s="198">
        <f t="shared" si="119"/>
        <v>7746.7506400000002</v>
      </c>
      <c r="BM28" s="198">
        <f>SUM(BM24:BM27)</f>
        <v>7242.5141600000015</v>
      </c>
      <c r="BN28" s="198">
        <f t="shared" si="119"/>
        <v>7242.5141600000015</v>
      </c>
      <c r="BO28" s="198">
        <f t="shared" si="119"/>
        <v>7242.5141600000015</v>
      </c>
      <c r="BP28" s="198">
        <f t="shared" si="119"/>
        <v>7242.5141600000015</v>
      </c>
      <c r="BQ28" s="198">
        <f>SUM(BE28:BP28)</f>
        <v>90347.601280000017</v>
      </c>
      <c r="BR28" s="198">
        <f t="shared" si="43"/>
        <v>53630.793999999994</v>
      </c>
      <c r="BS28" s="198">
        <f t="shared" si="44"/>
        <v>7746.7506400000002</v>
      </c>
      <c r="BT28" s="220"/>
      <c r="BU28" s="221">
        <f t="shared" si="114"/>
        <v>90347.601280000017</v>
      </c>
      <c r="BV28" s="219">
        <f>BQ28/$BQ$34</f>
        <v>0.26573356128878334</v>
      </c>
      <c r="BW28" s="188"/>
      <c r="BX28" s="197" t="s">
        <v>269</v>
      </c>
      <c r="BY28" s="197" t="s">
        <v>162</v>
      </c>
      <c r="BZ28" s="198">
        <f t="shared" ref="BZ28:CK28" si="120">SUM(BZ24:BZ27)</f>
        <v>4699.5081818181798</v>
      </c>
      <c r="CA28" s="198">
        <f t="shared" si="120"/>
        <v>5079.01</v>
      </c>
      <c r="CB28" s="198">
        <f t="shared" si="120"/>
        <v>4630.0972727272701</v>
      </c>
      <c r="CC28" s="198">
        <f t="shared" si="120"/>
        <v>4915.7518181818195</v>
      </c>
      <c r="CD28" s="198">
        <f t="shared" si="120"/>
        <v>7836.8972727272694</v>
      </c>
      <c r="CE28" s="198">
        <f t="shared" si="120"/>
        <v>4643.0681818181793</v>
      </c>
      <c r="CF28" s="198">
        <f t="shared" si="120"/>
        <v>6654.9609090909098</v>
      </c>
      <c r="CG28" s="198">
        <f t="shared" si="120"/>
        <v>4584.3081818181799</v>
      </c>
      <c r="CH28" s="198">
        <f t="shared" si="120"/>
        <v>6106.4036363636396</v>
      </c>
      <c r="CI28" s="198">
        <f t="shared" si="120"/>
        <v>4948.22</v>
      </c>
      <c r="CJ28" s="198">
        <f t="shared" si="120"/>
        <v>5331.2945454545497</v>
      </c>
      <c r="CK28" s="198">
        <f t="shared" si="120"/>
        <v>5774.6927272727298</v>
      </c>
      <c r="CL28" s="198">
        <f t="shared" si="66"/>
        <v>65204.212727272738</v>
      </c>
      <c r="CM28" s="198">
        <f t="shared" si="33"/>
        <v>31804.332727272722</v>
      </c>
      <c r="CN28" s="198">
        <f>SUMIF(CA$2:CL$2,1,CA28:CL28)</f>
        <v>4643.0681818181793</v>
      </c>
      <c r="CP28" s="595">
        <f t="shared" si="35"/>
        <v>1.7351409867940812</v>
      </c>
      <c r="CQ28" s="594">
        <f t="shared" si="36"/>
        <v>1.550519983357401</v>
      </c>
    </row>
    <row r="29" spans="1:95">
      <c r="A29" s="65" t="s">
        <v>271</v>
      </c>
      <c r="B29" s="65" t="s">
        <v>272</v>
      </c>
      <c r="C29" s="174">
        <f t="shared" si="37"/>
        <v>-0.27272727272747943</v>
      </c>
      <c r="D29" s="174">
        <f t="shared" si="9"/>
        <v>-100.13454545454624</v>
      </c>
      <c r="E29" s="174">
        <f t="shared" si="10"/>
        <v>1405.05454545455</v>
      </c>
      <c r="F29" s="174">
        <f t="shared" si="11"/>
        <v>609.63202753246651</v>
      </c>
      <c r="G29" s="174">
        <f t="shared" si="12"/>
        <v>-169.66797246753322</v>
      </c>
      <c r="H29" s="174">
        <f t="shared" si="13"/>
        <v>646.27748207792138</v>
      </c>
      <c r="I29" s="174">
        <f t="shared" si="14"/>
        <v>971.6433911688332</v>
      </c>
      <c r="J29" s="174">
        <f t="shared" si="15"/>
        <v>-4034.4770633766238</v>
      </c>
      <c r="K29" s="174">
        <f t="shared" si="16"/>
        <v>-4675.4656997402608</v>
      </c>
      <c r="L29" s="174">
        <f t="shared" si="17"/>
        <v>-4675.4656997402608</v>
      </c>
      <c r="M29" s="174">
        <f t="shared" si="18"/>
        <v>-3393.4884270129878</v>
      </c>
      <c r="N29" s="174">
        <f t="shared" si="19"/>
        <v>-3185.2906997402602</v>
      </c>
      <c r="O29" s="69">
        <f t="shared" si="20"/>
        <v>-16601.655388571442</v>
      </c>
      <c r="S29" s="65" t="s">
        <v>271</v>
      </c>
      <c r="T29" s="65" t="s">
        <v>272</v>
      </c>
      <c r="U29" s="224">
        <f t="shared" si="45"/>
        <v>0.99989708404802735</v>
      </c>
      <c r="V29" s="224">
        <f>AN29/BF29</f>
        <v>0.98391154475344689</v>
      </c>
      <c r="W29" s="224">
        <f>AO29/BG29</f>
        <v>1.3767278719053102</v>
      </c>
      <c r="X29" s="224">
        <f t="shared" si="23"/>
        <v>1.2026099208691452</v>
      </c>
      <c r="Y29" s="224">
        <f t="shared" si="24"/>
        <v>0.94803893800909378</v>
      </c>
      <c r="Z29" s="224">
        <f t="shared" si="25"/>
        <v>1.1835136504970591</v>
      </c>
      <c r="AA29" s="224">
        <f t="shared" si="26"/>
        <v>1.3097273175186044</v>
      </c>
      <c r="AB29" s="224">
        <f t="shared" si="27"/>
        <v>0</v>
      </c>
      <c r="AC29" s="224">
        <f t="shared" si="28"/>
        <v>0</v>
      </c>
      <c r="AD29" s="224">
        <f t="shared" si="29"/>
        <v>0</v>
      </c>
      <c r="AE29" s="224">
        <f t="shared" si="30"/>
        <v>0</v>
      </c>
      <c r="AF29" s="224">
        <f t="shared" si="31"/>
        <v>0</v>
      </c>
      <c r="AG29" s="228">
        <f t="shared" si="38"/>
        <v>0.63513470730297217</v>
      </c>
      <c r="AH29" s="228"/>
      <c r="AI29" s="228"/>
      <c r="AK29" s="65" t="s">
        <v>273</v>
      </c>
      <c r="AL29" s="65" t="s">
        <v>156</v>
      </c>
      <c r="AM29" s="174">
        <v>2649.7272727272725</v>
      </c>
      <c r="AN29" s="174">
        <v>6123.8654545454538</v>
      </c>
      <c r="AO29" s="174">
        <v>5134.681818181818</v>
      </c>
      <c r="AP29" s="174">
        <v>3618.5272727272722</v>
      </c>
      <c r="AQ29" s="174">
        <v>3095.6227272727269</v>
      </c>
      <c r="AR29" s="174">
        <v>4167.9636363636364</v>
      </c>
      <c r="AS29" s="174">
        <v>4108.7363636363634</v>
      </c>
      <c r="AT29" s="174"/>
      <c r="AU29" s="174"/>
      <c r="AV29" s="174"/>
      <c r="AW29" s="174"/>
      <c r="AX29" s="174"/>
      <c r="AY29" s="69">
        <f t="shared" si="39"/>
        <v>28899.124545454539</v>
      </c>
      <c r="AZ29" s="69">
        <f t="shared" si="40"/>
        <v>28899.124545454539</v>
      </c>
      <c r="BA29" s="69">
        <f t="shared" si="41"/>
        <v>4108.7363636363634</v>
      </c>
      <c r="BC29" s="65" t="s">
        <v>273</v>
      </c>
      <c r="BD29" s="65" t="s">
        <v>272</v>
      </c>
      <c r="BE29" s="174">
        <v>2650</v>
      </c>
      <c r="BF29" s="174">
        <v>6224</v>
      </c>
      <c r="BG29" s="174">
        <v>3729.6272727272681</v>
      </c>
      <c r="BH29" s="174">
        <v>3008.8952451948057</v>
      </c>
      <c r="BI29" s="174">
        <v>3265.2906997402602</v>
      </c>
      <c r="BJ29" s="174">
        <v>3521.686154285715</v>
      </c>
      <c r="BK29" s="174">
        <v>3137.0929724675302</v>
      </c>
      <c r="BL29" s="174">
        <v>4034.4770633766238</v>
      </c>
      <c r="BM29" s="174">
        <v>4675.4656997402608</v>
      </c>
      <c r="BN29" s="174">
        <v>4675.4656997402608</v>
      </c>
      <c r="BO29" s="174">
        <v>3393.4884270129878</v>
      </c>
      <c r="BP29" s="174">
        <v>3185.2906997402602</v>
      </c>
      <c r="BQ29" s="69">
        <f t="shared" si="47"/>
        <v>45500.779934025981</v>
      </c>
      <c r="BR29" s="69">
        <f t="shared" si="43"/>
        <v>25536.592344415578</v>
      </c>
      <c r="BS29" s="69">
        <f t="shared" si="44"/>
        <v>3137.0929724675302</v>
      </c>
      <c r="BT29" s="180">
        <v>36992.930999999997</v>
      </c>
      <c r="BU29" s="221">
        <f t="shared" si="114"/>
        <v>8507.8489340259839</v>
      </c>
      <c r="BV29" s="219">
        <f>BQ29/$BQ$34</f>
        <v>0.13382850371216776</v>
      </c>
      <c r="BX29" s="65" t="s">
        <v>273</v>
      </c>
      <c r="BY29" s="65" t="s">
        <v>272</v>
      </c>
      <c r="BZ29" s="192">
        <v>2082.2727272727275</v>
      </c>
      <c r="CA29" s="192">
        <v>4271.6363636363631</v>
      </c>
      <c r="CB29" s="192">
        <v>4734.8363636363629</v>
      </c>
      <c r="CC29" s="192">
        <v>2955.5272727272722</v>
      </c>
      <c r="CD29" s="192">
        <v>2062.7272727272725</v>
      </c>
      <c r="CE29" s="192">
        <v>2121.7272727272725</v>
      </c>
      <c r="CF29" s="192">
        <v>2071.7272727272725</v>
      </c>
      <c r="CG29" s="192">
        <v>4331.454545454546</v>
      </c>
      <c r="CH29" s="192">
        <v>3448.8836363636369</v>
      </c>
      <c r="CI29" s="192">
        <v>5249.9745454545455</v>
      </c>
      <c r="CJ29" s="192">
        <v>13309.981818181817</v>
      </c>
      <c r="CK29" s="192">
        <v>4141.2545454545498</v>
      </c>
      <c r="CL29" s="220">
        <f t="shared" si="66"/>
        <v>50782.003636363639</v>
      </c>
      <c r="CM29" s="189">
        <f t="shared" si="33"/>
        <v>18228.727272727268</v>
      </c>
      <c r="CN29" s="189">
        <f>SUMIF(BZ$2:CK$2,1,BZ29:CK29)</f>
        <v>2121.7272727272725</v>
      </c>
      <c r="CP29" s="595">
        <f t="shared" si="35"/>
        <v>1.5853616170280675</v>
      </c>
      <c r="CQ29" s="594">
        <f t="shared" si="36"/>
        <v>1.9365054201122585</v>
      </c>
    </row>
    <row r="30" spans="1:95">
      <c r="A30" s="65" t="s">
        <v>274</v>
      </c>
      <c r="B30" s="65" t="s">
        <v>275</v>
      </c>
      <c r="C30" s="174">
        <f t="shared" si="37"/>
        <v>0</v>
      </c>
      <c r="D30" s="174">
        <f t="shared" si="9"/>
        <v>0</v>
      </c>
      <c r="E30" s="174">
        <f t="shared" si="10"/>
        <v>-51.083333333333329</v>
      </c>
      <c r="F30" s="174">
        <f t="shared" si="11"/>
        <v>-70.083333333333329</v>
      </c>
      <c r="G30" s="174">
        <f t="shared" si="12"/>
        <v>-70.083333333333329</v>
      </c>
      <c r="H30" s="174">
        <f t="shared" si="13"/>
        <v>-78.083333333333329</v>
      </c>
      <c r="I30" s="174">
        <f t="shared" si="14"/>
        <v>-60.083333333333329</v>
      </c>
      <c r="J30" s="174">
        <f t="shared" si="15"/>
        <v>-78.083333333333329</v>
      </c>
      <c r="K30" s="174">
        <f t="shared" si="16"/>
        <v>-78.083333333333329</v>
      </c>
      <c r="L30" s="174">
        <f t="shared" si="17"/>
        <v>-78.083333333333329</v>
      </c>
      <c r="M30" s="174">
        <f t="shared" si="18"/>
        <v>-78.083333333333329</v>
      </c>
      <c r="N30" s="174">
        <f t="shared" si="19"/>
        <v>-78.083333333333329</v>
      </c>
      <c r="O30" s="69">
        <f t="shared" si="20"/>
        <v>-719.83333333333337</v>
      </c>
      <c r="S30" s="65" t="s">
        <v>274</v>
      </c>
      <c r="T30" s="65" t="s">
        <v>275</v>
      </c>
      <c r="U30" s="224">
        <f>AM30/BE30</f>
        <v>1</v>
      </c>
      <c r="V30" s="224">
        <f t="shared" si="21"/>
        <v>1</v>
      </c>
      <c r="W30" s="224">
        <f t="shared" si="22"/>
        <v>0.34578441835645679</v>
      </c>
      <c r="X30" s="224">
        <f t="shared" si="23"/>
        <v>0.10245464247598719</v>
      </c>
      <c r="Y30" s="224">
        <f t="shared" si="24"/>
        <v>0.10245464247598719</v>
      </c>
      <c r="Z30" s="224">
        <f t="shared" si="25"/>
        <v>0</v>
      </c>
      <c r="AA30" s="224">
        <f t="shared" si="26"/>
        <v>0.23052294557097119</v>
      </c>
      <c r="AB30" s="224">
        <f t="shared" si="27"/>
        <v>0</v>
      </c>
      <c r="AC30" s="224">
        <f t="shared" si="28"/>
        <v>0</v>
      </c>
      <c r="AD30" s="224">
        <f t="shared" si="29"/>
        <v>0</v>
      </c>
      <c r="AE30" s="224">
        <f t="shared" si="30"/>
        <v>0</v>
      </c>
      <c r="AF30" s="224">
        <f t="shared" si="31"/>
        <v>0</v>
      </c>
      <c r="AG30" s="228">
        <f t="shared" si="38"/>
        <v>0.120903724811724</v>
      </c>
      <c r="AH30" s="228"/>
      <c r="AI30" s="228"/>
      <c r="AK30" s="65" t="s">
        <v>276</v>
      </c>
      <c r="AL30" s="65" t="s">
        <v>275</v>
      </c>
      <c r="AM30" s="174">
        <v>5</v>
      </c>
      <c r="AN30" s="174">
        <v>33</v>
      </c>
      <c r="AO30" s="174">
        <v>27</v>
      </c>
      <c r="AP30" s="174">
        <v>8</v>
      </c>
      <c r="AQ30" s="174">
        <v>8</v>
      </c>
      <c r="AR30" s="174">
        <v>0</v>
      </c>
      <c r="AS30" s="174">
        <v>18</v>
      </c>
      <c r="AT30" s="174"/>
      <c r="AU30" s="174"/>
      <c r="AV30" s="174"/>
      <c r="AW30" s="174"/>
      <c r="AX30" s="174"/>
      <c r="AY30" s="69">
        <f>SUM(AM30:AX30)</f>
        <v>99</v>
      </c>
      <c r="AZ30" s="69">
        <f t="shared" si="40"/>
        <v>99</v>
      </c>
      <c r="BA30" s="69">
        <f t="shared" si="41"/>
        <v>18</v>
      </c>
      <c r="BC30" s="65" t="s">
        <v>276</v>
      </c>
      <c r="BD30" s="65" t="s">
        <v>275</v>
      </c>
      <c r="BE30" s="174">
        <v>5</v>
      </c>
      <c r="BF30" s="174">
        <v>33</v>
      </c>
      <c r="BG30" s="174">
        <v>78.083333333333329</v>
      </c>
      <c r="BH30" s="174">
        <v>78.083333333333329</v>
      </c>
      <c r="BI30" s="174">
        <v>78.083333333333329</v>
      </c>
      <c r="BJ30" s="174">
        <v>78.083333333333329</v>
      </c>
      <c r="BK30" s="174">
        <v>78.083333333333329</v>
      </c>
      <c r="BL30" s="174">
        <v>78.083333333333329</v>
      </c>
      <c r="BM30" s="174">
        <v>78.083333333333329</v>
      </c>
      <c r="BN30" s="174">
        <v>78.083333333333329</v>
      </c>
      <c r="BO30" s="174">
        <v>78.083333333333329</v>
      </c>
      <c r="BP30" s="174">
        <v>78.083333333333329</v>
      </c>
      <c r="BQ30" s="69">
        <f t="shared" si="47"/>
        <v>818.83333333333337</v>
      </c>
      <c r="BR30" s="69">
        <f t="shared" si="43"/>
        <v>428.41666666666663</v>
      </c>
      <c r="BS30" s="69">
        <f t="shared" si="44"/>
        <v>78.083333333333329</v>
      </c>
      <c r="BT30" s="180">
        <v>818.83333333333303</v>
      </c>
      <c r="BU30" s="221">
        <f>BQ30-BT30</f>
        <v>0</v>
      </c>
      <c r="BV30" s="219">
        <f>BQ30/$BQ$34</f>
        <v>2.4083815694706185E-3</v>
      </c>
      <c r="BX30" s="65" t="s">
        <v>276</v>
      </c>
      <c r="BY30" s="65" t="s">
        <v>275</v>
      </c>
      <c r="BZ30" s="192">
        <v>75.563999999999993</v>
      </c>
      <c r="CA30" s="192">
        <v>47.072000000000003</v>
      </c>
      <c r="CB30" s="192">
        <v>28.425999999999998</v>
      </c>
      <c r="CC30" s="192">
        <v>47.134999999999998</v>
      </c>
      <c r="CD30" s="192">
        <v>97.533636363636404</v>
      </c>
      <c r="CE30" s="192">
        <v>100.90600000000001</v>
      </c>
      <c r="CF30" s="192">
        <v>70.3</v>
      </c>
      <c r="CG30" s="192">
        <v>57.017000000000003</v>
      </c>
      <c r="CH30" s="192">
        <v>34.183999999999997</v>
      </c>
      <c r="CI30" s="192">
        <v>72.563000000000002</v>
      </c>
      <c r="CJ30" s="192">
        <v>146.20099999999999</v>
      </c>
      <c r="CK30" s="192">
        <v>159.68899999999999</v>
      </c>
      <c r="CL30" s="220">
        <f t="shared" si="66"/>
        <v>936.59063636363635</v>
      </c>
      <c r="CM30" s="189">
        <f t="shared" si="33"/>
        <v>396.6366363636364</v>
      </c>
      <c r="CN30" s="189">
        <f>SUMIF(BZ$2:CK$2,1,BZ30:CK30)</f>
        <v>100.90600000000001</v>
      </c>
      <c r="CP30" s="594">
        <f t="shared" si="35"/>
        <v>0.24959872821540574</v>
      </c>
      <c r="CQ30" s="594">
        <f t="shared" si="36"/>
        <v>0.17838384238796504</v>
      </c>
    </row>
    <row r="31" spans="1:95">
      <c r="A31" s="65" t="s">
        <v>277</v>
      </c>
      <c r="B31" s="65" t="s">
        <v>158</v>
      </c>
      <c r="C31" s="174">
        <f t="shared" si="37"/>
        <v>19.375999999999998</v>
      </c>
      <c r="D31" s="174">
        <f t="shared" si="9"/>
        <v>111.47199999999999</v>
      </c>
      <c r="E31" s="174">
        <f t="shared" si="10"/>
        <v>118.568</v>
      </c>
      <c r="F31" s="174">
        <f t="shared" si="11"/>
        <v>110.66399999999999</v>
      </c>
      <c r="G31" s="174">
        <f t="shared" si="12"/>
        <v>110.25999999999996</v>
      </c>
      <c r="H31" s="174">
        <f t="shared" si="13"/>
        <v>79.855999999999966</v>
      </c>
      <c r="I31" s="174">
        <f t="shared" si="14"/>
        <v>86.951999999999956</v>
      </c>
      <c r="J31" s="174">
        <f t="shared" si="15"/>
        <v>-103.45200000000003</v>
      </c>
      <c r="K31" s="174">
        <f t="shared" si="16"/>
        <v>-103.45200000000003</v>
      </c>
      <c r="L31" s="174">
        <f t="shared" si="17"/>
        <v>-103.45200000000003</v>
      </c>
      <c r="M31" s="174">
        <f t="shared" si="18"/>
        <v>-103.45200000000003</v>
      </c>
      <c r="N31" s="174">
        <f t="shared" si="19"/>
        <v>-103.45200000000003</v>
      </c>
      <c r="O31" s="69">
        <f t="shared" si="20"/>
        <v>119.88799999999992</v>
      </c>
      <c r="S31" s="65" t="s">
        <v>277</v>
      </c>
      <c r="T31" s="65" t="s">
        <v>158</v>
      </c>
      <c r="U31" s="224">
        <f>AM31/BE31</f>
        <v>1.402626548084116</v>
      </c>
      <c r="V31" s="224">
        <f t="shared" si="21"/>
        <v>2.9895766402513027</v>
      </c>
      <c r="W31" s="224">
        <f t="shared" si="22"/>
        <v>2.8545955077269598</v>
      </c>
      <c r="X31" s="224">
        <f t="shared" ref="X31" si="121">AP31/BH31</f>
        <v>2.540508937023219</v>
      </c>
      <c r="Y31" s="224">
        <f t="shared" ref="Y31" si="122">AQ31/BI31</f>
        <v>2.3827439177326304</v>
      </c>
      <c r="Z31" s="224">
        <f t="shared" ref="Z31" si="123">AR31/BJ31</f>
        <v>1.9111405230249643</v>
      </c>
      <c r="AA31" s="224">
        <f t="shared" ref="AA31" si="124">AS31/BK31</f>
        <v>1.9100347469334777</v>
      </c>
      <c r="AB31" s="224">
        <f t="shared" ref="AB31" si="125">AT31/BL31</f>
        <v>0</v>
      </c>
      <c r="AC31" s="224">
        <f t="shared" ref="AC31" si="126">AU31/BM31</f>
        <v>0</v>
      </c>
      <c r="AD31" s="224">
        <f t="shared" ref="AD31" si="127">AV31/BN31</f>
        <v>0</v>
      </c>
      <c r="AE31" s="224">
        <f t="shared" ref="AE31" si="128">AW31/BO31</f>
        <v>0</v>
      </c>
      <c r="AF31" s="224">
        <f t="shared" ref="AF31" si="129">AX31/BP31</f>
        <v>0</v>
      </c>
      <c r="AG31" s="228">
        <f t="shared" si="38"/>
        <v>1.1175243502674215</v>
      </c>
      <c r="AH31" s="228"/>
      <c r="AI31" s="228"/>
      <c r="AK31" s="65" t="s">
        <v>278</v>
      </c>
      <c r="AL31" s="65" t="s">
        <v>158</v>
      </c>
      <c r="AM31" s="174">
        <v>67.5</v>
      </c>
      <c r="AN31" s="174">
        <v>167.5</v>
      </c>
      <c r="AO31" s="174">
        <v>182.5</v>
      </c>
      <c r="AP31" s="174">
        <v>182.5</v>
      </c>
      <c r="AQ31" s="174">
        <v>189.99999999999997</v>
      </c>
      <c r="AR31" s="174">
        <v>167.49999999999997</v>
      </c>
      <c r="AS31" s="174">
        <v>182.49999999999997</v>
      </c>
      <c r="AT31" s="174"/>
      <c r="AU31" s="174"/>
      <c r="AV31" s="174"/>
      <c r="AW31" s="174"/>
      <c r="AX31" s="174"/>
      <c r="AY31" s="69">
        <f>SUM(AM31:AX31)</f>
        <v>1140</v>
      </c>
      <c r="AZ31" s="69">
        <f t="shared" si="40"/>
        <v>1140</v>
      </c>
      <c r="BA31" s="69">
        <f t="shared" si="41"/>
        <v>182.49999999999997</v>
      </c>
      <c r="BC31" s="65" t="s">
        <v>278</v>
      </c>
      <c r="BD31" s="65" t="s">
        <v>158</v>
      </c>
      <c r="BE31" s="174">
        <v>48.124000000000002</v>
      </c>
      <c r="BF31" s="174">
        <v>56.028000000000006</v>
      </c>
      <c r="BG31" s="174">
        <v>63.932000000000002</v>
      </c>
      <c r="BH31" s="174">
        <v>71.836000000000013</v>
      </c>
      <c r="BI31" s="174">
        <v>79.740000000000009</v>
      </c>
      <c r="BJ31" s="174">
        <v>87.644000000000005</v>
      </c>
      <c r="BK31" s="174">
        <v>95.548000000000016</v>
      </c>
      <c r="BL31" s="174">
        <v>103.45200000000003</v>
      </c>
      <c r="BM31" s="174">
        <v>103.45200000000003</v>
      </c>
      <c r="BN31" s="174">
        <v>103.45200000000003</v>
      </c>
      <c r="BO31" s="174">
        <v>103.45200000000003</v>
      </c>
      <c r="BP31" s="174">
        <v>103.45200000000003</v>
      </c>
      <c r="BQ31" s="69">
        <f t="shared" si="47"/>
        <v>1020.1120000000001</v>
      </c>
      <c r="BR31" s="69">
        <f t="shared" si="43"/>
        <v>502.85200000000003</v>
      </c>
      <c r="BS31" s="69">
        <f t="shared" si="44"/>
        <v>95.548000000000016</v>
      </c>
      <c r="BT31" s="180">
        <v>1020.1120000000001</v>
      </c>
      <c r="BU31" s="221">
        <f>BQ31-BT31</f>
        <v>0</v>
      </c>
      <c r="BV31" s="219"/>
      <c r="BX31" s="65" t="s">
        <v>278</v>
      </c>
      <c r="BY31" s="65" t="s">
        <v>158</v>
      </c>
      <c r="BZ31" s="192">
        <v>0</v>
      </c>
      <c r="CA31" s="192">
        <v>0</v>
      </c>
      <c r="CB31" s="192">
        <v>0</v>
      </c>
      <c r="CC31" s="192">
        <v>14.999999999999998</v>
      </c>
      <c r="CD31" s="192">
        <v>90</v>
      </c>
      <c r="CE31" s="192">
        <v>44.999999999999993</v>
      </c>
      <c r="CF31" s="192">
        <v>59.999999999999993</v>
      </c>
      <c r="CG31" s="192">
        <v>59.999999999999993</v>
      </c>
      <c r="CH31" s="192">
        <v>74.999999999999986</v>
      </c>
      <c r="CI31" s="192">
        <v>67.499999999999986</v>
      </c>
      <c r="CJ31" s="192">
        <v>67.499999999999986</v>
      </c>
      <c r="CK31" s="192">
        <v>67.499999999999986</v>
      </c>
      <c r="CL31" s="220">
        <f t="shared" si="66"/>
        <v>547.5</v>
      </c>
      <c r="CM31" s="189">
        <f t="shared" si="33"/>
        <v>150</v>
      </c>
      <c r="CN31" s="189">
        <f>SUMIF(BZ$2:CK$2,1,BZ31:CK31)</f>
        <v>44.999999999999993</v>
      </c>
      <c r="CP31" s="595">
        <f t="shared" si="35"/>
        <v>7.6</v>
      </c>
      <c r="CQ31" s="594">
        <f t="shared" si="36"/>
        <v>4.0555555555555554</v>
      </c>
    </row>
    <row r="32" spans="1:95">
      <c r="A32" s="65" t="s">
        <v>279</v>
      </c>
      <c r="B32" s="65" t="s">
        <v>159</v>
      </c>
      <c r="C32" s="174">
        <f t="shared" si="37"/>
        <v>0</v>
      </c>
      <c r="D32" s="174">
        <f t="shared" si="9"/>
        <v>0</v>
      </c>
      <c r="E32" s="174">
        <f t="shared" si="10"/>
        <v>-28.425999999999998</v>
      </c>
      <c r="F32" s="174">
        <f t="shared" si="11"/>
        <v>907.86499999999978</v>
      </c>
      <c r="G32" s="174">
        <f t="shared" si="12"/>
        <v>-5309.533636363637</v>
      </c>
      <c r="H32" s="174">
        <f t="shared" si="13"/>
        <v>1588.0939999999991</v>
      </c>
      <c r="I32" s="174">
        <f t="shared" si="14"/>
        <v>-1598.3</v>
      </c>
      <c r="J32" s="174">
        <f t="shared" si="15"/>
        <v>-2495.0169999999998</v>
      </c>
      <c r="K32" s="174">
        <f t="shared" si="16"/>
        <v>-1647.184</v>
      </c>
      <c r="L32" s="174">
        <f t="shared" si="17"/>
        <v>-189.56299999999999</v>
      </c>
      <c r="M32" s="174">
        <f t="shared" si="18"/>
        <v>-188.20099999999999</v>
      </c>
      <c r="N32" s="174">
        <f t="shared" si="19"/>
        <v>-186.68899999999999</v>
      </c>
      <c r="O32" s="69">
        <f t="shared" si="20"/>
        <v>-9146.9546363636364</v>
      </c>
      <c r="S32" s="65" t="s">
        <v>279</v>
      </c>
      <c r="T32" s="65" t="s">
        <v>159</v>
      </c>
      <c r="U32" s="224" t="e">
        <f>AM32/BE32</f>
        <v>#DIV/0!</v>
      </c>
      <c r="V32" s="224" t="e">
        <f t="shared" si="21"/>
        <v>#DIV/0!</v>
      </c>
      <c r="W32" s="224">
        <f t="shared" si="22"/>
        <v>0</v>
      </c>
      <c r="X32" s="224">
        <f t="shared" si="23"/>
        <v>1.2216394235053287</v>
      </c>
      <c r="Y32" s="224">
        <f t="shared" si="24"/>
        <v>0</v>
      </c>
      <c r="Z32" s="224">
        <f t="shared" si="25"/>
        <v>1.1652215491911802</v>
      </c>
      <c r="AA32" s="224">
        <f t="shared" si="26"/>
        <v>0</v>
      </c>
      <c r="AB32" s="224">
        <f t="shared" si="27"/>
        <v>0</v>
      </c>
      <c r="AC32" s="224">
        <f t="shared" si="28"/>
        <v>0</v>
      </c>
      <c r="AD32" s="224">
        <f t="shared" si="29"/>
        <v>0</v>
      </c>
      <c r="AE32" s="224">
        <f t="shared" si="30"/>
        <v>0</v>
      </c>
      <c r="AF32" s="224">
        <f t="shared" si="31"/>
        <v>0</v>
      </c>
      <c r="AG32" s="228">
        <f t="shared" si="38"/>
        <v>0.63918697470890651</v>
      </c>
      <c r="AH32" s="228"/>
      <c r="AI32" s="228"/>
      <c r="AK32" s="65" t="s">
        <v>280</v>
      </c>
      <c r="AL32" s="65" t="s">
        <v>159</v>
      </c>
      <c r="AM32" s="174">
        <v>0</v>
      </c>
      <c r="AN32" s="174">
        <v>0</v>
      </c>
      <c r="AO32" s="174">
        <v>0</v>
      </c>
      <c r="AP32" s="174">
        <v>5004</v>
      </c>
      <c r="AQ32" s="174">
        <v>0</v>
      </c>
      <c r="AR32" s="174">
        <f>4120+7080</f>
        <v>11200</v>
      </c>
      <c r="AS32" s="174">
        <v>0</v>
      </c>
      <c r="AT32" s="174"/>
      <c r="AU32" s="174"/>
      <c r="AV32" s="174"/>
      <c r="AW32" s="174"/>
      <c r="AX32" s="174"/>
      <c r="AY32" s="69">
        <f t="shared" si="39"/>
        <v>16204</v>
      </c>
      <c r="AZ32" s="69">
        <f t="shared" si="40"/>
        <v>16204</v>
      </c>
      <c r="BA32" s="69">
        <f t="shared" si="41"/>
        <v>0</v>
      </c>
      <c r="BC32" s="65" t="s">
        <v>280</v>
      </c>
      <c r="BD32" s="65" t="s">
        <v>159</v>
      </c>
      <c r="BE32" s="174">
        <v>0</v>
      </c>
      <c r="BF32" s="174">
        <v>0</v>
      </c>
      <c r="BG32" s="174">
        <v>28.425999999999998</v>
      </c>
      <c r="BH32" s="174">
        <v>4096.1350000000002</v>
      </c>
      <c r="BI32" s="174">
        <v>5309.533636363637</v>
      </c>
      <c r="BJ32" s="174">
        <v>9611.9060000000009</v>
      </c>
      <c r="BK32" s="212">
        <f>98.3+1500</f>
        <v>1598.3</v>
      </c>
      <c r="BL32" s="212">
        <f>995.017+1500</f>
        <v>2495.0169999999998</v>
      </c>
      <c r="BM32" s="212">
        <f>147.184+1500</f>
        <v>1647.184</v>
      </c>
      <c r="BN32" s="174">
        <v>189.56299999999999</v>
      </c>
      <c r="BO32" s="174">
        <v>188.20099999999999</v>
      </c>
      <c r="BP32" s="174">
        <v>186.68899999999999</v>
      </c>
      <c r="BQ32" s="69">
        <f t="shared" si="47"/>
        <v>25350.954636363636</v>
      </c>
      <c r="BR32" s="69">
        <f t="shared" si="43"/>
        <v>20644.300636363638</v>
      </c>
      <c r="BS32" s="69">
        <f t="shared" si="44"/>
        <v>1598.3</v>
      </c>
      <c r="BT32" s="180">
        <v>20973.590636363599</v>
      </c>
      <c r="BU32" s="221">
        <f t="shared" si="114"/>
        <v>4377.3640000000378</v>
      </c>
      <c r="BV32" s="219">
        <f>BQ32/$BQ$34</f>
        <v>7.4563124666847835E-2</v>
      </c>
      <c r="BX32" s="65" t="s">
        <v>280</v>
      </c>
      <c r="BY32" s="65" t="s">
        <v>159</v>
      </c>
      <c r="BZ32" s="192">
        <v>0</v>
      </c>
      <c r="CA32" s="192">
        <v>0</v>
      </c>
      <c r="CB32" s="192">
        <v>0</v>
      </c>
      <c r="CC32" s="192">
        <v>4049</v>
      </c>
      <c r="CD32" s="192">
        <v>5212</v>
      </c>
      <c r="CE32" s="192">
        <v>9511</v>
      </c>
      <c r="CF32" s="174">
        <v>28</v>
      </c>
      <c r="CG32" s="174">
        <v>938</v>
      </c>
      <c r="CH32" s="174">
        <v>113</v>
      </c>
      <c r="CI32" s="174">
        <v>117</v>
      </c>
      <c r="CJ32" s="174">
        <v>42</v>
      </c>
      <c r="CK32" s="174">
        <v>27</v>
      </c>
      <c r="CL32" s="220">
        <f t="shared" si="66"/>
        <v>20037</v>
      </c>
      <c r="CM32" s="189">
        <f t="shared" si="33"/>
        <v>18772</v>
      </c>
      <c r="CN32" s="189">
        <f>SUMIF(BZ$2:CK$2,1,BZ32:CK32)</f>
        <v>9511</v>
      </c>
      <c r="CP32" s="595">
        <f t="shared" si="35"/>
        <v>0.86320051139995735</v>
      </c>
      <c r="CQ32" s="594">
        <f t="shared" si="36"/>
        <v>0</v>
      </c>
    </row>
    <row r="33" spans="1:95" ht="12" thickBot="1">
      <c r="A33" s="215" t="s">
        <v>281</v>
      </c>
      <c r="B33" s="215" t="s">
        <v>160</v>
      </c>
      <c r="C33" s="216">
        <f t="shared" si="37"/>
        <v>-5</v>
      </c>
      <c r="D33" s="216">
        <f t="shared" si="9"/>
        <v>-35.943636363636642</v>
      </c>
      <c r="E33" s="216">
        <f t="shared" si="10"/>
        <v>777.26318181818124</v>
      </c>
      <c r="F33" s="216">
        <f t="shared" si="11"/>
        <v>-273.86781818181862</v>
      </c>
      <c r="G33" s="216">
        <f t="shared" si="12"/>
        <v>-5052.0794545454555</v>
      </c>
      <c r="H33" s="216">
        <f t="shared" si="13"/>
        <v>2097.4485454545465</v>
      </c>
      <c r="I33" s="216">
        <f t="shared" si="14"/>
        <v>-567.50181818181773</v>
      </c>
      <c r="J33" s="216">
        <f t="shared" si="15"/>
        <v>-7611.4327272727296</v>
      </c>
      <c r="K33" s="216">
        <f t="shared" si="16"/>
        <v>-5022.8236363636397</v>
      </c>
      <c r="L33" s="216">
        <f t="shared" si="17"/>
        <v>-2611.8799999999997</v>
      </c>
      <c r="M33" s="216">
        <f t="shared" si="18"/>
        <v>-3777.4863636363625</v>
      </c>
      <c r="N33" s="216">
        <f t="shared" si="19"/>
        <v>-9966.4</v>
      </c>
      <c r="O33" s="218">
        <f t="shared" si="20"/>
        <v>-32049.703727272725</v>
      </c>
      <c r="P33" s="244"/>
      <c r="Q33" s="244"/>
      <c r="S33" s="215" t="s">
        <v>281</v>
      </c>
      <c r="T33" s="215" t="s">
        <v>160</v>
      </c>
      <c r="U33" s="225">
        <f>AM33/BE33</f>
        <v>0.99871796960697545</v>
      </c>
      <c r="V33" s="225">
        <f>AN33/BF33</f>
        <v>0.9813751093396208</v>
      </c>
      <c r="W33" s="225">
        <f t="shared" si="22"/>
        <v>1.2893154981955626</v>
      </c>
      <c r="X33" s="225">
        <f t="shared" si="23"/>
        <v>0.89392357755009966</v>
      </c>
      <c r="Y33" s="225">
        <f t="shared" si="24"/>
        <v>0.52778851865733678</v>
      </c>
      <c r="Z33" s="225">
        <f t="shared" si="25"/>
        <v>1.3744253085747571</v>
      </c>
      <c r="AA33" s="225">
        <f t="shared" si="26"/>
        <v>0.94069011685315929</v>
      </c>
      <c r="AB33" s="225">
        <f t="shared" si="27"/>
        <v>0</v>
      </c>
      <c r="AC33" s="225">
        <f t="shared" si="28"/>
        <v>0</v>
      </c>
      <c r="AD33" s="225">
        <f t="shared" si="29"/>
        <v>0</v>
      </c>
      <c r="AE33" s="225">
        <f t="shared" si="30"/>
        <v>0</v>
      </c>
      <c r="AF33" s="225">
        <f t="shared" si="31"/>
        <v>0</v>
      </c>
      <c r="AG33" s="229">
        <f t="shared" si="38"/>
        <v>0.51408389474586347</v>
      </c>
      <c r="AH33" s="241"/>
      <c r="AI33" s="241"/>
      <c r="AK33" s="215" t="s">
        <v>282</v>
      </c>
      <c r="AL33" s="215" t="s">
        <v>160</v>
      </c>
      <c r="AM33" s="216">
        <v>3895.0635454545454</v>
      </c>
      <c r="AN33" s="216">
        <v>1893.9273636363635</v>
      </c>
      <c r="AO33" s="216">
        <v>3463.8222727272719</v>
      </c>
      <c r="AP33" s="216">
        <v>2307.9294545454541</v>
      </c>
      <c r="AQ33" s="216">
        <v>5646.6850909090899</v>
      </c>
      <c r="AR33" s="216">
        <v>7699.2294545454552</v>
      </c>
      <c r="AS33" s="216">
        <v>9000.9172727272726</v>
      </c>
      <c r="AT33" s="216"/>
      <c r="AU33" s="216"/>
      <c r="AV33" s="216"/>
      <c r="AW33" s="216"/>
      <c r="AX33" s="216"/>
      <c r="AY33" s="218">
        <f t="shared" si="39"/>
        <v>33907.574454545458</v>
      </c>
      <c r="AZ33" s="244">
        <f t="shared" si="40"/>
        <v>33907.574454545458</v>
      </c>
      <c r="BA33" s="244">
        <f t="shared" si="41"/>
        <v>9000.9172727272726</v>
      </c>
      <c r="BC33" s="215" t="s">
        <v>282</v>
      </c>
      <c r="BD33" s="215" t="s">
        <v>160</v>
      </c>
      <c r="BE33" s="216">
        <v>3900.0635454545454</v>
      </c>
      <c r="BF33" s="216">
        <v>1929.8710000000001</v>
      </c>
      <c r="BG33" s="216">
        <v>2686.5590909090906</v>
      </c>
      <c r="BH33" s="216">
        <v>2581.7972727272727</v>
      </c>
      <c r="BI33" s="216">
        <v>10698.764545454545</v>
      </c>
      <c r="BJ33" s="216">
        <v>5601.7809090909086</v>
      </c>
      <c r="BK33" s="217">
        <f>8918.41909090909+650</f>
        <v>9568.4190909090903</v>
      </c>
      <c r="BL33" s="217">
        <f>6961.43272727273+650</f>
        <v>7611.4327272727296</v>
      </c>
      <c r="BM33" s="217">
        <f>4372.82363636364+650</f>
        <v>5022.8236363636397</v>
      </c>
      <c r="BN33" s="216">
        <v>2611.8799999999997</v>
      </c>
      <c r="BO33" s="216">
        <v>3777.4863636363625</v>
      </c>
      <c r="BP33" s="216">
        <v>9966.4</v>
      </c>
      <c r="BQ33" s="218">
        <f t="shared" si="47"/>
        <v>65957.278181818183</v>
      </c>
      <c r="BR33" s="244">
        <f t="shared" si="43"/>
        <v>36967.255454545455</v>
      </c>
      <c r="BS33" s="244">
        <f t="shared" si="44"/>
        <v>9568.4190909090903</v>
      </c>
      <c r="BT33" s="180">
        <v>63132.13</v>
      </c>
      <c r="BU33" s="221">
        <f t="shared" si="114"/>
        <v>2825.1481818181855</v>
      </c>
      <c r="BV33" s="219">
        <f>BQ33/$BQ$34</f>
        <v>0.19399588008817925</v>
      </c>
      <c r="BX33" s="554" t="s">
        <v>282</v>
      </c>
      <c r="BY33" s="554" t="s">
        <v>160</v>
      </c>
      <c r="BZ33" s="555">
        <v>2532.02</v>
      </c>
      <c r="CA33" s="555">
        <v>2422.76636363636</v>
      </c>
      <c r="CB33" s="555">
        <v>2686.5590909090902</v>
      </c>
      <c r="CC33" s="555">
        <v>2581.79727272727</v>
      </c>
      <c r="CD33" s="555">
        <v>10713.7645454545</v>
      </c>
      <c r="CE33" s="555">
        <v>5601.7809090909104</v>
      </c>
      <c r="CF33" s="216">
        <v>8918.4190909090903</v>
      </c>
      <c r="CG33" s="216">
        <v>6961.4327272727296</v>
      </c>
      <c r="CH33" s="216">
        <v>4387.8236363636397</v>
      </c>
      <c r="CI33" s="555">
        <v>2611.88</v>
      </c>
      <c r="CJ33" s="555">
        <v>3777.4863636363598</v>
      </c>
      <c r="CK33" s="555">
        <v>7492.2127272727303</v>
      </c>
      <c r="CL33" s="556">
        <f t="shared" si="66"/>
        <v>60687.942727272683</v>
      </c>
      <c r="CM33" s="189">
        <f t="shared" si="33"/>
        <v>26538.688181818132</v>
      </c>
      <c r="CN33" s="189">
        <f>SUMIF(BZ$2:CK$2,1,BZ33:CK33)</f>
        <v>5601.7809090909104</v>
      </c>
      <c r="CP33" s="595">
        <f t="shared" si="35"/>
        <v>1.2776658070754157</v>
      </c>
      <c r="CQ33" s="594">
        <f t="shared" si="36"/>
        <v>1.6067956635219411</v>
      </c>
    </row>
    <row r="34" spans="1:95" ht="12" thickTop="1">
      <c r="A34" s="65" t="s">
        <v>38</v>
      </c>
      <c r="C34" s="69">
        <f t="shared" si="37"/>
        <v>1350.1605309090883</v>
      </c>
      <c r="D34" s="69">
        <f t="shared" si="9"/>
        <v>-519.50401454545863</v>
      </c>
      <c r="E34" s="69">
        <f t="shared" si="10"/>
        <v>2240.4585612121264</v>
      </c>
      <c r="F34" s="69">
        <f t="shared" si="11"/>
        <v>1330.1425887445876</v>
      </c>
      <c r="G34" s="69">
        <f t="shared" si="12"/>
        <v>-11366.532865800864</v>
      </c>
      <c r="H34" s="69">
        <f t="shared" si="13"/>
        <v>6826.1014069264056</v>
      </c>
      <c r="I34" s="69">
        <f t="shared" si="14"/>
        <v>-6985.9544003463161</v>
      </c>
      <c r="J34" s="69">
        <f t="shared" si="15"/>
        <v>-34408.132763982685</v>
      </c>
      <c r="K34" s="69">
        <f t="shared" si="16"/>
        <v>-34400.289029437234</v>
      </c>
      <c r="L34" s="69">
        <f t="shared" si="17"/>
        <v>-36205.931969073594</v>
      </c>
      <c r="M34" s="69">
        <f t="shared" si="18"/>
        <v>-38838.70984718269</v>
      </c>
      <c r="N34" s="69">
        <f t="shared" si="19"/>
        <v>-50173.57161710559</v>
      </c>
      <c r="O34" s="69">
        <f t="shared" si="20"/>
        <v>-201151.76341968228</v>
      </c>
      <c r="S34" s="65" t="s">
        <v>38</v>
      </c>
      <c r="U34" s="228">
        <f t="shared" si="45"/>
        <v>1.0942701274190592</v>
      </c>
      <c r="V34" s="228">
        <f t="shared" si="21"/>
        <v>0.96767152603713313</v>
      </c>
      <c r="W34" s="228">
        <f t="shared" si="22"/>
        <v>1.1535340079332426</v>
      </c>
      <c r="X34" s="228">
        <f t="shared" si="23"/>
        <v>1.0742497798679156</v>
      </c>
      <c r="Y34" s="228">
        <f t="shared" si="24"/>
        <v>0.58895165134597094</v>
      </c>
      <c r="Z34" s="228">
        <f t="shared" si="25"/>
        <v>1.2490448134162733</v>
      </c>
      <c r="AA34" s="228">
        <f t="shared" si="26"/>
        <v>0.75055561577782726</v>
      </c>
      <c r="AB34" s="228">
        <f t="shared" si="27"/>
        <v>0</v>
      </c>
      <c r="AC34" s="228">
        <f t="shared" si="28"/>
        <v>0</v>
      </c>
      <c r="AD34" s="228">
        <f t="shared" si="29"/>
        <v>0</v>
      </c>
      <c r="AE34" s="228">
        <f t="shared" si="30"/>
        <v>0</v>
      </c>
      <c r="AF34" s="228">
        <f t="shared" si="31"/>
        <v>0</v>
      </c>
      <c r="AG34" s="228">
        <f>AY34/BQ34</f>
        <v>0.40836531689011574</v>
      </c>
      <c r="AH34" s="228"/>
      <c r="AI34" s="228"/>
      <c r="AK34" s="65" t="s">
        <v>38</v>
      </c>
      <c r="AM34" s="69">
        <f t="shared" ref="AM34:AR34" si="130">SUM(AM29:AM33)+AM9+AM14+AM19+AM23+AM28</f>
        <v>15672.412636363635</v>
      </c>
      <c r="AN34" s="69">
        <f t="shared" si="130"/>
        <v>15550.045545454544</v>
      </c>
      <c r="AO34" s="69">
        <f t="shared" si="130"/>
        <v>16833.046818181818</v>
      </c>
      <c r="AP34" s="69">
        <f t="shared" si="130"/>
        <v>19244.574000000001</v>
      </c>
      <c r="AQ34" s="69">
        <f t="shared" si="130"/>
        <v>16286.011909090908</v>
      </c>
      <c r="AR34" s="69">
        <f t="shared" si="130"/>
        <v>34235.230363636365</v>
      </c>
      <c r="AS34" s="69">
        <f>SUM(AS29:AS33)+AS9+AS14+AS19+AS23+AS28</f>
        <v>21020.105636363638</v>
      </c>
      <c r="AT34" s="69">
        <f t="shared" ref="AT34:AX34" si="131">SUM(AT29:AT33)+AT9+AT14+AT19+AT23+AT28</f>
        <v>0</v>
      </c>
      <c r="AU34" s="69">
        <f t="shared" si="131"/>
        <v>0</v>
      </c>
      <c r="AV34" s="69">
        <f t="shared" si="131"/>
        <v>0</v>
      </c>
      <c r="AW34" s="69">
        <f t="shared" si="131"/>
        <v>0</v>
      </c>
      <c r="AX34" s="69">
        <f t="shared" si="131"/>
        <v>0</v>
      </c>
      <c r="AY34" s="69">
        <f>SUM(AY29:AY33)+AY9+AY14+AY19+AY23+AY28</f>
        <v>138841.42690909089</v>
      </c>
      <c r="AZ34" s="69">
        <f t="shared" si="40"/>
        <v>138841.42690909092</v>
      </c>
      <c r="BA34" s="69">
        <f t="shared" si="41"/>
        <v>21020.105636363638</v>
      </c>
      <c r="BC34" s="65" t="s">
        <v>38</v>
      </c>
      <c r="BE34" s="69">
        <f>BE9+BE14+BE19+BE23+BE28+SUM(BE29:BE33)</f>
        <v>14322.252105454547</v>
      </c>
      <c r="BF34" s="69">
        <f t="shared" ref="BF34:BP34" si="132">BF9+BF14+BF19+BF23+BF28+SUM(BF29:BF33)</f>
        <v>16069.549560000003</v>
      </c>
      <c r="BG34" s="69">
        <f t="shared" si="132"/>
        <v>14592.588256969691</v>
      </c>
      <c r="BH34" s="69">
        <f t="shared" si="132"/>
        <v>17914.431411255413</v>
      </c>
      <c r="BI34" s="69">
        <f t="shared" si="132"/>
        <v>27652.544774891772</v>
      </c>
      <c r="BJ34" s="69">
        <f>BJ9+BJ14+BJ19+BJ23+BJ28+SUM(BJ29:BJ33)</f>
        <v>27409.128956709959</v>
      </c>
      <c r="BK34" s="69">
        <f t="shared" si="132"/>
        <v>28006.060036709954</v>
      </c>
      <c r="BL34" s="69">
        <f t="shared" si="132"/>
        <v>34408.132763982685</v>
      </c>
      <c r="BM34" s="69">
        <f t="shared" si="132"/>
        <v>34400.289029437234</v>
      </c>
      <c r="BN34" s="69">
        <f t="shared" si="132"/>
        <v>36205.931969073594</v>
      </c>
      <c r="BO34" s="69">
        <f t="shared" si="132"/>
        <v>38838.70984718269</v>
      </c>
      <c r="BP34" s="69">
        <f t="shared" si="132"/>
        <v>50173.57161710559</v>
      </c>
      <c r="BQ34" s="214">
        <f>BQ9+BQ14+BQ19+BQ23+BQ28+BQ29+BQ30+BQ31+BQ32+BQ33</f>
        <v>339993.19032877317</v>
      </c>
      <c r="BR34" s="214">
        <f t="shared" si="43"/>
        <v>145966.55510199134</v>
      </c>
      <c r="BS34" s="69">
        <f t="shared" si="44"/>
        <v>28006.060036709954</v>
      </c>
      <c r="BT34" s="180">
        <f>SUM(BT24:BT33)</f>
        <v>237624.22096969694</v>
      </c>
      <c r="BU34" s="221">
        <f t="shared" si="114"/>
        <v>102368.96935907623</v>
      </c>
      <c r="BX34" s="65" t="s">
        <v>38</v>
      </c>
      <c r="BZ34" s="189">
        <f t="shared" ref="BZ34:CK34" si="133">BZ9+BZ14+BZ19+BZ23+BZ28+SUM(BZ29:BZ33)</f>
        <v>12249.353090909088</v>
      </c>
      <c r="CA34" s="189">
        <f t="shared" si="133"/>
        <v>14481.441999999994</v>
      </c>
      <c r="CB34" s="189">
        <f t="shared" si="133"/>
        <v>14927.275090909088</v>
      </c>
      <c r="CC34" s="189">
        <f t="shared" si="133"/>
        <v>17684.998636363631</v>
      </c>
      <c r="CD34" s="189">
        <f t="shared" si="133"/>
        <v>28653.898181818135</v>
      </c>
      <c r="CE34" s="189">
        <f t="shared" si="133"/>
        <v>25027.037818181816</v>
      </c>
      <c r="CF34" s="189">
        <f t="shared" si="133"/>
        <v>20655.50454545454</v>
      </c>
      <c r="CG34" s="189">
        <f t="shared" si="133"/>
        <v>19882.378818181824</v>
      </c>
      <c r="CH34" s="189">
        <f t="shared" si="133"/>
        <v>17537.629454545462</v>
      </c>
      <c r="CI34" s="189">
        <f t="shared" si="133"/>
        <v>16444.690818181822</v>
      </c>
      <c r="CJ34" s="189">
        <f t="shared" si="133"/>
        <v>25829.954545454548</v>
      </c>
      <c r="CK34" s="189">
        <f t="shared" si="133"/>
        <v>20514.425545454556</v>
      </c>
      <c r="CL34" s="557">
        <f>CL9+CL14+CL19+CL23+CL28+CL29+CL30+CL31+CL32+CL33</f>
        <v>233888.58854545452</v>
      </c>
      <c r="CM34" s="557">
        <f t="shared" si="33"/>
        <v>113024.00481818174</v>
      </c>
      <c r="CN34" s="189">
        <f>SUMIF(CA$2:CL$2,1,CA34:CL34)</f>
        <v>25027.037818181816</v>
      </c>
      <c r="CP34" s="595">
        <f t="shared" si="35"/>
        <v>1.2284242372444762</v>
      </c>
      <c r="CQ34" s="595">
        <f t="shared" si="36"/>
        <v>0.8398958673843856</v>
      </c>
    </row>
    <row r="35" spans="1:95">
      <c r="AL35" s="69"/>
      <c r="AM35" s="228">
        <f>AM34/BZ34</f>
        <v>1.2794481896350092</v>
      </c>
      <c r="AN35" s="228">
        <f t="shared" ref="AN35:AX35" si="134">AN34/CA34</f>
        <v>1.0737912388458657</v>
      </c>
      <c r="AO35" s="228">
        <f t="shared" si="134"/>
        <v>1.1276704365442671</v>
      </c>
      <c r="AP35" s="228">
        <f t="shared" si="134"/>
        <v>1.0881863434487122</v>
      </c>
      <c r="AQ35" s="228">
        <f t="shared" si="134"/>
        <v>0.56836985340531898</v>
      </c>
      <c r="AR35" s="228">
        <f t="shared" si="134"/>
        <v>1.3679297810772044</v>
      </c>
      <c r="AS35" s="228">
        <f t="shared" si="134"/>
        <v>1.0176515219033626</v>
      </c>
      <c r="AT35" s="228">
        <f t="shared" si="134"/>
        <v>0</v>
      </c>
      <c r="AU35" s="228">
        <f t="shared" si="134"/>
        <v>0</v>
      </c>
      <c r="AV35" s="228">
        <f t="shared" si="134"/>
        <v>0</v>
      </c>
      <c r="AW35" s="228">
        <f t="shared" si="134"/>
        <v>0</v>
      </c>
      <c r="AX35" s="228">
        <f t="shared" si="134"/>
        <v>0</v>
      </c>
      <c r="BY35" s="65" t="s">
        <v>283</v>
      </c>
      <c r="BZ35" s="65">
        <v>50.5</v>
      </c>
      <c r="CA35" s="65">
        <v>76.099999999999994</v>
      </c>
      <c r="CB35" s="65">
        <v>0</v>
      </c>
      <c r="CC35" s="65">
        <v>61.5</v>
      </c>
      <c r="CD35" s="65">
        <v>59.5</v>
      </c>
      <c r="CE35" s="65">
        <v>59.5</v>
      </c>
      <c r="CF35" s="65">
        <v>71.599999999999994</v>
      </c>
      <c r="CG35" s="65">
        <v>136.69999999999999</v>
      </c>
      <c r="CH35" s="65">
        <v>132.6</v>
      </c>
      <c r="CI35" s="65">
        <v>150.6</v>
      </c>
      <c r="CJ35" s="65">
        <v>138.25</v>
      </c>
      <c r="CK35" s="65">
        <v>155</v>
      </c>
      <c r="CL35" s="69">
        <f>SUM(BZ35:CK35)</f>
        <v>1091.8500000000001</v>
      </c>
    </row>
    <row r="36" spans="1:95">
      <c r="AL36" s="69"/>
      <c r="CL36" s="70">
        <f>SUM(CL34:CL35)</f>
        <v>234980.43854545453</v>
      </c>
    </row>
    <row r="37" spans="1:95" s="183" customFormat="1">
      <c r="A37" s="183" t="s">
        <v>284</v>
      </c>
      <c r="C37" s="424">
        <v>1</v>
      </c>
      <c r="D37" s="424">
        <v>2</v>
      </c>
      <c r="E37" s="424">
        <v>3</v>
      </c>
      <c r="F37" s="424">
        <v>4</v>
      </c>
      <c r="G37" s="424">
        <v>5</v>
      </c>
      <c r="H37" s="424">
        <v>6</v>
      </c>
      <c r="I37" s="424">
        <v>7</v>
      </c>
      <c r="J37" s="424">
        <v>8</v>
      </c>
      <c r="K37" s="424">
        <v>9</v>
      </c>
      <c r="L37" s="424">
        <v>10</v>
      </c>
      <c r="M37" s="424">
        <v>11</v>
      </c>
      <c r="N37" s="424">
        <v>12</v>
      </c>
      <c r="O37" s="425" t="s">
        <v>38</v>
      </c>
      <c r="P37" s="437">
        <f>サマリ!$A$1</f>
        <v>7</v>
      </c>
      <c r="Q37" s="529">
        <f>サマリ!$A$1</f>
        <v>7</v>
      </c>
      <c r="R37" s="426"/>
      <c r="S37" s="426" t="s">
        <v>284</v>
      </c>
      <c r="T37" s="426"/>
      <c r="U37" s="424">
        <v>1</v>
      </c>
      <c r="V37" s="424">
        <v>2</v>
      </c>
      <c r="W37" s="424">
        <v>3</v>
      </c>
      <c r="X37" s="424">
        <v>4</v>
      </c>
      <c r="Y37" s="424">
        <v>5</v>
      </c>
      <c r="Z37" s="424">
        <v>6</v>
      </c>
      <c r="AA37" s="424">
        <v>7</v>
      </c>
      <c r="AB37" s="424">
        <v>8</v>
      </c>
      <c r="AC37" s="424">
        <v>9</v>
      </c>
      <c r="AD37" s="424">
        <v>10</v>
      </c>
      <c r="AE37" s="424">
        <v>11</v>
      </c>
      <c r="AF37" s="424">
        <v>12</v>
      </c>
      <c r="AG37" s="425" t="s">
        <v>38</v>
      </c>
      <c r="AH37" s="437">
        <f>サマリ!$A$1</f>
        <v>7</v>
      </c>
      <c r="AI37" s="529">
        <f>サマリ!$A$1</f>
        <v>7</v>
      </c>
      <c r="AJ37" s="426"/>
      <c r="AK37" s="426" t="s">
        <v>284</v>
      </c>
      <c r="AL37" s="426"/>
      <c r="AM37" s="424">
        <v>1</v>
      </c>
      <c r="AN37" s="424">
        <v>2</v>
      </c>
      <c r="AO37" s="424">
        <v>3</v>
      </c>
      <c r="AP37" s="424">
        <v>4</v>
      </c>
      <c r="AQ37" s="424">
        <v>5</v>
      </c>
      <c r="AR37" s="424">
        <v>6</v>
      </c>
      <c r="AS37" s="424">
        <v>7</v>
      </c>
      <c r="AT37" s="424">
        <v>8</v>
      </c>
      <c r="AU37" s="424">
        <v>9</v>
      </c>
      <c r="AV37" s="424">
        <v>10</v>
      </c>
      <c r="AW37" s="424">
        <v>11</v>
      </c>
      <c r="AX37" s="424">
        <v>12</v>
      </c>
      <c r="AY37" s="425" t="s">
        <v>38</v>
      </c>
      <c r="AZ37" s="437">
        <f>サマリ!$A$1</f>
        <v>7</v>
      </c>
      <c r="BA37" s="529">
        <f>サマリ!$A$1</f>
        <v>7</v>
      </c>
      <c r="BB37" s="426"/>
      <c r="BC37" s="426" t="s">
        <v>284</v>
      </c>
      <c r="BD37" s="426"/>
      <c r="BE37" s="424">
        <v>1</v>
      </c>
      <c r="BF37" s="424">
        <v>2</v>
      </c>
      <c r="BG37" s="424">
        <v>3</v>
      </c>
      <c r="BH37" s="424">
        <v>4</v>
      </c>
      <c r="BI37" s="424">
        <v>5</v>
      </c>
      <c r="BJ37" s="424">
        <v>6</v>
      </c>
      <c r="BK37" s="424">
        <v>7</v>
      </c>
      <c r="BL37" s="424">
        <v>8</v>
      </c>
      <c r="BM37" s="424">
        <v>9</v>
      </c>
      <c r="BN37" s="424">
        <v>10</v>
      </c>
      <c r="BO37" s="424">
        <v>11</v>
      </c>
      <c r="BP37" s="424">
        <v>12</v>
      </c>
      <c r="BQ37" s="425" t="s">
        <v>38</v>
      </c>
      <c r="BR37" s="437">
        <f>サマリ!$A$1</f>
        <v>7</v>
      </c>
      <c r="BS37" s="529">
        <f>サマリ!$A$1</f>
        <v>7</v>
      </c>
      <c r="BT37" s="184" t="s">
        <v>285</v>
      </c>
      <c r="BX37" s="562" t="s">
        <v>284</v>
      </c>
      <c r="BY37" s="562"/>
      <c r="BZ37" s="563">
        <v>1</v>
      </c>
      <c r="CA37" s="563">
        <v>2</v>
      </c>
      <c r="CB37" s="563">
        <v>3</v>
      </c>
      <c r="CC37" s="563">
        <v>4</v>
      </c>
      <c r="CD37" s="563">
        <v>5</v>
      </c>
      <c r="CE37" s="563">
        <v>6</v>
      </c>
      <c r="CF37" s="563">
        <v>7</v>
      </c>
      <c r="CG37" s="563">
        <v>8</v>
      </c>
      <c r="CH37" s="563">
        <v>9</v>
      </c>
      <c r="CI37" s="563">
        <v>10</v>
      </c>
      <c r="CJ37" s="563">
        <v>11</v>
      </c>
      <c r="CK37" s="563">
        <v>12</v>
      </c>
      <c r="CL37" s="564" t="s">
        <v>38</v>
      </c>
      <c r="CM37" s="565">
        <f>サマリ!$A$1</f>
        <v>7</v>
      </c>
      <c r="CN37" s="566">
        <f>サマリ!$A$1</f>
        <v>7</v>
      </c>
    </row>
    <row r="38" spans="1:95">
      <c r="A38" s="65" t="s">
        <v>149</v>
      </c>
      <c r="B38" s="65" t="s">
        <v>260</v>
      </c>
      <c r="C38" s="174" t="e">
        <f t="shared" ref="C38:C62" si="135">U38/AM38</f>
        <v>#DIV/0!</v>
      </c>
      <c r="D38" s="174" t="e">
        <f t="shared" ref="D38:D62" si="136">V38/AN38</f>
        <v>#DIV/0!</v>
      </c>
      <c r="E38" s="174" t="e">
        <f t="shared" ref="E38:E62" si="137">W38/AO38</f>
        <v>#DIV/0!</v>
      </c>
      <c r="F38" s="174" t="e">
        <f t="shared" ref="F38:F62" si="138">X38/AP38</f>
        <v>#DIV/0!</v>
      </c>
      <c r="G38" s="174" t="e">
        <f t="shared" ref="G38:G62" si="139">Y38/AQ38</f>
        <v>#DIV/0!</v>
      </c>
      <c r="H38" s="174" t="e">
        <f t="shared" ref="H38:H62" si="140">Z38/AR38</f>
        <v>#DIV/0!</v>
      </c>
      <c r="I38" s="174" t="e">
        <f t="shared" ref="I38:I62" si="141">AA38/AS38</f>
        <v>#DIV/0!</v>
      </c>
      <c r="J38" s="174" t="e">
        <f t="shared" ref="J38:J62" si="142">AB38/AT38</f>
        <v>#DIV/0!</v>
      </c>
      <c r="K38" s="174" t="e">
        <f t="shared" ref="K38:K62" si="143">AC38/AU38</f>
        <v>#DIV/0!</v>
      </c>
      <c r="L38" s="174" t="e">
        <f t="shared" ref="L38:L62" si="144">AD38/AV38</f>
        <v>#DIV/0!</v>
      </c>
      <c r="M38" s="174" t="e">
        <f t="shared" ref="M38:M62" si="145">AE38/AW38</f>
        <v>#DIV/0!</v>
      </c>
      <c r="N38" s="174" t="e">
        <f t="shared" ref="N38:N62" si="146">AF38/AX38</f>
        <v>#DIV/0!</v>
      </c>
      <c r="O38" s="69" t="e">
        <f t="shared" ref="O38:O62" si="147">AG38/AY38</f>
        <v>#DIV/0!</v>
      </c>
      <c r="S38" s="65" t="s">
        <v>149</v>
      </c>
      <c r="T38" s="65" t="s">
        <v>260</v>
      </c>
      <c r="U38" s="174" t="e">
        <f t="shared" ref="U38:U62" si="148">AM38/BE38</f>
        <v>#DIV/0!</v>
      </c>
      <c r="V38" s="174" t="e">
        <f t="shared" ref="V38:V62" si="149">AN38/BF38</f>
        <v>#DIV/0!</v>
      </c>
      <c r="W38" s="174" t="e">
        <f t="shared" ref="W38:W62" si="150">AO38/BG38</f>
        <v>#DIV/0!</v>
      </c>
      <c r="X38" s="174" t="e">
        <f t="shared" ref="X38:X62" si="151">AP38/BH38</f>
        <v>#DIV/0!</v>
      </c>
      <c r="Y38" s="174" t="e">
        <f t="shared" ref="Y38:Y62" si="152">AQ38/BI38</f>
        <v>#DIV/0!</v>
      </c>
      <c r="Z38" s="174" t="e">
        <f t="shared" ref="Z38:Z62" si="153">AR38/BJ38</f>
        <v>#DIV/0!</v>
      </c>
      <c r="AA38" s="174">
        <f t="shared" ref="AA38:AA62" si="154">AS38/BK38</f>
        <v>0</v>
      </c>
      <c r="AB38" s="174">
        <f t="shared" ref="AB38:AB62" si="155">AT38/BL38</f>
        <v>0</v>
      </c>
      <c r="AC38" s="174">
        <f t="shared" ref="AC38:AC62" si="156">AU38/BM38</f>
        <v>0</v>
      </c>
      <c r="AD38" s="174">
        <f t="shared" ref="AD38:AD62" si="157">AV38/BN38</f>
        <v>0</v>
      </c>
      <c r="AE38" s="174">
        <f t="shared" ref="AE38:AE62" si="158">AW38/BO38</f>
        <v>0</v>
      </c>
      <c r="AF38" s="174">
        <f t="shared" ref="AF38:AF62" si="159">AX38/BP38</f>
        <v>0</v>
      </c>
      <c r="AG38" s="69">
        <f t="shared" ref="AG38:AG62" si="160">AY38/BQ38</f>
        <v>0</v>
      </c>
      <c r="AK38" s="65" t="s">
        <v>149</v>
      </c>
      <c r="AL38" s="65" t="s">
        <v>260</v>
      </c>
      <c r="AM38" s="174">
        <v>0</v>
      </c>
      <c r="AN38" s="174">
        <v>0</v>
      </c>
      <c r="AO38" s="174">
        <v>0</v>
      </c>
      <c r="AP38" s="174">
        <v>0</v>
      </c>
      <c r="AQ38" s="174">
        <v>0</v>
      </c>
      <c r="AR38" s="174">
        <v>0</v>
      </c>
      <c r="AS38" s="174">
        <v>0</v>
      </c>
      <c r="AT38" s="174"/>
      <c r="AU38" s="174"/>
      <c r="AV38" s="174"/>
      <c r="AW38" s="174"/>
      <c r="AX38" s="174"/>
      <c r="AY38" s="69">
        <f>AX38</f>
        <v>0</v>
      </c>
      <c r="AZ38" s="69">
        <f t="shared" ref="AZ38:AZ62" si="161">SUMIF(AM$3:AX$3,1,AM38:AX38)</f>
        <v>0</v>
      </c>
      <c r="BA38" s="69">
        <f t="shared" ref="BA38:BA62" si="162">SUMIF(AN$2:AY$2,1,AN38:AY38)</f>
        <v>0</v>
      </c>
      <c r="BC38" s="65" t="s">
        <v>149</v>
      </c>
      <c r="BD38" s="65" t="s">
        <v>260</v>
      </c>
      <c r="BK38" s="174">
        <v>14</v>
      </c>
      <c r="BL38" s="174">
        <v>24</v>
      </c>
      <c r="BM38" s="174">
        <v>36</v>
      </c>
      <c r="BN38" s="174">
        <v>48</v>
      </c>
      <c r="BO38" s="174">
        <v>58</v>
      </c>
      <c r="BP38" s="174">
        <v>76</v>
      </c>
      <c r="BQ38" s="69">
        <f>BP38</f>
        <v>76</v>
      </c>
      <c r="BR38" s="69">
        <f t="shared" ref="BR38:BR62" si="163">SUMIF(BE$3:BP$3,1,BE38:BP38)</f>
        <v>14</v>
      </c>
      <c r="BS38" s="69">
        <f t="shared" ref="BS38:BS62" si="164">SUMIF(BF$2:BQ$2,1,BF38:BQ38)</f>
        <v>14</v>
      </c>
      <c r="BT38" s="69">
        <v>110</v>
      </c>
      <c r="BU38" s="171"/>
      <c r="BX38" s="65" t="s">
        <v>149</v>
      </c>
      <c r="BY38" s="65" t="s">
        <v>260</v>
      </c>
      <c r="BZ38" s="192">
        <v>0</v>
      </c>
      <c r="CA38" s="192">
        <v>0</v>
      </c>
      <c r="CB38" s="192">
        <v>0</v>
      </c>
      <c r="CC38" s="192">
        <v>0</v>
      </c>
      <c r="CD38" s="192">
        <v>0</v>
      </c>
      <c r="CE38" s="192">
        <v>0</v>
      </c>
      <c r="CF38" s="192">
        <v>0</v>
      </c>
      <c r="CG38" s="192">
        <v>0</v>
      </c>
      <c r="CH38" s="192">
        <v>1</v>
      </c>
      <c r="CI38" s="192">
        <v>1</v>
      </c>
      <c r="CJ38" s="192">
        <v>2</v>
      </c>
      <c r="CK38" s="192">
        <v>3</v>
      </c>
      <c r="CL38" s="189">
        <f t="shared" ref="CL38:CL53" si="165">CK38</f>
        <v>3</v>
      </c>
      <c r="CM38" s="189">
        <f t="shared" ref="CM38:CM62" si="166">SUMIF(BZ$3:CK$3,1,BZ38:CK38)</f>
        <v>0</v>
      </c>
      <c r="CN38" s="189">
        <f t="shared" ref="CN38:CN62" si="167">SUMIF(CA$2:CL$2,1,CA38:CL38)</f>
        <v>0</v>
      </c>
    </row>
    <row r="39" spans="1:95">
      <c r="A39" s="175" t="s">
        <v>149</v>
      </c>
      <c r="B39" s="65" t="s">
        <v>24</v>
      </c>
      <c r="C39" s="174">
        <f t="shared" si="135"/>
        <v>0.5</v>
      </c>
      <c r="D39" s="174">
        <f t="shared" si="136"/>
        <v>0.25</v>
      </c>
      <c r="E39" s="174">
        <f t="shared" si="137"/>
        <v>0.16666666666666666</v>
      </c>
      <c r="F39" s="174">
        <f t="shared" si="138"/>
        <v>0.14285714285714285</v>
      </c>
      <c r="G39" s="174">
        <f t="shared" si="139"/>
        <v>9.9999999999999992E-2</v>
      </c>
      <c r="H39" s="174">
        <f t="shared" si="140"/>
        <v>5.8823529411764705E-2</v>
      </c>
      <c r="I39" s="174">
        <f t="shared" si="141"/>
        <v>4.1666666666666664E-2</v>
      </c>
      <c r="J39" s="174" t="e">
        <f t="shared" si="142"/>
        <v>#DIV/0!</v>
      </c>
      <c r="K39" s="174" t="e">
        <f t="shared" si="143"/>
        <v>#DIV/0!</v>
      </c>
      <c r="L39" s="174" t="e">
        <f t="shared" si="144"/>
        <v>#DIV/0!</v>
      </c>
      <c r="M39" s="174" t="e">
        <f t="shared" si="145"/>
        <v>#DIV/0!</v>
      </c>
      <c r="N39" s="174" t="e">
        <f t="shared" si="146"/>
        <v>#DIV/0!</v>
      </c>
      <c r="O39" s="69" t="e">
        <f t="shared" si="147"/>
        <v>#DIV/0!</v>
      </c>
      <c r="S39" s="175" t="s">
        <v>149</v>
      </c>
      <c r="T39" s="65" t="s">
        <v>24</v>
      </c>
      <c r="U39" s="174">
        <f>AM39/BE39</f>
        <v>1</v>
      </c>
      <c r="V39" s="174">
        <f t="shared" si="149"/>
        <v>0.75</v>
      </c>
      <c r="W39" s="174">
        <f t="shared" si="150"/>
        <v>0.66666666666666663</v>
      </c>
      <c r="X39" s="174">
        <f t="shared" si="151"/>
        <v>0.7142857142857143</v>
      </c>
      <c r="Y39" s="174">
        <f t="shared" si="152"/>
        <v>0.7</v>
      </c>
      <c r="Z39" s="174">
        <f t="shared" si="153"/>
        <v>0.47058823529411764</v>
      </c>
      <c r="AA39" s="174">
        <f t="shared" si="154"/>
        <v>0.33333333333333331</v>
      </c>
      <c r="AB39" s="174">
        <f t="shared" si="155"/>
        <v>0</v>
      </c>
      <c r="AC39" s="174">
        <f t="shared" si="156"/>
        <v>0</v>
      </c>
      <c r="AD39" s="174">
        <f t="shared" si="157"/>
        <v>0</v>
      </c>
      <c r="AE39" s="174">
        <f t="shared" si="158"/>
        <v>0</v>
      </c>
      <c r="AF39" s="174">
        <f t="shared" si="159"/>
        <v>0</v>
      </c>
      <c r="AG39" s="69">
        <f t="shared" si="160"/>
        <v>0</v>
      </c>
      <c r="AK39" s="175" t="s">
        <v>149</v>
      </c>
      <c r="AL39" s="65" t="s">
        <v>24</v>
      </c>
      <c r="AM39" s="174">
        <v>2</v>
      </c>
      <c r="AN39" s="174">
        <v>3</v>
      </c>
      <c r="AO39" s="174">
        <v>4</v>
      </c>
      <c r="AP39" s="174">
        <v>5</v>
      </c>
      <c r="AQ39" s="174">
        <v>7</v>
      </c>
      <c r="AR39" s="174">
        <v>8</v>
      </c>
      <c r="AS39" s="174">
        <v>8</v>
      </c>
      <c r="AT39" s="174"/>
      <c r="AU39" s="174"/>
      <c r="AV39" s="174"/>
      <c r="AW39" s="174"/>
      <c r="AX39" s="174"/>
      <c r="AY39" s="69">
        <f t="shared" ref="AY39:AY62" si="168">AX39</f>
        <v>0</v>
      </c>
      <c r="AZ39" s="69">
        <f t="shared" si="161"/>
        <v>37</v>
      </c>
      <c r="BA39" s="69">
        <f t="shared" si="162"/>
        <v>8</v>
      </c>
      <c r="BC39" s="175" t="s">
        <v>149</v>
      </c>
      <c r="BD39" s="65" t="s">
        <v>24</v>
      </c>
      <c r="BE39" s="174">
        <v>2</v>
      </c>
      <c r="BF39" s="174">
        <v>4</v>
      </c>
      <c r="BG39" s="174">
        <v>6</v>
      </c>
      <c r="BH39" s="174">
        <v>7</v>
      </c>
      <c r="BI39" s="174">
        <v>10</v>
      </c>
      <c r="BJ39" s="174">
        <v>17</v>
      </c>
      <c r="BK39" s="174">
        <v>24</v>
      </c>
      <c r="BL39" s="174">
        <v>30</v>
      </c>
      <c r="BM39" s="174">
        <v>38</v>
      </c>
      <c r="BN39" s="174">
        <v>44</v>
      </c>
      <c r="BO39" s="174">
        <v>52</v>
      </c>
      <c r="BP39" s="174">
        <v>65</v>
      </c>
      <c r="BQ39" s="69">
        <f t="shared" ref="BQ39:BQ62" si="169">BP39</f>
        <v>65</v>
      </c>
      <c r="BR39" s="69">
        <f t="shared" si="163"/>
        <v>70</v>
      </c>
      <c r="BS39" s="69">
        <f t="shared" si="164"/>
        <v>24</v>
      </c>
      <c r="BT39" s="69">
        <v>0</v>
      </c>
      <c r="BX39" s="196" t="s">
        <v>149</v>
      </c>
      <c r="BY39" s="65" t="s">
        <v>24</v>
      </c>
      <c r="BZ39" s="192">
        <v>15</v>
      </c>
      <c r="CA39" s="192">
        <v>19</v>
      </c>
      <c r="CB39" s="192">
        <v>23</v>
      </c>
      <c r="CC39" s="192">
        <v>25</v>
      </c>
      <c r="CD39" s="192">
        <v>29</v>
      </c>
      <c r="CE39" s="192">
        <v>33</v>
      </c>
      <c r="CF39" s="192">
        <v>34</v>
      </c>
      <c r="CG39" s="192">
        <v>41</v>
      </c>
      <c r="CH39" s="192">
        <v>42</v>
      </c>
      <c r="CI39" s="192">
        <v>44</v>
      </c>
      <c r="CJ39" s="192">
        <v>47</v>
      </c>
      <c r="CK39" s="192">
        <v>47</v>
      </c>
      <c r="CL39" s="189">
        <f t="shared" si="165"/>
        <v>47</v>
      </c>
      <c r="CM39" s="189">
        <f t="shared" si="166"/>
        <v>144</v>
      </c>
      <c r="CN39" s="189">
        <f t="shared" si="167"/>
        <v>33</v>
      </c>
    </row>
    <row r="40" spans="1:95">
      <c r="A40" s="175" t="s">
        <v>149</v>
      </c>
      <c r="B40" s="65" t="s">
        <v>262</v>
      </c>
      <c r="C40" s="174" t="e">
        <f t="shared" si="135"/>
        <v>#DIV/0!</v>
      </c>
      <c r="D40" s="174" t="e">
        <f t="shared" si="136"/>
        <v>#DIV/0!</v>
      </c>
      <c r="E40" s="174">
        <f t="shared" si="137"/>
        <v>1</v>
      </c>
      <c r="F40" s="174">
        <f t="shared" si="138"/>
        <v>1</v>
      </c>
      <c r="G40" s="174">
        <f t="shared" si="139"/>
        <v>1</v>
      </c>
      <c r="H40" s="174">
        <f t="shared" si="140"/>
        <v>1</v>
      </c>
      <c r="I40" s="174">
        <f t="shared" si="141"/>
        <v>6.6666666666666666E-2</v>
      </c>
      <c r="J40" s="174" t="e">
        <f t="shared" si="142"/>
        <v>#DIV/0!</v>
      </c>
      <c r="K40" s="174" t="e">
        <f t="shared" si="143"/>
        <v>#DIV/0!</v>
      </c>
      <c r="L40" s="174" t="e">
        <f t="shared" si="144"/>
        <v>#DIV/0!</v>
      </c>
      <c r="M40" s="174" t="e">
        <f t="shared" si="145"/>
        <v>#DIV/0!</v>
      </c>
      <c r="N40" s="174" t="e">
        <f t="shared" si="146"/>
        <v>#DIV/0!</v>
      </c>
      <c r="O40" s="69" t="e">
        <f t="shared" si="147"/>
        <v>#DIV/0!</v>
      </c>
      <c r="S40" s="175" t="s">
        <v>149</v>
      </c>
      <c r="T40" s="65" t="s">
        <v>262</v>
      </c>
      <c r="U40" s="174" t="e">
        <f t="shared" si="148"/>
        <v>#DIV/0!</v>
      </c>
      <c r="V40" s="174" t="e">
        <f t="shared" si="149"/>
        <v>#DIV/0!</v>
      </c>
      <c r="W40" s="174">
        <f t="shared" si="150"/>
        <v>3</v>
      </c>
      <c r="X40" s="174">
        <f t="shared" si="151"/>
        <v>4</v>
      </c>
      <c r="Y40" s="174">
        <f t="shared" si="152"/>
        <v>4</v>
      </c>
      <c r="Z40" s="174">
        <f t="shared" si="153"/>
        <v>4</v>
      </c>
      <c r="AA40" s="174">
        <f t="shared" si="154"/>
        <v>0.26666666666666666</v>
      </c>
      <c r="AB40" s="174">
        <f t="shared" si="155"/>
        <v>0</v>
      </c>
      <c r="AC40" s="174">
        <f t="shared" si="156"/>
        <v>0</v>
      </c>
      <c r="AD40" s="174">
        <f t="shared" si="157"/>
        <v>0</v>
      </c>
      <c r="AE40" s="174">
        <f t="shared" si="158"/>
        <v>0</v>
      </c>
      <c r="AF40" s="174">
        <f t="shared" si="159"/>
        <v>0</v>
      </c>
      <c r="AG40" s="69">
        <f t="shared" si="160"/>
        <v>0</v>
      </c>
      <c r="AK40" s="175" t="s">
        <v>149</v>
      </c>
      <c r="AL40" s="65" t="s">
        <v>262</v>
      </c>
      <c r="AM40" s="174">
        <v>1</v>
      </c>
      <c r="AN40" s="174">
        <v>2</v>
      </c>
      <c r="AO40" s="174">
        <v>3</v>
      </c>
      <c r="AP40" s="174">
        <v>4</v>
      </c>
      <c r="AQ40" s="174">
        <v>4</v>
      </c>
      <c r="AR40" s="174">
        <v>4</v>
      </c>
      <c r="AS40" s="174">
        <v>4</v>
      </c>
      <c r="AT40" s="174"/>
      <c r="AU40" s="174"/>
      <c r="AV40" s="174"/>
      <c r="AW40" s="174"/>
      <c r="AX40" s="174"/>
      <c r="AY40" s="69">
        <f t="shared" si="168"/>
        <v>0</v>
      </c>
      <c r="AZ40" s="69">
        <f t="shared" si="161"/>
        <v>22</v>
      </c>
      <c r="BA40" s="69">
        <f t="shared" si="162"/>
        <v>4</v>
      </c>
      <c r="BC40" s="175" t="s">
        <v>149</v>
      </c>
      <c r="BD40" s="65" t="s">
        <v>262</v>
      </c>
      <c r="BG40" s="69">
        <v>1</v>
      </c>
      <c r="BH40" s="69">
        <v>1</v>
      </c>
      <c r="BI40" s="69">
        <v>1</v>
      </c>
      <c r="BJ40" s="69">
        <v>1</v>
      </c>
      <c r="BK40" s="69">
        <f>BK38+$BJ$40</f>
        <v>15</v>
      </c>
      <c r="BL40" s="69">
        <f t="shared" ref="BL40:BP40" si="170">BL38+$BJ$40</f>
        <v>25</v>
      </c>
      <c r="BM40" s="69">
        <f t="shared" si="170"/>
        <v>37</v>
      </c>
      <c r="BN40" s="69">
        <f t="shared" si="170"/>
        <v>49</v>
      </c>
      <c r="BO40" s="69">
        <f t="shared" si="170"/>
        <v>59</v>
      </c>
      <c r="BP40" s="69">
        <f t="shared" si="170"/>
        <v>77</v>
      </c>
      <c r="BQ40" s="69">
        <f t="shared" si="169"/>
        <v>77</v>
      </c>
      <c r="BR40" s="69">
        <f t="shared" si="163"/>
        <v>19</v>
      </c>
      <c r="BS40" s="69">
        <f t="shared" si="164"/>
        <v>15</v>
      </c>
      <c r="BT40" s="69">
        <v>110</v>
      </c>
      <c r="BX40" s="196" t="s">
        <v>149</v>
      </c>
      <c r="BY40" s="65" t="s">
        <v>262</v>
      </c>
      <c r="BZ40" s="189">
        <v>0</v>
      </c>
      <c r="CA40" s="189">
        <v>0</v>
      </c>
      <c r="CB40" s="189">
        <v>0</v>
      </c>
      <c r="CC40" s="189">
        <v>0</v>
      </c>
      <c r="CD40" s="189">
        <v>0</v>
      </c>
      <c r="CE40" s="189">
        <v>0</v>
      </c>
      <c r="CF40" s="189">
        <v>1</v>
      </c>
      <c r="CG40" s="189">
        <v>4</v>
      </c>
      <c r="CH40" s="189">
        <v>6</v>
      </c>
      <c r="CI40" s="189">
        <v>8</v>
      </c>
      <c r="CJ40" s="189">
        <v>9</v>
      </c>
      <c r="CK40" s="189">
        <v>13</v>
      </c>
      <c r="CL40" s="189">
        <f t="shared" si="165"/>
        <v>13</v>
      </c>
      <c r="CM40" s="189">
        <f t="shared" si="166"/>
        <v>0</v>
      </c>
      <c r="CN40" s="189">
        <f t="shared" si="167"/>
        <v>0</v>
      </c>
    </row>
    <row r="41" spans="1:95">
      <c r="A41" s="175" t="s">
        <v>149</v>
      </c>
      <c r="B41" s="65" t="s">
        <v>26</v>
      </c>
      <c r="C41" s="174" t="e">
        <f t="shared" si="135"/>
        <v>#DIV/0!</v>
      </c>
      <c r="D41" s="174" t="e">
        <f t="shared" si="136"/>
        <v>#DIV/0!</v>
      </c>
      <c r="E41" s="174" t="e">
        <f t="shared" si="137"/>
        <v>#DIV/0!</v>
      </c>
      <c r="F41" s="174" t="e">
        <f t="shared" si="138"/>
        <v>#DIV/0!</v>
      </c>
      <c r="G41" s="174" t="e">
        <f t="shared" si="139"/>
        <v>#DIV/0!</v>
      </c>
      <c r="H41" s="174" t="e">
        <f t="shared" si="140"/>
        <v>#DIV/0!</v>
      </c>
      <c r="I41" s="174" t="e">
        <f t="shared" si="141"/>
        <v>#DIV/0!</v>
      </c>
      <c r="J41" s="174" t="e">
        <f t="shared" si="142"/>
        <v>#DIV/0!</v>
      </c>
      <c r="K41" s="174" t="e">
        <f t="shared" si="143"/>
        <v>#DIV/0!</v>
      </c>
      <c r="L41" s="174" t="e">
        <f t="shared" si="144"/>
        <v>#DIV/0!</v>
      </c>
      <c r="M41" s="174" t="e">
        <f t="shared" si="145"/>
        <v>#DIV/0!</v>
      </c>
      <c r="N41" s="174" t="e">
        <f t="shared" si="146"/>
        <v>#DIV/0!</v>
      </c>
      <c r="O41" s="69" t="e">
        <f t="shared" si="147"/>
        <v>#DIV/0!</v>
      </c>
      <c r="S41" s="175" t="s">
        <v>149</v>
      </c>
      <c r="T41" s="65" t="s">
        <v>26</v>
      </c>
      <c r="U41" s="174" t="e">
        <f t="shared" si="148"/>
        <v>#DIV/0!</v>
      </c>
      <c r="V41" s="174" t="e">
        <f t="shared" si="149"/>
        <v>#DIV/0!</v>
      </c>
      <c r="W41" s="174" t="e">
        <f t="shared" si="150"/>
        <v>#DIV/0!</v>
      </c>
      <c r="X41" s="174" t="e">
        <f t="shared" si="151"/>
        <v>#DIV/0!</v>
      </c>
      <c r="Y41" s="174" t="e">
        <f t="shared" si="152"/>
        <v>#DIV/0!</v>
      </c>
      <c r="Z41" s="174" t="e">
        <f t="shared" si="153"/>
        <v>#DIV/0!</v>
      </c>
      <c r="AA41" s="174">
        <f t="shared" si="154"/>
        <v>0</v>
      </c>
      <c r="AB41" s="174">
        <f t="shared" si="155"/>
        <v>0</v>
      </c>
      <c r="AC41" s="174">
        <f t="shared" si="156"/>
        <v>0</v>
      </c>
      <c r="AD41" s="174">
        <f t="shared" si="157"/>
        <v>0</v>
      </c>
      <c r="AE41" s="174">
        <f t="shared" si="158"/>
        <v>0</v>
      </c>
      <c r="AF41" s="174">
        <f t="shared" si="159"/>
        <v>0</v>
      </c>
      <c r="AG41" s="69">
        <f t="shared" si="160"/>
        <v>0</v>
      </c>
      <c r="AK41" s="175" t="s">
        <v>149</v>
      </c>
      <c r="AL41" s="65" t="s">
        <v>26</v>
      </c>
      <c r="AM41" s="174">
        <v>0</v>
      </c>
      <c r="AN41" s="174">
        <v>0</v>
      </c>
      <c r="AO41" s="174">
        <v>0</v>
      </c>
      <c r="AP41" s="174">
        <v>0</v>
      </c>
      <c r="AQ41" s="174">
        <v>0</v>
      </c>
      <c r="AR41" s="174">
        <v>0</v>
      </c>
      <c r="AS41" s="174">
        <v>0</v>
      </c>
      <c r="AT41" s="174"/>
      <c r="AU41" s="174"/>
      <c r="AV41" s="174"/>
      <c r="AW41" s="174"/>
      <c r="AX41" s="174"/>
      <c r="AY41" s="69">
        <f t="shared" si="168"/>
        <v>0</v>
      </c>
      <c r="AZ41" s="69">
        <f t="shared" si="161"/>
        <v>0</v>
      </c>
      <c r="BA41" s="69">
        <f t="shared" si="162"/>
        <v>0</v>
      </c>
      <c r="BC41" s="175" t="s">
        <v>149</v>
      </c>
      <c r="BD41" s="65" t="s">
        <v>26</v>
      </c>
      <c r="BK41" s="69">
        <f>BK40/2</f>
        <v>7.5</v>
      </c>
      <c r="BL41" s="69">
        <f t="shared" ref="BL41" si="171">BL40/2</f>
        <v>12.5</v>
      </c>
      <c r="BM41" s="69">
        <f t="shared" ref="BM41" si="172">BM40/2</f>
        <v>18.5</v>
      </c>
      <c r="BN41" s="69">
        <f t="shared" ref="BN41" si="173">BN40/2</f>
        <v>24.5</v>
      </c>
      <c r="BO41" s="69">
        <f t="shared" ref="BO41" si="174">BO40/2</f>
        <v>29.5</v>
      </c>
      <c r="BP41" s="69">
        <f t="shared" ref="BP41" si="175">BP40/2</f>
        <v>38.5</v>
      </c>
      <c r="BQ41" s="69">
        <f t="shared" si="169"/>
        <v>38.5</v>
      </c>
      <c r="BR41" s="69">
        <f t="shared" si="163"/>
        <v>7.5</v>
      </c>
      <c r="BS41" s="69">
        <f t="shared" si="164"/>
        <v>7.5</v>
      </c>
      <c r="BT41" s="69">
        <v>55</v>
      </c>
      <c r="BU41" s="65" t="s">
        <v>286</v>
      </c>
      <c r="BX41" s="196" t="s">
        <v>149</v>
      </c>
      <c r="BY41" s="65" t="s">
        <v>26</v>
      </c>
      <c r="BZ41" s="189">
        <v>4</v>
      </c>
      <c r="CA41" s="189">
        <v>4</v>
      </c>
      <c r="CB41" s="189">
        <v>4</v>
      </c>
      <c r="CC41" s="189">
        <v>4</v>
      </c>
      <c r="CD41" s="189">
        <v>4</v>
      </c>
      <c r="CE41" s="189">
        <v>4</v>
      </c>
      <c r="CF41" s="189">
        <v>4</v>
      </c>
      <c r="CG41" s="189">
        <v>4</v>
      </c>
      <c r="CH41" s="189">
        <v>4</v>
      </c>
      <c r="CI41" s="189">
        <v>4</v>
      </c>
      <c r="CJ41" s="189">
        <v>4</v>
      </c>
      <c r="CK41" s="189">
        <v>4</v>
      </c>
      <c r="CL41" s="189">
        <f t="shared" si="165"/>
        <v>4</v>
      </c>
      <c r="CM41" s="189">
        <f t="shared" si="166"/>
        <v>24</v>
      </c>
      <c r="CN41" s="189">
        <f t="shared" si="167"/>
        <v>4</v>
      </c>
    </row>
    <row r="42" spans="1:95">
      <c r="A42" s="176" t="s">
        <v>149</v>
      </c>
      <c r="B42" s="176" t="s">
        <v>162</v>
      </c>
      <c r="C42" s="177">
        <f t="shared" si="135"/>
        <v>0.5</v>
      </c>
      <c r="D42" s="177">
        <f t="shared" si="136"/>
        <v>0.25</v>
      </c>
      <c r="E42" s="177">
        <f t="shared" si="137"/>
        <v>0.14285714285714285</v>
      </c>
      <c r="F42" s="177">
        <f t="shared" si="138"/>
        <v>0.125</v>
      </c>
      <c r="G42" s="177">
        <f t="shared" si="139"/>
        <v>9.0909090909090912E-2</v>
      </c>
      <c r="H42" s="177">
        <f t="shared" si="140"/>
        <v>5.5555555555555552E-2</v>
      </c>
      <c r="I42" s="177">
        <f t="shared" si="141"/>
        <v>1.6528925619834711E-2</v>
      </c>
      <c r="J42" s="177" t="e">
        <f t="shared" si="142"/>
        <v>#DIV/0!</v>
      </c>
      <c r="K42" s="177" t="e">
        <f t="shared" si="143"/>
        <v>#DIV/0!</v>
      </c>
      <c r="L42" s="177" t="e">
        <f t="shared" si="144"/>
        <v>#DIV/0!</v>
      </c>
      <c r="M42" s="177" t="e">
        <f t="shared" si="145"/>
        <v>#DIV/0!</v>
      </c>
      <c r="N42" s="177" t="e">
        <f t="shared" si="146"/>
        <v>#DIV/0!</v>
      </c>
      <c r="O42" s="177" t="e">
        <f t="shared" si="147"/>
        <v>#DIV/0!</v>
      </c>
      <c r="P42" s="177"/>
      <c r="Q42" s="177"/>
      <c r="S42" s="176" t="s">
        <v>149</v>
      </c>
      <c r="T42" s="176" t="s">
        <v>162</v>
      </c>
      <c r="U42" s="177">
        <f t="shared" si="148"/>
        <v>1.5</v>
      </c>
      <c r="V42" s="177">
        <f t="shared" si="149"/>
        <v>1.25</v>
      </c>
      <c r="W42" s="177">
        <f t="shared" si="150"/>
        <v>1</v>
      </c>
      <c r="X42" s="177">
        <f t="shared" si="151"/>
        <v>1.125</v>
      </c>
      <c r="Y42" s="177">
        <f t="shared" si="152"/>
        <v>1</v>
      </c>
      <c r="Z42" s="177">
        <f t="shared" si="153"/>
        <v>0.66666666666666663</v>
      </c>
      <c r="AA42" s="177">
        <f t="shared" si="154"/>
        <v>0.19834710743801653</v>
      </c>
      <c r="AB42" s="177">
        <f t="shared" si="155"/>
        <v>0</v>
      </c>
      <c r="AC42" s="177">
        <f t="shared" si="156"/>
        <v>0</v>
      </c>
      <c r="AD42" s="177">
        <f t="shared" si="157"/>
        <v>0</v>
      </c>
      <c r="AE42" s="177">
        <f t="shared" si="158"/>
        <v>0</v>
      </c>
      <c r="AF42" s="177">
        <f t="shared" si="159"/>
        <v>0</v>
      </c>
      <c r="AG42" s="177">
        <f t="shared" si="160"/>
        <v>0</v>
      </c>
      <c r="AH42" s="177"/>
      <c r="AI42" s="177"/>
      <c r="AK42" s="176" t="s">
        <v>149</v>
      </c>
      <c r="AL42" s="176" t="s">
        <v>162</v>
      </c>
      <c r="AM42" s="177">
        <f>SUM(AM38:AM41)</f>
        <v>3</v>
      </c>
      <c r="AN42" s="177">
        <f t="shared" ref="AN42" si="176">SUM(AN38:AN41)</f>
        <v>5</v>
      </c>
      <c r="AO42" s="177">
        <f t="shared" ref="AO42" si="177">SUM(AO38:AO41)</f>
        <v>7</v>
      </c>
      <c r="AP42" s="177">
        <f t="shared" ref="AP42" si="178">SUM(AP38:AP41)</f>
        <v>9</v>
      </c>
      <c r="AQ42" s="177">
        <f t="shared" ref="AQ42" si="179">SUM(AQ38:AQ41)</f>
        <v>11</v>
      </c>
      <c r="AR42" s="177">
        <f t="shared" ref="AR42" si="180">SUM(AR38:AR41)</f>
        <v>12</v>
      </c>
      <c r="AS42" s="177">
        <f t="shared" ref="AS42" si="181">SUM(AS38:AS41)</f>
        <v>12</v>
      </c>
      <c r="AT42" s="177">
        <f t="shared" ref="AT42" si="182">SUM(AT38:AT41)</f>
        <v>0</v>
      </c>
      <c r="AU42" s="177">
        <f t="shared" ref="AU42" si="183">SUM(AU38:AU41)</f>
        <v>0</v>
      </c>
      <c r="AV42" s="177">
        <f t="shared" ref="AV42" si="184">SUM(AV38:AV41)</f>
        <v>0</v>
      </c>
      <c r="AW42" s="177">
        <f t="shared" ref="AW42" si="185">SUM(AW38:AW41)</f>
        <v>0</v>
      </c>
      <c r="AX42" s="177">
        <f t="shared" ref="AX42" si="186">SUM(AX38:AX41)</f>
        <v>0</v>
      </c>
      <c r="AY42" s="177">
        <f t="shared" si="168"/>
        <v>0</v>
      </c>
      <c r="AZ42" s="177">
        <f t="shared" si="161"/>
        <v>59</v>
      </c>
      <c r="BA42" s="177">
        <f t="shared" si="162"/>
        <v>12</v>
      </c>
      <c r="BC42" s="176" t="s">
        <v>149</v>
      </c>
      <c r="BD42" s="176" t="s">
        <v>162</v>
      </c>
      <c r="BE42" s="177">
        <f>SUM(BE38:BE41)</f>
        <v>2</v>
      </c>
      <c r="BF42" s="177">
        <f t="shared" ref="BF42:BP42" si="187">SUM(BF38:BF41)</f>
        <v>4</v>
      </c>
      <c r="BG42" s="177">
        <f t="shared" si="187"/>
        <v>7</v>
      </c>
      <c r="BH42" s="177">
        <f t="shared" si="187"/>
        <v>8</v>
      </c>
      <c r="BI42" s="177">
        <f t="shared" si="187"/>
        <v>11</v>
      </c>
      <c r="BJ42" s="177">
        <f t="shared" si="187"/>
        <v>18</v>
      </c>
      <c r="BK42" s="177">
        <f t="shared" si="187"/>
        <v>60.5</v>
      </c>
      <c r="BL42" s="177">
        <f t="shared" si="187"/>
        <v>91.5</v>
      </c>
      <c r="BM42" s="177">
        <f t="shared" si="187"/>
        <v>129.5</v>
      </c>
      <c r="BN42" s="177">
        <f t="shared" si="187"/>
        <v>165.5</v>
      </c>
      <c r="BO42" s="177">
        <f t="shared" si="187"/>
        <v>198.5</v>
      </c>
      <c r="BP42" s="177">
        <f t="shared" si="187"/>
        <v>256.5</v>
      </c>
      <c r="BQ42" s="177">
        <f t="shared" si="169"/>
        <v>256.5</v>
      </c>
      <c r="BR42" s="177">
        <f t="shared" si="163"/>
        <v>110.5</v>
      </c>
      <c r="BS42" s="177">
        <f t="shared" si="164"/>
        <v>60.5</v>
      </c>
      <c r="BX42" s="194" t="s">
        <v>149</v>
      </c>
      <c r="BY42" s="194" t="s">
        <v>162</v>
      </c>
      <c r="BZ42" s="195">
        <f t="shared" ref="BZ42:CK42" si="188">SUM(BZ38:BZ41)</f>
        <v>19</v>
      </c>
      <c r="CA42" s="195">
        <f t="shared" si="188"/>
        <v>23</v>
      </c>
      <c r="CB42" s="195">
        <f t="shared" si="188"/>
        <v>27</v>
      </c>
      <c r="CC42" s="195">
        <f t="shared" si="188"/>
        <v>29</v>
      </c>
      <c r="CD42" s="195">
        <f t="shared" si="188"/>
        <v>33</v>
      </c>
      <c r="CE42" s="195">
        <f t="shared" si="188"/>
        <v>37</v>
      </c>
      <c r="CF42" s="195">
        <f t="shared" si="188"/>
        <v>39</v>
      </c>
      <c r="CG42" s="195">
        <f t="shared" si="188"/>
        <v>49</v>
      </c>
      <c r="CH42" s="195">
        <f t="shared" si="188"/>
        <v>53</v>
      </c>
      <c r="CI42" s="195">
        <f t="shared" si="188"/>
        <v>57</v>
      </c>
      <c r="CJ42" s="195">
        <f t="shared" si="188"/>
        <v>62</v>
      </c>
      <c r="CK42" s="195">
        <f t="shared" si="188"/>
        <v>67</v>
      </c>
      <c r="CL42" s="195">
        <f t="shared" si="165"/>
        <v>67</v>
      </c>
      <c r="CM42" s="195">
        <f t="shared" si="166"/>
        <v>168</v>
      </c>
      <c r="CN42" s="195">
        <f t="shared" si="167"/>
        <v>37</v>
      </c>
    </row>
    <row r="43" spans="1:95">
      <c r="A43" s="65" t="s">
        <v>150</v>
      </c>
      <c r="B43" s="65" t="s">
        <v>260</v>
      </c>
      <c r="C43" s="174" t="e">
        <f t="shared" si="135"/>
        <v>#DIV/0!</v>
      </c>
      <c r="D43" s="174" t="e">
        <f t="shared" si="136"/>
        <v>#DIV/0!</v>
      </c>
      <c r="E43" s="174" t="e">
        <f t="shared" si="137"/>
        <v>#DIV/0!</v>
      </c>
      <c r="F43" s="174" t="e">
        <f t="shared" si="138"/>
        <v>#DIV/0!</v>
      </c>
      <c r="G43" s="174" t="e">
        <f t="shared" si="139"/>
        <v>#DIV/0!</v>
      </c>
      <c r="H43" s="174" t="e">
        <f t="shared" si="140"/>
        <v>#DIV/0!</v>
      </c>
      <c r="I43" s="174" t="e">
        <f t="shared" si="141"/>
        <v>#DIV/0!</v>
      </c>
      <c r="J43" s="174" t="e">
        <f t="shared" si="142"/>
        <v>#DIV/0!</v>
      </c>
      <c r="K43" s="174" t="e">
        <f t="shared" si="143"/>
        <v>#DIV/0!</v>
      </c>
      <c r="L43" s="174" t="e">
        <f t="shared" si="144"/>
        <v>#DIV/0!</v>
      </c>
      <c r="M43" s="174" t="e">
        <f t="shared" si="145"/>
        <v>#DIV/0!</v>
      </c>
      <c r="N43" s="174" t="e">
        <f t="shared" si="146"/>
        <v>#DIV/0!</v>
      </c>
      <c r="O43" s="69" t="e">
        <f t="shared" si="147"/>
        <v>#DIV/0!</v>
      </c>
      <c r="S43" s="65" t="s">
        <v>150</v>
      </c>
      <c r="T43" s="65" t="s">
        <v>260</v>
      </c>
      <c r="U43" s="174" t="e">
        <f t="shared" si="148"/>
        <v>#DIV/0!</v>
      </c>
      <c r="V43" s="174" t="e">
        <f t="shared" si="149"/>
        <v>#DIV/0!</v>
      </c>
      <c r="W43" s="174" t="e">
        <f t="shared" si="150"/>
        <v>#DIV/0!</v>
      </c>
      <c r="X43" s="174" t="e">
        <f t="shared" si="151"/>
        <v>#DIV/0!</v>
      </c>
      <c r="Y43" s="174" t="e">
        <f t="shared" si="152"/>
        <v>#DIV/0!</v>
      </c>
      <c r="Z43" s="174" t="e">
        <f t="shared" si="153"/>
        <v>#DIV/0!</v>
      </c>
      <c r="AA43" s="174">
        <f t="shared" si="154"/>
        <v>0</v>
      </c>
      <c r="AB43" s="174">
        <f t="shared" si="155"/>
        <v>0</v>
      </c>
      <c r="AC43" s="174">
        <f t="shared" si="156"/>
        <v>0</v>
      </c>
      <c r="AD43" s="174">
        <f t="shared" si="157"/>
        <v>0</v>
      </c>
      <c r="AE43" s="174">
        <f t="shared" si="158"/>
        <v>0</v>
      </c>
      <c r="AF43" s="174">
        <f t="shared" si="159"/>
        <v>0</v>
      </c>
      <c r="AG43" s="69">
        <f t="shared" si="160"/>
        <v>0</v>
      </c>
      <c r="AK43" s="65" t="s">
        <v>150</v>
      </c>
      <c r="AL43" s="65" t="s">
        <v>260</v>
      </c>
      <c r="AM43" s="174">
        <v>0</v>
      </c>
      <c r="AN43" s="174">
        <v>0</v>
      </c>
      <c r="AO43" s="174">
        <v>0</v>
      </c>
      <c r="AP43" s="174">
        <v>0</v>
      </c>
      <c r="AQ43" s="174">
        <v>0</v>
      </c>
      <c r="AR43" s="174">
        <v>0</v>
      </c>
      <c r="AS43" s="174">
        <v>0</v>
      </c>
      <c r="AT43" s="174"/>
      <c r="AU43" s="174"/>
      <c r="AV43" s="174"/>
      <c r="AW43" s="174"/>
      <c r="AX43" s="174"/>
      <c r="AY43" s="69">
        <f t="shared" si="168"/>
        <v>0</v>
      </c>
      <c r="AZ43" s="69">
        <f t="shared" si="161"/>
        <v>0</v>
      </c>
      <c r="BA43" s="69">
        <f t="shared" si="162"/>
        <v>0</v>
      </c>
      <c r="BC43" s="65" t="s">
        <v>150</v>
      </c>
      <c r="BD43" s="65" t="s">
        <v>260</v>
      </c>
      <c r="BK43" s="174">
        <v>1</v>
      </c>
      <c r="BL43" s="174">
        <v>3</v>
      </c>
      <c r="BM43" s="174">
        <v>5</v>
      </c>
      <c r="BN43" s="174">
        <v>7</v>
      </c>
      <c r="BO43" s="174">
        <v>9</v>
      </c>
      <c r="BP43" s="174">
        <v>10</v>
      </c>
      <c r="BQ43" s="69">
        <f t="shared" si="169"/>
        <v>10</v>
      </c>
      <c r="BR43" s="69">
        <f t="shared" si="163"/>
        <v>1</v>
      </c>
      <c r="BS43" s="69">
        <f t="shared" si="164"/>
        <v>1</v>
      </c>
      <c r="BT43" s="69">
        <v>10</v>
      </c>
      <c r="BU43" s="171"/>
      <c r="BX43" s="65" t="s">
        <v>150</v>
      </c>
      <c r="BY43" s="65" t="s">
        <v>260</v>
      </c>
      <c r="BZ43" s="192">
        <v>0</v>
      </c>
      <c r="CA43" s="192">
        <v>0</v>
      </c>
      <c r="CB43" s="192">
        <v>0</v>
      </c>
      <c r="CC43" s="192">
        <v>0</v>
      </c>
      <c r="CD43" s="192">
        <v>0</v>
      </c>
      <c r="CE43" s="192">
        <v>0</v>
      </c>
      <c r="CF43" s="192">
        <v>0</v>
      </c>
      <c r="CG43" s="192">
        <v>0</v>
      </c>
      <c r="CH43" s="192">
        <v>1</v>
      </c>
      <c r="CI43" s="192">
        <v>1</v>
      </c>
      <c r="CJ43" s="192">
        <v>2</v>
      </c>
      <c r="CK43" s="192">
        <v>2</v>
      </c>
      <c r="CL43" s="189">
        <f t="shared" si="165"/>
        <v>2</v>
      </c>
      <c r="CM43" s="189">
        <f t="shared" si="166"/>
        <v>0</v>
      </c>
      <c r="CN43" s="189">
        <f t="shared" si="167"/>
        <v>0</v>
      </c>
    </row>
    <row r="44" spans="1:95">
      <c r="A44" s="175" t="s">
        <v>150</v>
      </c>
      <c r="B44" s="65" t="s">
        <v>24</v>
      </c>
      <c r="C44" s="174" t="e">
        <f t="shared" si="135"/>
        <v>#DIV/0!</v>
      </c>
      <c r="D44" s="174" t="e">
        <f t="shared" si="136"/>
        <v>#DIV/0!</v>
      </c>
      <c r="E44" s="174">
        <f t="shared" si="137"/>
        <v>0.33333333333333331</v>
      </c>
      <c r="F44" s="174">
        <f t="shared" si="138"/>
        <v>0.25</v>
      </c>
      <c r="G44" s="174">
        <f t="shared" si="139"/>
        <v>0.2</v>
      </c>
      <c r="H44" s="174">
        <f t="shared" si="140"/>
        <v>0.16666666666666666</v>
      </c>
      <c r="I44" s="174">
        <f t="shared" si="141"/>
        <v>0.14285714285714285</v>
      </c>
      <c r="J44" s="174" t="e">
        <f t="shared" si="142"/>
        <v>#DIV/0!</v>
      </c>
      <c r="K44" s="174" t="e">
        <f t="shared" si="143"/>
        <v>#DIV/0!</v>
      </c>
      <c r="L44" s="174" t="e">
        <f t="shared" si="144"/>
        <v>#DIV/0!</v>
      </c>
      <c r="M44" s="174" t="e">
        <f t="shared" si="145"/>
        <v>#DIV/0!</v>
      </c>
      <c r="N44" s="174" t="e">
        <f t="shared" si="146"/>
        <v>#DIV/0!</v>
      </c>
      <c r="O44" s="69" t="e">
        <f t="shared" si="147"/>
        <v>#DIV/0!</v>
      </c>
      <c r="S44" s="175" t="s">
        <v>150</v>
      </c>
      <c r="T44" s="65" t="s">
        <v>24</v>
      </c>
      <c r="U44" s="174" t="e">
        <f t="shared" si="148"/>
        <v>#DIV/0!</v>
      </c>
      <c r="V44" s="174">
        <f t="shared" si="149"/>
        <v>0</v>
      </c>
      <c r="W44" s="174">
        <f t="shared" si="150"/>
        <v>0.33333333333333331</v>
      </c>
      <c r="X44" s="174">
        <f t="shared" si="151"/>
        <v>0.25</v>
      </c>
      <c r="Y44" s="174">
        <f t="shared" si="152"/>
        <v>0.2</v>
      </c>
      <c r="Z44" s="174">
        <f t="shared" si="153"/>
        <v>0.16666666666666666</v>
      </c>
      <c r="AA44" s="174">
        <f t="shared" si="154"/>
        <v>0.14285714285714285</v>
      </c>
      <c r="AB44" s="174">
        <f t="shared" si="155"/>
        <v>0</v>
      </c>
      <c r="AC44" s="174">
        <f t="shared" si="156"/>
        <v>0</v>
      </c>
      <c r="AD44" s="174">
        <f t="shared" si="157"/>
        <v>0</v>
      </c>
      <c r="AE44" s="174">
        <f t="shared" si="158"/>
        <v>0</v>
      </c>
      <c r="AF44" s="174">
        <f t="shared" si="159"/>
        <v>0</v>
      </c>
      <c r="AG44" s="69">
        <f>AY44/BQ44</f>
        <v>0</v>
      </c>
      <c r="AK44" s="175" t="s">
        <v>150</v>
      </c>
      <c r="AL44" s="65" t="s">
        <v>24</v>
      </c>
      <c r="AM44" s="174">
        <v>0</v>
      </c>
      <c r="AN44" s="174">
        <v>0</v>
      </c>
      <c r="AO44" s="174">
        <v>1</v>
      </c>
      <c r="AP44" s="174">
        <v>1</v>
      </c>
      <c r="AQ44" s="174">
        <v>1</v>
      </c>
      <c r="AR44" s="174">
        <v>1</v>
      </c>
      <c r="AS44" s="174">
        <v>1</v>
      </c>
      <c r="AT44" s="174"/>
      <c r="AU44" s="174"/>
      <c r="AV44" s="174"/>
      <c r="AW44" s="174"/>
      <c r="AX44" s="174"/>
      <c r="AY44" s="69">
        <f>AX44</f>
        <v>0</v>
      </c>
      <c r="AZ44" s="69">
        <f t="shared" si="161"/>
        <v>5</v>
      </c>
      <c r="BA44" s="69">
        <f t="shared" si="162"/>
        <v>1</v>
      </c>
      <c r="BC44" s="175" t="s">
        <v>150</v>
      </c>
      <c r="BD44" s="65" t="s">
        <v>24</v>
      </c>
      <c r="BE44" s="174">
        <v>0</v>
      </c>
      <c r="BF44" s="174">
        <v>1</v>
      </c>
      <c r="BG44" s="174">
        <v>3</v>
      </c>
      <c r="BH44" s="174">
        <v>4</v>
      </c>
      <c r="BI44" s="174">
        <v>5</v>
      </c>
      <c r="BJ44" s="174">
        <v>6</v>
      </c>
      <c r="BK44" s="174">
        <v>7</v>
      </c>
      <c r="BL44" s="174">
        <v>9</v>
      </c>
      <c r="BM44" s="174">
        <v>11</v>
      </c>
      <c r="BN44" s="174">
        <v>13</v>
      </c>
      <c r="BO44" s="174">
        <v>15</v>
      </c>
      <c r="BP44" s="174">
        <v>15</v>
      </c>
      <c r="BQ44" s="69">
        <f>BP44</f>
        <v>15</v>
      </c>
      <c r="BR44" s="69">
        <f t="shared" si="163"/>
        <v>26</v>
      </c>
      <c r="BS44" s="69">
        <f t="shared" si="164"/>
        <v>7</v>
      </c>
      <c r="BT44" s="69">
        <v>15</v>
      </c>
      <c r="BX44" s="196" t="s">
        <v>150</v>
      </c>
      <c r="BY44" s="65" t="s">
        <v>24</v>
      </c>
      <c r="BZ44" s="192">
        <v>5</v>
      </c>
      <c r="CA44" s="192">
        <v>9</v>
      </c>
      <c r="CB44" s="192">
        <v>10</v>
      </c>
      <c r="CC44" s="192">
        <v>14</v>
      </c>
      <c r="CD44" s="192">
        <v>14</v>
      </c>
      <c r="CE44" s="192">
        <v>16</v>
      </c>
      <c r="CF44" s="192">
        <v>16</v>
      </c>
      <c r="CG44" s="192">
        <v>17</v>
      </c>
      <c r="CH44" s="192">
        <v>22</v>
      </c>
      <c r="CI44" s="192">
        <v>22</v>
      </c>
      <c r="CJ44" s="192">
        <v>22</v>
      </c>
      <c r="CK44" s="192">
        <v>22</v>
      </c>
      <c r="CL44" s="189">
        <f t="shared" si="165"/>
        <v>22</v>
      </c>
      <c r="CM44" s="189">
        <f t="shared" si="166"/>
        <v>68</v>
      </c>
      <c r="CN44" s="189">
        <f t="shared" si="167"/>
        <v>16</v>
      </c>
    </row>
    <row r="45" spans="1:95">
      <c r="A45" s="175" t="s">
        <v>150</v>
      </c>
      <c r="B45" s="65" t="s">
        <v>262</v>
      </c>
      <c r="C45" s="174" t="e">
        <f t="shared" si="135"/>
        <v>#DIV/0!</v>
      </c>
      <c r="D45" s="174" t="e">
        <f t="shared" si="136"/>
        <v>#DIV/0!</v>
      </c>
      <c r="E45" s="174" t="e">
        <f t="shared" si="137"/>
        <v>#DIV/0!</v>
      </c>
      <c r="F45" s="174" t="e">
        <f t="shared" si="138"/>
        <v>#DIV/0!</v>
      </c>
      <c r="G45" s="174" t="e">
        <f t="shared" si="139"/>
        <v>#DIV/0!</v>
      </c>
      <c r="H45" s="174" t="e">
        <f t="shared" si="140"/>
        <v>#DIV/0!</v>
      </c>
      <c r="I45" s="174">
        <f t="shared" si="141"/>
        <v>1</v>
      </c>
      <c r="J45" s="174" t="e">
        <f t="shared" si="142"/>
        <v>#DIV/0!</v>
      </c>
      <c r="K45" s="174" t="e">
        <f t="shared" si="143"/>
        <v>#DIV/0!</v>
      </c>
      <c r="L45" s="174" t="e">
        <f t="shared" si="144"/>
        <v>#DIV/0!</v>
      </c>
      <c r="M45" s="174" t="e">
        <f t="shared" si="145"/>
        <v>#DIV/0!</v>
      </c>
      <c r="N45" s="174" t="e">
        <f t="shared" si="146"/>
        <v>#DIV/0!</v>
      </c>
      <c r="O45" s="69" t="e">
        <f t="shared" si="147"/>
        <v>#DIV/0!</v>
      </c>
      <c r="S45" s="175" t="s">
        <v>150</v>
      </c>
      <c r="T45" s="65" t="s">
        <v>262</v>
      </c>
      <c r="U45" s="174" t="e">
        <f t="shared" si="148"/>
        <v>#DIV/0!</v>
      </c>
      <c r="V45" s="174" t="e">
        <f t="shared" si="149"/>
        <v>#DIV/0!</v>
      </c>
      <c r="W45" s="174" t="e">
        <f t="shared" si="150"/>
        <v>#DIV/0!</v>
      </c>
      <c r="X45" s="174" t="e">
        <f t="shared" si="151"/>
        <v>#DIV/0!</v>
      </c>
      <c r="Y45" s="174" t="e">
        <f t="shared" si="152"/>
        <v>#DIV/0!</v>
      </c>
      <c r="Z45" s="174" t="e">
        <f t="shared" si="153"/>
        <v>#DIV/0!</v>
      </c>
      <c r="AA45" s="174">
        <f t="shared" si="154"/>
        <v>2</v>
      </c>
      <c r="AB45" s="174">
        <f t="shared" si="155"/>
        <v>0</v>
      </c>
      <c r="AC45" s="174">
        <f t="shared" si="156"/>
        <v>0</v>
      </c>
      <c r="AD45" s="174">
        <f t="shared" si="157"/>
        <v>0</v>
      </c>
      <c r="AE45" s="174">
        <f t="shared" si="158"/>
        <v>0</v>
      </c>
      <c r="AF45" s="174">
        <f t="shared" si="159"/>
        <v>0</v>
      </c>
      <c r="AG45" s="69">
        <f t="shared" si="160"/>
        <v>0</v>
      </c>
      <c r="AK45" s="175" t="s">
        <v>150</v>
      </c>
      <c r="AL45" s="65" t="s">
        <v>262</v>
      </c>
      <c r="AM45" s="174">
        <v>0</v>
      </c>
      <c r="AN45" s="174">
        <v>1</v>
      </c>
      <c r="AO45" s="174">
        <v>1</v>
      </c>
      <c r="AP45" s="174">
        <v>1</v>
      </c>
      <c r="AQ45" s="174">
        <v>1</v>
      </c>
      <c r="AR45" s="174">
        <v>2</v>
      </c>
      <c r="AS45" s="174">
        <v>2</v>
      </c>
      <c r="AT45" s="174"/>
      <c r="AU45" s="174"/>
      <c r="AV45" s="174"/>
      <c r="AW45" s="174"/>
      <c r="AX45" s="174"/>
      <c r="AY45" s="69">
        <f t="shared" si="168"/>
        <v>0</v>
      </c>
      <c r="AZ45" s="69">
        <f t="shared" si="161"/>
        <v>8</v>
      </c>
      <c r="BA45" s="69">
        <f t="shared" si="162"/>
        <v>2</v>
      </c>
      <c r="BC45" s="175" t="s">
        <v>150</v>
      </c>
      <c r="BD45" s="65" t="s">
        <v>262</v>
      </c>
      <c r="BK45" s="69">
        <f>BK43</f>
        <v>1</v>
      </c>
      <c r="BL45" s="69">
        <f t="shared" ref="BL45:BP45" si="189">BL43</f>
        <v>3</v>
      </c>
      <c r="BM45" s="69">
        <f t="shared" si="189"/>
        <v>5</v>
      </c>
      <c r="BN45" s="69">
        <f t="shared" si="189"/>
        <v>7</v>
      </c>
      <c r="BO45" s="69">
        <f t="shared" si="189"/>
        <v>9</v>
      </c>
      <c r="BP45" s="69">
        <f t="shared" si="189"/>
        <v>10</v>
      </c>
      <c r="BQ45" s="69">
        <f t="shared" si="169"/>
        <v>10</v>
      </c>
      <c r="BR45" s="69">
        <f t="shared" si="163"/>
        <v>1</v>
      </c>
      <c r="BS45" s="69">
        <f t="shared" si="164"/>
        <v>1</v>
      </c>
      <c r="BT45" s="69">
        <v>10</v>
      </c>
      <c r="BX45" s="196" t="s">
        <v>150</v>
      </c>
      <c r="BY45" s="65" t="s">
        <v>262</v>
      </c>
      <c r="BZ45" s="189">
        <v>0</v>
      </c>
      <c r="CA45" s="189">
        <v>0</v>
      </c>
      <c r="CB45" s="189">
        <v>0</v>
      </c>
      <c r="CC45" s="189">
        <v>0</v>
      </c>
      <c r="CD45" s="189">
        <v>0</v>
      </c>
      <c r="CE45" s="189">
        <v>0</v>
      </c>
      <c r="CF45" s="189">
        <v>0</v>
      </c>
      <c r="CG45" s="189">
        <v>0</v>
      </c>
      <c r="CH45" s="189">
        <v>0</v>
      </c>
      <c r="CI45" s="189">
        <v>1</v>
      </c>
      <c r="CJ45" s="189">
        <v>1</v>
      </c>
      <c r="CK45" s="189">
        <v>2</v>
      </c>
      <c r="CL45" s="189">
        <f t="shared" si="165"/>
        <v>2</v>
      </c>
      <c r="CM45" s="189">
        <f t="shared" si="166"/>
        <v>0</v>
      </c>
      <c r="CN45" s="189">
        <f t="shared" si="167"/>
        <v>0</v>
      </c>
    </row>
    <row r="46" spans="1:95">
      <c r="A46" s="175" t="s">
        <v>150</v>
      </c>
      <c r="B46" s="65" t="s">
        <v>26</v>
      </c>
      <c r="C46" s="174" t="e">
        <f t="shared" si="135"/>
        <v>#DIV/0!</v>
      </c>
      <c r="D46" s="174" t="e">
        <f t="shared" si="136"/>
        <v>#DIV/0!</v>
      </c>
      <c r="E46" s="174" t="e">
        <f t="shared" si="137"/>
        <v>#DIV/0!</v>
      </c>
      <c r="F46" s="174" t="e">
        <f t="shared" si="138"/>
        <v>#DIV/0!</v>
      </c>
      <c r="G46" s="174" t="e">
        <f t="shared" si="139"/>
        <v>#DIV/0!</v>
      </c>
      <c r="H46" s="174" t="e">
        <f t="shared" si="140"/>
        <v>#DIV/0!</v>
      </c>
      <c r="I46" s="174" t="e">
        <f t="shared" si="141"/>
        <v>#DIV/0!</v>
      </c>
      <c r="J46" s="174" t="e">
        <f t="shared" si="142"/>
        <v>#DIV/0!</v>
      </c>
      <c r="K46" s="174" t="e">
        <f t="shared" si="143"/>
        <v>#DIV/0!</v>
      </c>
      <c r="L46" s="174" t="e">
        <f t="shared" si="144"/>
        <v>#DIV/0!</v>
      </c>
      <c r="M46" s="174" t="e">
        <f t="shared" si="145"/>
        <v>#DIV/0!</v>
      </c>
      <c r="N46" s="174" t="e">
        <f t="shared" si="146"/>
        <v>#DIV/0!</v>
      </c>
      <c r="O46" s="69" t="e">
        <f t="shared" si="147"/>
        <v>#DIV/0!</v>
      </c>
      <c r="S46" s="175" t="s">
        <v>150</v>
      </c>
      <c r="T46" s="65" t="s">
        <v>26</v>
      </c>
      <c r="U46" s="174" t="e">
        <f t="shared" si="148"/>
        <v>#DIV/0!</v>
      </c>
      <c r="V46" s="174" t="e">
        <f t="shared" si="149"/>
        <v>#DIV/0!</v>
      </c>
      <c r="W46" s="174" t="e">
        <f t="shared" si="150"/>
        <v>#DIV/0!</v>
      </c>
      <c r="X46" s="174" t="e">
        <f t="shared" si="151"/>
        <v>#DIV/0!</v>
      </c>
      <c r="Y46" s="174" t="e">
        <f t="shared" si="152"/>
        <v>#DIV/0!</v>
      </c>
      <c r="Z46" s="174" t="e">
        <f t="shared" si="153"/>
        <v>#DIV/0!</v>
      </c>
      <c r="AA46" s="174">
        <f t="shared" si="154"/>
        <v>0</v>
      </c>
      <c r="AB46" s="174">
        <f t="shared" si="155"/>
        <v>0</v>
      </c>
      <c r="AC46" s="174">
        <f t="shared" si="156"/>
        <v>0</v>
      </c>
      <c r="AD46" s="174">
        <f t="shared" si="157"/>
        <v>0</v>
      </c>
      <c r="AE46" s="174">
        <f t="shared" si="158"/>
        <v>0</v>
      </c>
      <c r="AF46" s="174">
        <f t="shared" si="159"/>
        <v>0</v>
      </c>
      <c r="AG46" s="69">
        <f t="shared" si="160"/>
        <v>0</v>
      </c>
      <c r="AK46" s="175" t="s">
        <v>150</v>
      </c>
      <c r="AL46" s="65" t="s">
        <v>26</v>
      </c>
      <c r="AM46" s="174">
        <v>0</v>
      </c>
      <c r="AN46" s="174">
        <v>0</v>
      </c>
      <c r="AO46" s="174">
        <v>0</v>
      </c>
      <c r="AP46" s="174">
        <v>0</v>
      </c>
      <c r="AQ46" s="174">
        <v>0</v>
      </c>
      <c r="AR46" s="174">
        <v>0</v>
      </c>
      <c r="AS46" s="174">
        <v>0</v>
      </c>
      <c r="AT46" s="174"/>
      <c r="AU46" s="174"/>
      <c r="AV46" s="174"/>
      <c r="AW46" s="174"/>
      <c r="AX46" s="174"/>
      <c r="AY46" s="69">
        <f t="shared" si="168"/>
        <v>0</v>
      </c>
      <c r="AZ46" s="69">
        <f t="shared" si="161"/>
        <v>0</v>
      </c>
      <c r="BA46" s="69">
        <f t="shared" si="162"/>
        <v>0</v>
      </c>
      <c r="BC46" s="175" t="s">
        <v>150</v>
      </c>
      <c r="BD46" s="65" t="s">
        <v>26</v>
      </c>
      <c r="BK46" s="69">
        <f>BK45/2</f>
        <v>0.5</v>
      </c>
      <c r="BL46" s="69">
        <f t="shared" ref="BL46:BP46" si="190">BL45/2</f>
        <v>1.5</v>
      </c>
      <c r="BM46" s="69">
        <f t="shared" si="190"/>
        <v>2.5</v>
      </c>
      <c r="BN46" s="69">
        <f t="shared" si="190"/>
        <v>3.5</v>
      </c>
      <c r="BO46" s="69">
        <f t="shared" si="190"/>
        <v>4.5</v>
      </c>
      <c r="BP46" s="69">
        <f t="shared" si="190"/>
        <v>5</v>
      </c>
      <c r="BQ46" s="69">
        <f t="shared" si="169"/>
        <v>5</v>
      </c>
      <c r="BR46" s="69">
        <f t="shared" si="163"/>
        <v>0.5</v>
      </c>
      <c r="BS46" s="69">
        <f t="shared" si="164"/>
        <v>0.5</v>
      </c>
      <c r="BT46" s="69">
        <v>3</v>
      </c>
      <c r="BU46" s="65" t="s">
        <v>286</v>
      </c>
      <c r="BX46" s="196" t="s">
        <v>150</v>
      </c>
      <c r="BY46" s="65" t="s">
        <v>26</v>
      </c>
      <c r="BZ46" s="189">
        <v>2</v>
      </c>
      <c r="CA46" s="189">
        <v>2</v>
      </c>
      <c r="CB46" s="189">
        <v>2</v>
      </c>
      <c r="CC46" s="189">
        <v>2</v>
      </c>
      <c r="CD46" s="189">
        <v>2</v>
      </c>
      <c r="CE46" s="189">
        <v>2</v>
      </c>
      <c r="CF46" s="189">
        <v>2</v>
      </c>
      <c r="CG46" s="189">
        <v>2</v>
      </c>
      <c r="CH46" s="189">
        <v>3</v>
      </c>
      <c r="CI46" s="189">
        <v>3</v>
      </c>
      <c r="CJ46" s="189">
        <v>3</v>
      </c>
      <c r="CK46" s="189">
        <v>3</v>
      </c>
      <c r="CL46" s="189">
        <f t="shared" si="165"/>
        <v>3</v>
      </c>
      <c r="CM46" s="189">
        <f t="shared" si="166"/>
        <v>12</v>
      </c>
      <c r="CN46" s="189">
        <f t="shared" si="167"/>
        <v>2</v>
      </c>
    </row>
    <row r="47" spans="1:95">
      <c r="A47" s="176" t="s">
        <v>150</v>
      </c>
      <c r="B47" s="176" t="s">
        <v>162</v>
      </c>
      <c r="C47" s="177" t="e">
        <f t="shared" si="135"/>
        <v>#DIV/0!</v>
      </c>
      <c r="D47" s="177">
        <f t="shared" si="136"/>
        <v>1</v>
      </c>
      <c r="E47" s="177">
        <f t="shared" si="137"/>
        <v>0.33333333333333331</v>
      </c>
      <c r="F47" s="177">
        <f t="shared" si="138"/>
        <v>0.25</v>
      </c>
      <c r="G47" s="177">
        <f t="shared" si="139"/>
        <v>0.2</v>
      </c>
      <c r="H47" s="177">
        <f t="shared" si="140"/>
        <v>0.16666666666666666</v>
      </c>
      <c r="I47" s="177">
        <f t="shared" si="141"/>
        <v>0.10526315789473684</v>
      </c>
      <c r="J47" s="177" t="e">
        <f t="shared" si="142"/>
        <v>#DIV/0!</v>
      </c>
      <c r="K47" s="177" t="e">
        <f t="shared" si="143"/>
        <v>#DIV/0!</v>
      </c>
      <c r="L47" s="177" t="e">
        <f t="shared" si="144"/>
        <v>#DIV/0!</v>
      </c>
      <c r="M47" s="177" t="e">
        <f t="shared" si="145"/>
        <v>#DIV/0!</v>
      </c>
      <c r="N47" s="177" t="e">
        <f t="shared" si="146"/>
        <v>#DIV/0!</v>
      </c>
      <c r="O47" s="177" t="e">
        <f t="shared" si="147"/>
        <v>#DIV/0!</v>
      </c>
      <c r="P47" s="177"/>
      <c r="Q47" s="177"/>
      <c r="S47" s="176" t="s">
        <v>150</v>
      </c>
      <c r="T47" s="176" t="s">
        <v>162</v>
      </c>
      <c r="U47" s="177" t="e">
        <f t="shared" si="148"/>
        <v>#DIV/0!</v>
      </c>
      <c r="V47" s="177">
        <f t="shared" si="149"/>
        <v>1</v>
      </c>
      <c r="W47" s="177">
        <f t="shared" si="150"/>
        <v>0.66666666666666663</v>
      </c>
      <c r="X47" s="177">
        <f t="shared" si="151"/>
        <v>0.5</v>
      </c>
      <c r="Y47" s="177">
        <f t="shared" si="152"/>
        <v>0.4</v>
      </c>
      <c r="Z47" s="177">
        <f t="shared" si="153"/>
        <v>0.5</v>
      </c>
      <c r="AA47" s="177">
        <f t="shared" si="154"/>
        <v>0.31578947368421051</v>
      </c>
      <c r="AB47" s="177">
        <f t="shared" si="155"/>
        <v>0</v>
      </c>
      <c r="AC47" s="177">
        <f t="shared" si="156"/>
        <v>0</v>
      </c>
      <c r="AD47" s="177">
        <f t="shared" si="157"/>
        <v>0</v>
      </c>
      <c r="AE47" s="177">
        <f t="shared" si="158"/>
        <v>0</v>
      </c>
      <c r="AF47" s="177">
        <f t="shared" si="159"/>
        <v>0</v>
      </c>
      <c r="AG47" s="177">
        <f t="shared" si="160"/>
        <v>0</v>
      </c>
      <c r="AH47" s="177"/>
      <c r="AI47" s="177"/>
      <c r="AK47" s="176" t="s">
        <v>150</v>
      </c>
      <c r="AL47" s="176" t="s">
        <v>162</v>
      </c>
      <c r="AM47" s="177">
        <f>SUM(AM43:AM46)</f>
        <v>0</v>
      </c>
      <c r="AN47" s="177">
        <f t="shared" ref="AN47" si="191">SUM(AN43:AN46)</f>
        <v>1</v>
      </c>
      <c r="AO47" s="177">
        <f t="shared" ref="AO47" si="192">SUM(AO43:AO46)</f>
        <v>2</v>
      </c>
      <c r="AP47" s="177">
        <f t="shared" ref="AP47" si="193">SUM(AP43:AP46)</f>
        <v>2</v>
      </c>
      <c r="AQ47" s="177">
        <f t="shared" ref="AQ47" si="194">SUM(AQ43:AQ46)</f>
        <v>2</v>
      </c>
      <c r="AR47" s="177">
        <f t="shared" ref="AR47" si="195">SUM(AR43:AR46)</f>
        <v>3</v>
      </c>
      <c r="AS47" s="177">
        <f t="shared" ref="AS47" si="196">SUM(AS43:AS46)</f>
        <v>3</v>
      </c>
      <c r="AT47" s="177">
        <f t="shared" ref="AT47" si="197">SUM(AT43:AT46)</f>
        <v>0</v>
      </c>
      <c r="AU47" s="177">
        <f t="shared" ref="AU47" si="198">SUM(AU43:AU46)</f>
        <v>0</v>
      </c>
      <c r="AV47" s="177">
        <f t="shared" ref="AV47" si="199">SUM(AV43:AV46)</f>
        <v>0</v>
      </c>
      <c r="AW47" s="177">
        <f t="shared" ref="AW47" si="200">SUM(AW43:AW46)</f>
        <v>0</v>
      </c>
      <c r="AX47" s="177">
        <f t="shared" ref="AX47" si="201">SUM(AX43:AX46)</f>
        <v>0</v>
      </c>
      <c r="AY47" s="177">
        <f t="shared" si="168"/>
        <v>0</v>
      </c>
      <c r="AZ47" s="177">
        <f t="shared" si="161"/>
        <v>13</v>
      </c>
      <c r="BA47" s="177">
        <f t="shared" si="162"/>
        <v>3</v>
      </c>
      <c r="BC47" s="176" t="s">
        <v>150</v>
      </c>
      <c r="BD47" s="176" t="s">
        <v>162</v>
      </c>
      <c r="BE47" s="177">
        <f>SUM(BE43:BE46)</f>
        <v>0</v>
      </c>
      <c r="BF47" s="177">
        <f t="shared" ref="BF47:BP47" si="202">SUM(BF43:BF46)</f>
        <v>1</v>
      </c>
      <c r="BG47" s="177">
        <f t="shared" si="202"/>
        <v>3</v>
      </c>
      <c r="BH47" s="177">
        <f t="shared" si="202"/>
        <v>4</v>
      </c>
      <c r="BI47" s="177">
        <f t="shared" si="202"/>
        <v>5</v>
      </c>
      <c r="BJ47" s="177">
        <f t="shared" si="202"/>
        <v>6</v>
      </c>
      <c r="BK47" s="177">
        <f t="shared" si="202"/>
        <v>9.5</v>
      </c>
      <c r="BL47" s="177">
        <f t="shared" si="202"/>
        <v>16.5</v>
      </c>
      <c r="BM47" s="177">
        <f t="shared" si="202"/>
        <v>23.5</v>
      </c>
      <c r="BN47" s="177">
        <f t="shared" si="202"/>
        <v>30.5</v>
      </c>
      <c r="BO47" s="177">
        <f t="shared" si="202"/>
        <v>37.5</v>
      </c>
      <c r="BP47" s="177">
        <f t="shared" si="202"/>
        <v>40</v>
      </c>
      <c r="BQ47" s="177">
        <f t="shared" si="169"/>
        <v>40</v>
      </c>
      <c r="BR47" s="177">
        <f t="shared" si="163"/>
        <v>28.5</v>
      </c>
      <c r="BS47" s="177">
        <f t="shared" si="164"/>
        <v>9.5</v>
      </c>
      <c r="BX47" s="194" t="s">
        <v>150</v>
      </c>
      <c r="BY47" s="194" t="s">
        <v>162</v>
      </c>
      <c r="BZ47" s="195">
        <f t="shared" ref="BZ47:CK47" si="203">SUM(BZ43:BZ46)</f>
        <v>7</v>
      </c>
      <c r="CA47" s="195">
        <f t="shared" si="203"/>
        <v>11</v>
      </c>
      <c r="CB47" s="195">
        <f t="shared" si="203"/>
        <v>12</v>
      </c>
      <c r="CC47" s="195">
        <f t="shared" si="203"/>
        <v>16</v>
      </c>
      <c r="CD47" s="195">
        <f t="shared" si="203"/>
        <v>16</v>
      </c>
      <c r="CE47" s="195">
        <f t="shared" si="203"/>
        <v>18</v>
      </c>
      <c r="CF47" s="195">
        <f t="shared" si="203"/>
        <v>18</v>
      </c>
      <c r="CG47" s="195">
        <f t="shared" si="203"/>
        <v>19</v>
      </c>
      <c r="CH47" s="195">
        <f t="shared" si="203"/>
        <v>26</v>
      </c>
      <c r="CI47" s="195">
        <f t="shared" si="203"/>
        <v>27</v>
      </c>
      <c r="CJ47" s="195">
        <f t="shared" si="203"/>
        <v>28</v>
      </c>
      <c r="CK47" s="195">
        <f t="shared" si="203"/>
        <v>29</v>
      </c>
      <c r="CL47" s="195">
        <f t="shared" si="165"/>
        <v>29</v>
      </c>
      <c r="CM47" s="195">
        <f t="shared" si="166"/>
        <v>80</v>
      </c>
      <c r="CN47" s="195">
        <f t="shared" si="167"/>
        <v>18</v>
      </c>
    </row>
    <row r="48" spans="1:95" ht="12.75">
      <c r="A48" s="65" t="s">
        <v>151</v>
      </c>
      <c r="B48" s="65" t="s">
        <v>260</v>
      </c>
      <c r="C48" s="174" t="e">
        <f t="shared" si="135"/>
        <v>#DIV/0!</v>
      </c>
      <c r="D48" s="174" t="e">
        <f t="shared" si="136"/>
        <v>#DIV/0!</v>
      </c>
      <c r="E48" s="174" t="e">
        <f t="shared" si="137"/>
        <v>#DIV/0!</v>
      </c>
      <c r="F48" s="174" t="e">
        <f t="shared" si="138"/>
        <v>#DIV/0!</v>
      </c>
      <c r="G48" s="174" t="e">
        <f t="shared" si="139"/>
        <v>#DIV/0!</v>
      </c>
      <c r="H48" s="174" t="e">
        <f t="shared" si="140"/>
        <v>#DIV/0!</v>
      </c>
      <c r="I48" s="174" t="e">
        <f t="shared" si="141"/>
        <v>#DIV/0!</v>
      </c>
      <c r="J48" s="174" t="e">
        <f t="shared" si="142"/>
        <v>#DIV/0!</v>
      </c>
      <c r="K48" s="174" t="e">
        <f t="shared" si="143"/>
        <v>#DIV/0!</v>
      </c>
      <c r="L48" s="174" t="e">
        <f t="shared" si="144"/>
        <v>#DIV/0!</v>
      </c>
      <c r="M48" s="174" t="e">
        <f t="shared" si="145"/>
        <v>#DIV/0!</v>
      </c>
      <c r="N48" s="174" t="e">
        <f t="shared" si="146"/>
        <v>#DIV/0!</v>
      </c>
      <c r="O48" s="69" t="e">
        <f t="shared" si="147"/>
        <v>#DIV/0!</v>
      </c>
      <c r="S48" s="65" t="s">
        <v>151</v>
      </c>
      <c r="T48" s="65" t="s">
        <v>260</v>
      </c>
      <c r="U48" s="174" t="e">
        <f t="shared" ref="U48:W51" si="204">AM48/BE48</f>
        <v>#DIV/0!</v>
      </c>
      <c r="V48" s="174" t="e">
        <f t="shared" si="204"/>
        <v>#DIV/0!</v>
      </c>
      <c r="W48" s="174" t="e">
        <f t="shared" si="204"/>
        <v>#DIV/0!</v>
      </c>
      <c r="X48" s="174" t="e">
        <f t="shared" si="151"/>
        <v>#DIV/0!</v>
      </c>
      <c r="Y48" s="174" t="e">
        <f t="shared" si="152"/>
        <v>#DIV/0!</v>
      </c>
      <c r="Z48" s="174" t="e">
        <f t="shared" si="153"/>
        <v>#DIV/0!</v>
      </c>
      <c r="AA48" s="174">
        <f t="shared" si="154"/>
        <v>0</v>
      </c>
      <c r="AB48" s="174">
        <f t="shared" si="155"/>
        <v>0</v>
      </c>
      <c r="AC48" s="174">
        <f t="shared" si="156"/>
        <v>0</v>
      </c>
      <c r="AD48" s="174">
        <f t="shared" si="157"/>
        <v>0</v>
      </c>
      <c r="AE48" s="174">
        <f t="shared" si="158"/>
        <v>0</v>
      </c>
      <c r="AF48" s="174">
        <f t="shared" si="159"/>
        <v>0</v>
      </c>
      <c r="AG48" s="69">
        <f t="shared" si="160"/>
        <v>0</v>
      </c>
      <c r="AK48" s="65" t="s">
        <v>151</v>
      </c>
      <c r="AL48" s="65" t="s">
        <v>260</v>
      </c>
      <c r="AM48" s="174">
        <v>0</v>
      </c>
      <c r="AN48" s="174">
        <v>0</v>
      </c>
      <c r="AO48" s="174">
        <v>0</v>
      </c>
      <c r="AP48" s="174">
        <v>0</v>
      </c>
      <c r="AQ48" s="174">
        <v>0</v>
      </c>
      <c r="AR48" s="174">
        <v>0</v>
      </c>
      <c r="AS48" s="174">
        <v>0</v>
      </c>
      <c r="AT48" s="174"/>
      <c r="AU48" s="174"/>
      <c r="AV48" s="174"/>
      <c r="AW48" s="174"/>
      <c r="AX48" s="174"/>
      <c r="AY48" s="69">
        <f t="shared" si="168"/>
        <v>0</v>
      </c>
      <c r="AZ48" s="69">
        <f t="shared" si="161"/>
        <v>0</v>
      </c>
      <c r="BA48" s="69">
        <f t="shared" si="162"/>
        <v>0</v>
      </c>
      <c r="BC48" s="65" t="s">
        <v>151</v>
      </c>
      <c r="BD48" s="65" t="s">
        <v>260</v>
      </c>
      <c r="BK48" s="553">
        <v>5</v>
      </c>
      <c r="BL48" s="174">
        <v>11</v>
      </c>
      <c r="BM48" s="174">
        <v>17</v>
      </c>
      <c r="BN48" s="174">
        <v>25</v>
      </c>
      <c r="BO48" s="174">
        <v>33</v>
      </c>
      <c r="BP48" s="174">
        <v>41</v>
      </c>
      <c r="BQ48" s="69">
        <f t="shared" si="169"/>
        <v>41</v>
      </c>
      <c r="BR48" s="69">
        <f t="shared" si="163"/>
        <v>5</v>
      </c>
      <c r="BS48" s="69">
        <f t="shared" si="164"/>
        <v>5</v>
      </c>
      <c r="BT48" s="69">
        <v>41</v>
      </c>
      <c r="BU48" s="171"/>
      <c r="BX48" s="65" t="s">
        <v>151</v>
      </c>
      <c r="BY48" s="65" t="s">
        <v>260</v>
      </c>
      <c r="BZ48" s="192">
        <v>0</v>
      </c>
      <c r="CA48" s="192">
        <v>0</v>
      </c>
      <c r="CB48" s="192">
        <v>0</v>
      </c>
      <c r="CC48" s="192">
        <v>0</v>
      </c>
      <c r="CD48" s="192">
        <v>0</v>
      </c>
      <c r="CE48" s="192">
        <v>0</v>
      </c>
      <c r="CF48" s="192">
        <v>0</v>
      </c>
      <c r="CG48" s="192">
        <v>0</v>
      </c>
      <c r="CH48" s="192">
        <v>0</v>
      </c>
      <c r="CI48" s="192">
        <v>0</v>
      </c>
      <c r="CJ48" s="192">
        <v>0</v>
      </c>
      <c r="CK48" s="192">
        <v>0</v>
      </c>
      <c r="CL48" s="189">
        <f t="shared" si="165"/>
        <v>0</v>
      </c>
      <c r="CM48" s="189">
        <f t="shared" si="166"/>
        <v>0</v>
      </c>
      <c r="CN48" s="189">
        <f t="shared" si="167"/>
        <v>0</v>
      </c>
    </row>
    <row r="49" spans="1:92">
      <c r="A49" s="175" t="s">
        <v>151</v>
      </c>
      <c r="B49" s="65" t="s">
        <v>24</v>
      </c>
      <c r="C49" s="174" t="e">
        <f t="shared" si="135"/>
        <v>#DIV/0!</v>
      </c>
      <c r="D49" s="174" t="e">
        <f t="shared" si="136"/>
        <v>#DIV/0!</v>
      </c>
      <c r="E49" s="174" t="e">
        <f t="shared" si="137"/>
        <v>#DIV/0!</v>
      </c>
      <c r="F49" s="174" t="e">
        <f t="shared" si="138"/>
        <v>#DIV/0!</v>
      </c>
      <c r="G49" s="174" t="e">
        <f t="shared" si="139"/>
        <v>#DIV/0!</v>
      </c>
      <c r="H49" s="174" t="e">
        <f t="shared" si="140"/>
        <v>#DIV/0!</v>
      </c>
      <c r="I49" s="174" t="e">
        <f t="shared" si="141"/>
        <v>#DIV/0!</v>
      </c>
      <c r="J49" s="174" t="e">
        <f t="shared" si="142"/>
        <v>#DIV/0!</v>
      </c>
      <c r="K49" s="174" t="e">
        <f t="shared" si="143"/>
        <v>#DIV/0!</v>
      </c>
      <c r="L49" s="174" t="e">
        <f t="shared" si="144"/>
        <v>#DIV/0!</v>
      </c>
      <c r="M49" s="174" t="e">
        <f t="shared" si="145"/>
        <v>#DIV/0!</v>
      </c>
      <c r="N49" s="174" t="e">
        <f t="shared" si="146"/>
        <v>#DIV/0!</v>
      </c>
      <c r="O49" s="69" t="e">
        <f t="shared" si="147"/>
        <v>#DIV/0!</v>
      </c>
      <c r="S49" s="175" t="s">
        <v>151</v>
      </c>
      <c r="T49" s="65" t="s">
        <v>24</v>
      </c>
      <c r="U49" s="174" t="e">
        <f t="shared" si="204"/>
        <v>#DIV/0!</v>
      </c>
      <c r="V49" s="174" t="e">
        <f t="shared" si="204"/>
        <v>#DIV/0!</v>
      </c>
      <c r="W49" s="174" t="e">
        <f t="shared" si="204"/>
        <v>#DIV/0!</v>
      </c>
      <c r="X49" s="174" t="e">
        <f t="shared" si="151"/>
        <v>#DIV/0!</v>
      </c>
      <c r="Y49" s="174" t="e">
        <f t="shared" si="152"/>
        <v>#DIV/0!</v>
      </c>
      <c r="Z49" s="174" t="e">
        <f t="shared" si="153"/>
        <v>#DIV/0!</v>
      </c>
      <c r="AA49" s="174" t="e">
        <f t="shared" si="154"/>
        <v>#DIV/0!</v>
      </c>
      <c r="AB49" s="174" t="e">
        <f t="shared" si="155"/>
        <v>#DIV/0!</v>
      </c>
      <c r="AC49" s="174" t="e">
        <f t="shared" si="156"/>
        <v>#DIV/0!</v>
      </c>
      <c r="AD49" s="174" t="e">
        <f t="shared" si="157"/>
        <v>#DIV/0!</v>
      </c>
      <c r="AE49" s="174" t="e">
        <f t="shared" si="158"/>
        <v>#DIV/0!</v>
      </c>
      <c r="AF49" s="174" t="e">
        <f t="shared" si="159"/>
        <v>#DIV/0!</v>
      </c>
      <c r="AG49" s="69" t="e">
        <f t="shared" si="160"/>
        <v>#DIV/0!</v>
      </c>
      <c r="AK49" s="175" t="s">
        <v>151</v>
      </c>
      <c r="AL49" s="65" t="s">
        <v>24</v>
      </c>
      <c r="AM49" s="174">
        <v>0</v>
      </c>
      <c r="AN49" s="174">
        <v>0</v>
      </c>
      <c r="AO49" s="174">
        <v>0</v>
      </c>
      <c r="AP49" s="174">
        <v>0</v>
      </c>
      <c r="AQ49" s="174">
        <v>1</v>
      </c>
      <c r="AR49" s="174">
        <v>1</v>
      </c>
      <c r="AS49" s="174">
        <v>1</v>
      </c>
      <c r="AT49" s="174"/>
      <c r="AU49" s="174"/>
      <c r="AV49" s="174"/>
      <c r="AW49" s="174"/>
      <c r="AX49" s="174"/>
      <c r="AY49" s="69">
        <f t="shared" si="168"/>
        <v>0</v>
      </c>
      <c r="AZ49" s="69">
        <f t="shared" si="161"/>
        <v>3</v>
      </c>
      <c r="BA49" s="69">
        <f t="shared" si="162"/>
        <v>1</v>
      </c>
      <c r="BC49" s="175" t="s">
        <v>151</v>
      </c>
      <c r="BD49" s="65" t="s">
        <v>24</v>
      </c>
      <c r="BQ49" s="69">
        <f t="shared" si="169"/>
        <v>0</v>
      </c>
      <c r="BR49" s="69">
        <f t="shared" si="163"/>
        <v>0</v>
      </c>
      <c r="BS49" s="69">
        <f t="shared" si="164"/>
        <v>0</v>
      </c>
      <c r="BT49" s="69">
        <v>0</v>
      </c>
      <c r="BX49" s="196" t="s">
        <v>151</v>
      </c>
      <c r="BY49" s="65" t="s">
        <v>24</v>
      </c>
      <c r="BZ49" s="189">
        <v>0</v>
      </c>
      <c r="CA49" s="189">
        <v>0</v>
      </c>
      <c r="CB49" s="189">
        <v>0</v>
      </c>
      <c r="CC49" s="189">
        <v>0</v>
      </c>
      <c r="CD49" s="189">
        <v>0</v>
      </c>
      <c r="CE49" s="189">
        <v>0</v>
      </c>
      <c r="CF49" s="189">
        <v>0</v>
      </c>
      <c r="CG49" s="189">
        <v>0</v>
      </c>
      <c r="CH49" s="189">
        <v>0</v>
      </c>
      <c r="CI49" s="189">
        <v>0</v>
      </c>
      <c r="CJ49" s="189">
        <v>0</v>
      </c>
      <c r="CK49" s="189">
        <v>0</v>
      </c>
      <c r="CL49" s="189">
        <f t="shared" si="165"/>
        <v>0</v>
      </c>
      <c r="CM49" s="189">
        <f t="shared" si="166"/>
        <v>0</v>
      </c>
      <c r="CN49" s="189">
        <f t="shared" si="167"/>
        <v>0</v>
      </c>
    </row>
    <row r="50" spans="1:92">
      <c r="A50" s="175" t="s">
        <v>151</v>
      </c>
      <c r="B50" s="65" t="s">
        <v>262</v>
      </c>
      <c r="C50" s="174" t="e">
        <f t="shared" si="135"/>
        <v>#DIV/0!</v>
      </c>
      <c r="D50" s="174" t="e">
        <f t="shared" si="136"/>
        <v>#DIV/0!</v>
      </c>
      <c r="E50" s="174" t="e">
        <f t="shared" si="137"/>
        <v>#DIV/0!</v>
      </c>
      <c r="F50" s="174" t="e">
        <f t="shared" si="138"/>
        <v>#DIV/0!</v>
      </c>
      <c r="G50" s="174" t="e">
        <f t="shared" si="139"/>
        <v>#DIV/0!</v>
      </c>
      <c r="H50" s="174" t="e">
        <f t="shared" si="140"/>
        <v>#DIV/0!</v>
      </c>
      <c r="I50" s="174" t="e">
        <f t="shared" si="141"/>
        <v>#DIV/0!</v>
      </c>
      <c r="J50" s="174" t="e">
        <f t="shared" si="142"/>
        <v>#DIV/0!</v>
      </c>
      <c r="K50" s="174" t="e">
        <f t="shared" si="143"/>
        <v>#DIV/0!</v>
      </c>
      <c r="L50" s="174" t="e">
        <f t="shared" si="144"/>
        <v>#DIV/0!</v>
      </c>
      <c r="M50" s="174" t="e">
        <f t="shared" si="145"/>
        <v>#DIV/0!</v>
      </c>
      <c r="N50" s="174" t="e">
        <f t="shared" si="146"/>
        <v>#DIV/0!</v>
      </c>
      <c r="O50" s="69" t="e">
        <f t="shared" si="147"/>
        <v>#DIV/0!</v>
      </c>
      <c r="S50" s="175" t="s">
        <v>151</v>
      </c>
      <c r="T50" s="65" t="s">
        <v>262</v>
      </c>
      <c r="U50" s="174" t="e">
        <f t="shared" si="204"/>
        <v>#DIV/0!</v>
      </c>
      <c r="V50" s="174" t="e">
        <f t="shared" si="204"/>
        <v>#DIV/0!</v>
      </c>
      <c r="W50" s="174" t="e">
        <f t="shared" si="204"/>
        <v>#DIV/0!</v>
      </c>
      <c r="X50" s="174" t="e">
        <f t="shared" si="151"/>
        <v>#DIV/0!</v>
      </c>
      <c r="Y50" s="174" t="e">
        <f t="shared" si="152"/>
        <v>#DIV/0!</v>
      </c>
      <c r="Z50" s="174" t="e">
        <f t="shared" si="153"/>
        <v>#DIV/0!</v>
      </c>
      <c r="AA50" s="174">
        <f t="shared" si="154"/>
        <v>0</v>
      </c>
      <c r="AB50" s="174">
        <f t="shared" si="155"/>
        <v>0</v>
      </c>
      <c r="AC50" s="174">
        <f t="shared" si="156"/>
        <v>0</v>
      </c>
      <c r="AD50" s="174">
        <f t="shared" si="157"/>
        <v>0</v>
      </c>
      <c r="AE50" s="174">
        <f t="shared" si="158"/>
        <v>0</v>
      </c>
      <c r="AF50" s="174">
        <f t="shared" si="159"/>
        <v>0</v>
      </c>
      <c r="AG50" s="69">
        <f t="shared" si="160"/>
        <v>0</v>
      </c>
      <c r="AK50" s="175" t="s">
        <v>151</v>
      </c>
      <c r="AL50" s="65" t="s">
        <v>262</v>
      </c>
      <c r="AM50" s="174">
        <v>0</v>
      </c>
      <c r="AN50" s="174">
        <v>0</v>
      </c>
      <c r="AO50" s="174">
        <v>0</v>
      </c>
      <c r="AP50" s="174">
        <v>0</v>
      </c>
      <c r="AQ50" s="174">
        <v>0</v>
      </c>
      <c r="AR50" s="174">
        <v>0</v>
      </c>
      <c r="AS50" s="174">
        <v>0</v>
      </c>
      <c r="AT50" s="174"/>
      <c r="AU50" s="174"/>
      <c r="AV50" s="174"/>
      <c r="AW50" s="174"/>
      <c r="AX50" s="174"/>
      <c r="AY50" s="69">
        <f t="shared" si="168"/>
        <v>0</v>
      </c>
      <c r="AZ50" s="69">
        <f t="shared" si="161"/>
        <v>0</v>
      </c>
      <c r="BA50" s="69">
        <f t="shared" si="162"/>
        <v>0</v>
      </c>
      <c r="BC50" s="175" t="s">
        <v>151</v>
      </c>
      <c r="BD50" s="65" t="s">
        <v>262</v>
      </c>
      <c r="BK50" s="69">
        <f>BK48</f>
        <v>5</v>
      </c>
      <c r="BL50" s="69">
        <f t="shared" ref="BL50:BP50" si="205">BL48</f>
        <v>11</v>
      </c>
      <c r="BM50" s="69">
        <f t="shared" si="205"/>
        <v>17</v>
      </c>
      <c r="BN50" s="69">
        <f t="shared" si="205"/>
        <v>25</v>
      </c>
      <c r="BO50" s="69">
        <f t="shared" si="205"/>
        <v>33</v>
      </c>
      <c r="BP50" s="69">
        <f t="shared" si="205"/>
        <v>41</v>
      </c>
      <c r="BQ50" s="69">
        <f t="shared" si="169"/>
        <v>41</v>
      </c>
      <c r="BR50" s="69">
        <f t="shared" si="163"/>
        <v>5</v>
      </c>
      <c r="BS50" s="69">
        <f t="shared" si="164"/>
        <v>5</v>
      </c>
      <c r="BT50" s="69">
        <v>41</v>
      </c>
      <c r="BX50" s="196" t="s">
        <v>151</v>
      </c>
      <c r="BY50" s="65" t="s">
        <v>262</v>
      </c>
      <c r="BZ50" s="189">
        <v>0</v>
      </c>
      <c r="CA50" s="189">
        <v>0</v>
      </c>
      <c r="CB50" s="189">
        <v>0</v>
      </c>
      <c r="CC50" s="189">
        <v>0</v>
      </c>
      <c r="CD50" s="189">
        <v>0</v>
      </c>
      <c r="CE50" s="189">
        <v>0</v>
      </c>
      <c r="CF50" s="189">
        <v>0</v>
      </c>
      <c r="CG50" s="189">
        <v>0</v>
      </c>
      <c r="CH50" s="189">
        <v>0</v>
      </c>
      <c r="CI50" s="189">
        <v>0</v>
      </c>
      <c r="CJ50" s="189">
        <v>0</v>
      </c>
      <c r="CK50" s="189">
        <v>0</v>
      </c>
      <c r="CL50" s="189">
        <f t="shared" si="165"/>
        <v>0</v>
      </c>
      <c r="CM50" s="189">
        <f t="shared" si="166"/>
        <v>0</v>
      </c>
      <c r="CN50" s="189">
        <f t="shared" si="167"/>
        <v>0</v>
      </c>
    </row>
    <row r="51" spans="1:92">
      <c r="A51" s="175" t="s">
        <v>151</v>
      </c>
      <c r="B51" s="65" t="s">
        <v>26</v>
      </c>
      <c r="C51" s="174" t="e">
        <f t="shared" si="135"/>
        <v>#DIV/0!</v>
      </c>
      <c r="D51" s="174" t="e">
        <f t="shared" si="136"/>
        <v>#DIV/0!</v>
      </c>
      <c r="E51" s="174" t="e">
        <f t="shared" si="137"/>
        <v>#DIV/0!</v>
      </c>
      <c r="F51" s="174" t="e">
        <f t="shared" si="138"/>
        <v>#DIV/0!</v>
      </c>
      <c r="G51" s="174" t="e">
        <f t="shared" si="139"/>
        <v>#DIV/0!</v>
      </c>
      <c r="H51" s="174" t="e">
        <f t="shared" si="140"/>
        <v>#DIV/0!</v>
      </c>
      <c r="I51" s="174" t="e">
        <f t="shared" si="141"/>
        <v>#DIV/0!</v>
      </c>
      <c r="J51" s="174" t="e">
        <f t="shared" si="142"/>
        <v>#DIV/0!</v>
      </c>
      <c r="K51" s="174" t="e">
        <f t="shared" si="143"/>
        <v>#DIV/0!</v>
      </c>
      <c r="L51" s="174" t="e">
        <f t="shared" si="144"/>
        <v>#DIV/0!</v>
      </c>
      <c r="M51" s="174" t="e">
        <f t="shared" si="145"/>
        <v>#DIV/0!</v>
      </c>
      <c r="N51" s="174" t="e">
        <f t="shared" si="146"/>
        <v>#DIV/0!</v>
      </c>
      <c r="O51" s="69" t="e">
        <f t="shared" si="147"/>
        <v>#DIV/0!</v>
      </c>
      <c r="S51" s="175" t="s">
        <v>151</v>
      </c>
      <c r="T51" s="65" t="s">
        <v>26</v>
      </c>
      <c r="U51" s="174" t="e">
        <f t="shared" si="204"/>
        <v>#DIV/0!</v>
      </c>
      <c r="V51" s="174" t="e">
        <f t="shared" si="204"/>
        <v>#DIV/0!</v>
      </c>
      <c r="W51" s="174" t="e">
        <f t="shared" si="204"/>
        <v>#DIV/0!</v>
      </c>
      <c r="X51" s="174" t="e">
        <f t="shared" si="151"/>
        <v>#DIV/0!</v>
      </c>
      <c r="Y51" s="174" t="e">
        <f t="shared" si="152"/>
        <v>#DIV/0!</v>
      </c>
      <c r="Z51" s="174" t="e">
        <f t="shared" si="153"/>
        <v>#DIV/0!</v>
      </c>
      <c r="AA51" s="174" t="e">
        <f t="shared" si="154"/>
        <v>#DIV/0!</v>
      </c>
      <c r="AB51" s="174" t="e">
        <f t="shared" si="155"/>
        <v>#DIV/0!</v>
      </c>
      <c r="AC51" s="174" t="e">
        <f t="shared" si="156"/>
        <v>#DIV/0!</v>
      </c>
      <c r="AD51" s="174" t="e">
        <f t="shared" si="157"/>
        <v>#DIV/0!</v>
      </c>
      <c r="AE51" s="174" t="e">
        <f t="shared" si="158"/>
        <v>#DIV/0!</v>
      </c>
      <c r="AF51" s="174" t="e">
        <f t="shared" si="159"/>
        <v>#DIV/0!</v>
      </c>
      <c r="AG51" s="69" t="e">
        <f t="shared" si="160"/>
        <v>#DIV/0!</v>
      </c>
      <c r="AK51" s="175" t="s">
        <v>151</v>
      </c>
      <c r="AL51" s="65" t="s">
        <v>26</v>
      </c>
      <c r="AM51" s="174">
        <v>0</v>
      </c>
      <c r="AN51" s="174">
        <v>0</v>
      </c>
      <c r="AO51" s="174">
        <v>0</v>
      </c>
      <c r="AP51" s="174">
        <v>0</v>
      </c>
      <c r="AQ51" s="174">
        <v>0</v>
      </c>
      <c r="AR51" s="174">
        <v>0</v>
      </c>
      <c r="AS51" s="174">
        <v>0</v>
      </c>
      <c r="AT51" s="174"/>
      <c r="AU51" s="174"/>
      <c r="AV51" s="174"/>
      <c r="AW51" s="174"/>
      <c r="AX51" s="174"/>
      <c r="AY51" s="69">
        <f t="shared" si="168"/>
        <v>0</v>
      </c>
      <c r="AZ51" s="69">
        <f t="shared" si="161"/>
        <v>0</v>
      </c>
      <c r="BA51" s="69">
        <f t="shared" si="162"/>
        <v>0</v>
      </c>
      <c r="BC51" s="175" t="s">
        <v>151</v>
      </c>
      <c r="BD51" s="65" t="s">
        <v>26</v>
      </c>
      <c r="BQ51" s="69">
        <f t="shared" si="169"/>
        <v>0</v>
      </c>
      <c r="BR51" s="69">
        <f t="shared" si="163"/>
        <v>0</v>
      </c>
      <c r="BS51" s="69">
        <f t="shared" si="164"/>
        <v>0</v>
      </c>
      <c r="BT51" s="69">
        <v>0</v>
      </c>
      <c r="BX51" s="196" t="s">
        <v>151</v>
      </c>
      <c r="BY51" s="65" t="s">
        <v>26</v>
      </c>
      <c r="BZ51" s="189">
        <v>0</v>
      </c>
      <c r="CA51" s="189">
        <v>0</v>
      </c>
      <c r="CB51" s="189">
        <v>0</v>
      </c>
      <c r="CC51" s="189">
        <v>0</v>
      </c>
      <c r="CD51" s="189">
        <v>0</v>
      </c>
      <c r="CE51" s="189">
        <v>0</v>
      </c>
      <c r="CF51" s="189">
        <v>0</v>
      </c>
      <c r="CG51" s="189">
        <v>0</v>
      </c>
      <c r="CH51" s="189">
        <v>0</v>
      </c>
      <c r="CI51" s="189">
        <v>0</v>
      </c>
      <c r="CJ51" s="189">
        <v>0</v>
      </c>
      <c r="CK51" s="189">
        <v>0</v>
      </c>
      <c r="CL51" s="189">
        <f t="shared" si="165"/>
        <v>0</v>
      </c>
      <c r="CM51" s="189">
        <f t="shared" si="166"/>
        <v>0</v>
      </c>
      <c r="CN51" s="189">
        <f t="shared" si="167"/>
        <v>0</v>
      </c>
    </row>
    <row r="52" spans="1:92">
      <c r="A52" s="178" t="s">
        <v>151</v>
      </c>
      <c r="B52" s="176" t="s">
        <v>162</v>
      </c>
      <c r="C52" s="177" t="e">
        <f t="shared" si="135"/>
        <v>#DIV/0!</v>
      </c>
      <c r="D52" s="177" t="e">
        <f t="shared" si="136"/>
        <v>#DIV/0!</v>
      </c>
      <c r="E52" s="177" t="e">
        <f t="shared" si="137"/>
        <v>#DIV/0!</v>
      </c>
      <c r="F52" s="177" t="e">
        <f t="shared" si="138"/>
        <v>#DIV/0!</v>
      </c>
      <c r="G52" s="177" t="e">
        <f t="shared" si="139"/>
        <v>#DIV/0!</v>
      </c>
      <c r="H52" s="177" t="e">
        <f t="shared" si="140"/>
        <v>#DIV/0!</v>
      </c>
      <c r="I52" s="177">
        <f t="shared" si="141"/>
        <v>0.1</v>
      </c>
      <c r="J52" s="177" t="e">
        <f t="shared" si="142"/>
        <v>#DIV/0!</v>
      </c>
      <c r="K52" s="177" t="e">
        <f t="shared" si="143"/>
        <v>#DIV/0!</v>
      </c>
      <c r="L52" s="177" t="e">
        <f t="shared" si="144"/>
        <v>#DIV/0!</v>
      </c>
      <c r="M52" s="177" t="e">
        <f t="shared" si="145"/>
        <v>#DIV/0!</v>
      </c>
      <c r="N52" s="177" t="e">
        <f t="shared" si="146"/>
        <v>#DIV/0!</v>
      </c>
      <c r="O52" s="177" t="e">
        <f t="shared" si="147"/>
        <v>#DIV/0!</v>
      </c>
      <c r="P52" s="177"/>
      <c r="Q52" s="177"/>
      <c r="S52" s="178" t="s">
        <v>151</v>
      </c>
      <c r="T52" s="176" t="s">
        <v>162</v>
      </c>
      <c r="U52" s="177" t="e">
        <f t="shared" si="148"/>
        <v>#DIV/0!</v>
      </c>
      <c r="V52" s="177" t="e">
        <f t="shared" si="149"/>
        <v>#DIV/0!</v>
      </c>
      <c r="W52" s="177" t="e">
        <f t="shared" si="150"/>
        <v>#DIV/0!</v>
      </c>
      <c r="X52" s="177" t="e">
        <f t="shared" si="151"/>
        <v>#DIV/0!</v>
      </c>
      <c r="Y52" s="177" t="e">
        <f t="shared" si="152"/>
        <v>#DIV/0!</v>
      </c>
      <c r="Z52" s="177" t="e">
        <f t="shared" si="153"/>
        <v>#DIV/0!</v>
      </c>
      <c r="AA52" s="177">
        <f t="shared" si="154"/>
        <v>0.1</v>
      </c>
      <c r="AB52" s="177">
        <f t="shared" si="155"/>
        <v>0</v>
      </c>
      <c r="AC52" s="177">
        <f t="shared" si="156"/>
        <v>0</v>
      </c>
      <c r="AD52" s="177">
        <f t="shared" si="157"/>
        <v>0</v>
      </c>
      <c r="AE52" s="177">
        <f t="shared" si="158"/>
        <v>0</v>
      </c>
      <c r="AF52" s="177">
        <f t="shared" si="159"/>
        <v>0</v>
      </c>
      <c r="AG52" s="177">
        <f t="shared" si="160"/>
        <v>0</v>
      </c>
      <c r="AH52" s="177"/>
      <c r="AI52" s="177"/>
      <c r="AK52" s="178" t="s">
        <v>151</v>
      </c>
      <c r="AL52" s="176" t="s">
        <v>162</v>
      </c>
      <c r="AM52" s="177">
        <f>SUM(AM48:AM51)</f>
        <v>0</v>
      </c>
      <c r="AN52" s="177">
        <f>SUM(AN48:AN51)</f>
        <v>0</v>
      </c>
      <c r="AO52" s="177">
        <f>SUM(AO48:AO51)</f>
        <v>0</v>
      </c>
      <c r="AP52" s="177">
        <f t="shared" ref="AP52" si="206">SUM(AP48:AP51)</f>
        <v>0</v>
      </c>
      <c r="AQ52" s="177">
        <f t="shared" ref="AQ52" si="207">SUM(AQ48:AQ51)</f>
        <v>1</v>
      </c>
      <c r="AR52" s="177">
        <f t="shared" ref="AR52" si="208">SUM(AR48:AR51)</f>
        <v>1</v>
      </c>
      <c r="AS52" s="177">
        <f t="shared" ref="AS52" si="209">SUM(AS48:AS51)</f>
        <v>1</v>
      </c>
      <c r="AT52" s="177">
        <f t="shared" ref="AT52" si="210">SUM(AT48:AT51)</f>
        <v>0</v>
      </c>
      <c r="AU52" s="177">
        <f t="shared" ref="AU52" si="211">SUM(AU48:AU51)</f>
        <v>0</v>
      </c>
      <c r="AV52" s="177">
        <f t="shared" ref="AV52" si="212">SUM(AV48:AV51)</f>
        <v>0</v>
      </c>
      <c r="AW52" s="177">
        <f t="shared" ref="AW52" si="213">SUM(AW48:AW51)</f>
        <v>0</v>
      </c>
      <c r="AX52" s="177">
        <f t="shared" ref="AX52" si="214">SUM(AX48:AX51)</f>
        <v>0</v>
      </c>
      <c r="AY52" s="177">
        <f t="shared" si="168"/>
        <v>0</v>
      </c>
      <c r="AZ52" s="177">
        <f t="shared" si="161"/>
        <v>3</v>
      </c>
      <c r="BA52" s="177">
        <f t="shared" si="162"/>
        <v>1</v>
      </c>
      <c r="BC52" s="178" t="s">
        <v>151</v>
      </c>
      <c r="BD52" s="176" t="s">
        <v>162</v>
      </c>
      <c r="BE52" s="177">
        <f>SUM(BE48:BE51)</f>
        <v>0</v>
      </c>
      <c r="BF52" s="177">
        <f t="shared" ref="BF52:BP52" si="215">SUM(BF48:BF51)</f>
        <v>0</v>
      </c>
      <c r="BG52" s="177">
        <f t="shared" si="215"/>
        <v>0</v>
      </c>
      <c r="BH52" s="177">
        <f t="shared" si="215"/>
        <v>0</v>
      </c>
      <c r="BI52" s="177">
        <f t="shared" si="215"/>
        <v>0</v>
      </c>
      <c r="BJ52" s="177">
        <f t="shared" si="215"/>
        <v>0</v>
      </c>
      <c r="BK52" s="177">
        <f t="shared" si="215"/>
        <v>10</v>
      </c>
      <c r="BL52" s="177">
        <f t="shared" si="215"/>
        <v>22</v>
      </c>
      <c r="BM52" s="177">
        <f t="shared" si="215"/>
        <v>34</v>
      </c>
      <c r="BN52" s="177">
        <f t="shared" si="215"/>
        <v>50</v>
      </c>
      <c r="BO52" s="177">
        <f t="shared" si="215"/>
        <v>66</v>
      </c>
      <c r="BP52" s="177">
        <f t="shared" si="215"/>
        <v>82</v>
      </c>
      <c r="BQ52" s="177">
        <f t="shared" si="169"/>
        <v>82</v>
      </c>
      <c r="BR52" s="177">
        <f t="shared" si="163"/>
        <v>10</v>
      </c>
      <c r="BS52" s="177">
        <f t="shared" si="164"/>
        <v>10</v>
      </c>
      <c r="BX52" s="197" t="s">
        <v>151</v>
      </c>
      <c r="BY52" s="194" t="s">
        <v>162</v>
      </c>
      <c r="BZ52" s="195">
        <f t="shared" ref="BZ52:CK52" si="216">SUM(BZ48:BZ51)</f>
        <v>0</v>
      </c>
      <c r="CA52" s="195">
        <f t="shared" si="216"/>
        <v>0</v>
      </c>
      <c r="CB52" s="195">
        <f t="shared" si="216"/>
        <v>0</v>
      </c>
      <c r="CC52" s="195">
        <f t="shared" si="216"/>
        <v>0</v>
      </c>
      <c r="CD52" s="195">
        <f t="shared" si="216"/>
        <v>0</v>
      </c>
      <c r="CE52" s="195">
        <f t="shared" si="216"/>
        <v>0</v>
      </c>
      <c r="CF52" s="195">
        <f t="shared" si="216"/>
        <v>0</v>
      </c>
      <c r="CG52" s="195">
        <f t="shared" si="216"/>
        <v>0</v>
      </c>
      <c r="CH52" s="195">
        <f t="shared" si="216"/>
        <v>0</v>
      </c>
      <c r="CI52" s="195">
        <f t="shared" si="216"/>
        <v>0</v>
      </c>
      <c r="CJ52" s="195">
        <f t="shared" si="216"/>
        <v>0</v>
      </c>
      <c r="CK52" s="195">
        <f t="shared" si="216"/>
        <v>0</v>
      </c>
      <c r="CL52" s="195">
        <f t="shared" si="165"/>
        <v>0</v>
      </c>
      <c r="CM52" s="195">
        <f t="shared" si="166"/>
        <v>0</v>
      </c>
      <c r="CN52" s="195">
        <f t="shared" si="167"/>
        <v>0</v>
      </c>
    </row>
    <row r="53" spans="1:92">
      <c r="A53" s="65" t="s">
        <v>266</v>
      </c>
      <c r="B53" s="65" t="s">
        <v>260</v>
      </c>
      <c r="C53" s="174" t="e">
        <f t="shared" si="135"/>
        <v>#DIV/0!</v>
      </c>
      <c r="D53" s="174" t="e">
        <f t="shared" si="136"/>
        <v>#DIV/0!</v>
      </c>
      <c r="E53" s="174" t="e">
        <f t="shared" si="137"/>
        <v>#DIV/0!</v>
      </c>
      <c r="F53" s="174" t="e">
        <f t="shared" si="138"/>
        <v>#DIV/0!</v>
      </c>
      <c r="G53" s="174" t="e">
        <f t="shared" si="139"/>
        <v>#DIV/0!</v>
      </c>
      <c r="H53" s="174" t="e">
        <f t="shared" si="140"/>
        <v>#DIV/0!</v>
      </c>
      <c r="I53" s="174" t="e">
        <f t="shared" si="141"/>
        <v>#DIV/0!</v>
      </c>
      <c r="J53" s="174" t="e">
        <f t="shared" si="142"/>
        <v>#DIV/0!</v>
      </c>
      <c r="K53" s="174" t="e">
        <f t="shared" si="143"/>
        <v>#DIV/0!</v>
      </c>
      <c r="L53" s="174" t="e">
        <f t="shared" si="144"/>
        <v>#DIV/0!</v>
      </c>
      <c r="M53" s="174" t="e">
        <f t="shared" si="145"/>
        <v>#DIV/0!</v>
      </c>
      <c r="N53" s="174" t="e">
        <f t="shared" si="146"/>
        <v>#DIV/0!</v>
      </c>
      <c r="O53" s="69" t="e">
        <f t="shared" si="147"/>
        <v>#DIV/0!</v>
      </c>
      <c r="S53" s="65" t="s">
        <v>266</v>
      </c>
      <c r="T53" s="65" t="s">
        <v>260</v>
      </c>
      <c r="U53" s="174" t="e">
        <f t="shared" si="148"/>
        <v>#DIV/0!</v>
      </c>
      <c r="V53" s="174" t="e">
        <f t="shared" si="149"/>
        <v>#DIV/0!</v>
      </c>
      <c r="W53" s="174" t="e">
        <f t="shared" si="150"/>
        <v>#DIV/0!</v>
      </c>
      <c r="X53" s="174" t="e">
        <f t="shared" si="151"/>
        <v>#DIV/0!</v>
      </c>
      <c r="Y53" s="174" t="e">
        <f t="shared" si="152"/>
        <v>#DIV/0!</v>
      </c>
      <c r="Z53" s="174" t="e">
        <f t="shared" si="153"/>
        <v>#DIV/0!</v>
      </c>
      <c r="AA53" s="174">
        <f t="shared" si="154"/>
        <v>0</v>
      </c>
      <c r="AB53" s="174">
        <f t="shared" si="155"/>
        <v>0</v>
      </c>
      <c r="AC53" s="174">
        <f t="shared" si="156"/>
        <v>0</v>
      </c>
      <c r="AD53" s="174">
        <f t="shared" si="157"/>
        <v>0</v>
      </c>
      <c r="AE53" s="174">
        <f t="shared" si="158"/>
        <v>0</v>
      </c>
      <c r="AF53" s="174">
        <f t="shared" si="159"/>
        <v>0</v>
      </c>
      <c r="AG53" s="69">
        <f t="shared" si="160"/>
        <v>0</v>
      </c>
      <c r="AK53" s="65" t="s">
        <v>266</v>
      </c>
      <c r="AL53" s="65" t="s">
        <v>260</v>
      </c>
      <c r="AM53" s="174">
        <v>0</v>
      </c>
      <c r="AN53" s="174">
        <v>0</v>
      </c>
      <c r="AO53" s="174">
        <v>0</v>
      </c>
      <c r="AP53" s="174">
        <v>0</v>
      </c>
      <c r="AQ53" s="174">
        <v>0</v>
      </c>
      <c r="AR53" s="174">
        <v>0</v>
      </c>
      <c r="AS53" s="174">
        <v>0</v>
      </c>
      <c r="AT53" s="174"/>
      <c r="AU53" s="174"/>
      <c r="AV53" s="174"/>
      <c r="AW53" s="174"/>
      <c r="AX53" s="174"/>
      <c r="AY53" s="69">
        <f t="shared" si="168"/>
        <v>0</v>
      </c>
      <c r="AZ53" s="69">
        <f t="shared" si="161"/>
        <v>0</v>
      </c>
      <c r="BA53" s="69">
        <f t="shared" si="162"/>
        <v>0</v>
      </c>
      <c r="BC53" s="65" t="s">
        <v>266</v>
      </c>
      <c r="BD53" s="65" t="s">
        <v>260</v>
      </c>
      <c r="BK53" s="174">
        <v>4</v>
      </c>
      <c r="BL53" s="174">
        <v>11.663999999999998</v>
      </c>
      <c r="BM53" s="174">
        <v>13.421375999999999</v>
      </c>
      <c r="BN53" s="174">
        <v>14.089178879999999</v>
      </c>
      <c r="BO53" s="174">
        <v>15.001842815999998</v>
      </c>
      <c r="BP53" s="174">
        <v>15.512934620159998</v>
      </c>
      <c r="BQ53" s="69">
        <f t="shared" si="169"/>
        <v>15.512934620159998</v>
      </c>
      <c r="BR53" s="69">
        <f t="shared" si="163"/>
        <v>4</v>
      </c>
      <c r="BS53" s="69">
        <f t="shared" si="164"/>
        <v>4</v>
      </c>
      <c r="BT53" s="69">
        <v>10</v>
      </c>
      <c r="BX53" s="65" t="s">
        <v>266</v>
      </c>
      <c r="BY53" s="65" t="s">
        <v>260</v>
      </c>
      <c r="BZ53" s="192">
        <v>0</v>
      </c>
      <c r="CA53" s="192">
        <v>0</v>
      </c>
      <c r="CB53" s="192">
        <v>0</v>
      </c>
      <c r="CC53" s="192">
        <v>0</v>
      </c>
      <c r="CD53" s="192">
        <v>0</v>
      </c>
      <c r="CE53" s="192">
        <v>0</v>
      </c>
      <c r="CF53" s="192">
        <v>0</v>
      </c>
      <c r="CG53" s="192">
        <v>0</v>
      </c>
      <c r="CH53" s="192">
        <v>0</v>
      </c>
      <c r="CI53" s="192">
        <v>0</v>
      </c>
      <c r="CJ53" s="192">
        <v>0</v>
      </c>
      <c r="CK53" s="192">
        <v>0</v>
      </c>
      <c r="CL53" s="189">
        <f t="shared" si="165"/>
        <v>0</v>
      </c>
      <c r="CM53" s="189">
        <f t="shared" si="166"/>
        <v>0</v>
      </c>
      <c r="CN53" s="189">
        <f t="shared" si="167"/>
        <v>0</v>
      </c>
    </row>
    <row r="54" spans="1:92">
      <c r="A54" s="175" t="s">
        <v>266</v>
      </c>
      <c r="B54" s="65" t="s">
        <v>267</v>
      </c>
      <c r="C54" s="174" t="e">
        <f t="shared" si="135"/>
        <v>#DIV/0!</v>
      </c>
      <c r="D54" s="174" t="e">
        <f t="shared" si="136"/>
        <v>#DIV/0!</v>
      </c>
      <c r="E54" s="174" t="e">
        <f t="shared" si="137"/>
        <v>#DIV/0!</v>
      </c>
      <c r="F54" s="174" t="e">
        <f t="shared" si="138"/>
        <v>#DIV/0!</v>
      </c>
      <c r="G54" s="174" t="e">
        <f t="shared" si="139"/>
        <v>#DIV/0!</v>
      </c>
      <c r="H54" s="174" t="e">
        <f t="shared" si="140"/>
        <v>#DIV/0!</v>
      </c>
      <c r="I54" s="174" t="e">
        <f t="shared" si="141"/>
        <v>#DIV/0!</v>
      </c>
      <c r="J54" s="174" t="e">
        <f t="shared" si="142"/>
        <v>#DIV/0!</v>
      </c>
      <c r="K54" s="174" t="e">
        <f t="shared" si="143"/>
        <v>#DIV/0!</v>
      </c>
      <c r="L54" s="174" t="e">
        <f t="shared" si="144"/>
        <v>#DIV/0!</v>
      </c>
      <c r="M54" s="174" t="e">
        <f t="shared" si="145"/>
        <v>#DIV/0!</v>
      </c>
      <c r="N54" s="174" t="e">
        <f t="shared" si="146"/>
        <v>#DIV/0!</v>
      </c>
      <c r="O54" s="69" t="e">
        <f t="shared" si="147"/>
        <v>#DIV/0!</v>
      </c>
      <c r="S54" s="175" t="s">
        <v>266</v>
      </c>
      <c r="T54" s="65" t="s">
        <v>267</v>
      </c>
      <c r="U54" s="174" t="e">
        <f t="shared" si="148"/>
        <v>#DIV/0!</v>
      </c>
      <c r="V54" s="174" t="e">
        <f t="shared" si="149"/>
        <v>#DIV/0!</v>
      </c>
      <c r="W54" s="174" t="e">
        <f t="shared" si="150"/>
        <v>#DIV/0!</v>
      </c>
      <c r="X54" s="174" t="e">
        <f t="shared" si="151"/>
        <v>#DIV/0!</v>
      </c>
      <c r="Y54" s="174" t="e">
        <f t="shared" si="152"/>
        <v>#DIV/0!</v>
      </c>
      <c r="Z54" s="174" t="e">
        <f t="shared" si="153"/>
        <v>#DIV/0!</v>
      </c>
      <c r="AA54" s="174" t="e">
        <f t="shared" si="154"/>
        <v>#DIV/0!</v>
      </c>
      <c r="AB54" s="174">
        <f t="shared" si="155"/>
        <v>0</v>
      </c>
      <c r="AC54" s="174" t="e">
        <f t="shared" si="156"/>
        <v>#DIV/0!</v>
      </c>
      <c r="AD54" s="174">
        <f t="shared" si="157"/>
        <v>0</v>
      </c>
      <c r="AE54" s="174" t="e">
        <f t="shared" si="158"/>
        <v>#DIV/0!</v>
      </c>
      <c r="AF54" s="174" t="e">
        <f t="shared" si="159"/>
        <v>#DIV/0!</v>
      </c>
      <c r="AG54" s="69">
        <f t="shared" si="160"/>
        <v>0</v>
      </c>
      <c r="AK54" s="175" t="s">
        <v>266</v>
      </c>
      <c r="AL54" s="65" t="s">
        <v>267</v>
      </c>
      <c r="AM54" s="174">
        <v>0</v>
      </c>
      <c r="AN54" s="174">
        <v>0</v>
      </c>
      <c r="AO54" s="174">
        <v>0</v>
      </c>
      <c r="AP54" s="174">
        <v>0</v>
      </c>
      <c r="AQ54" s="174">
        <v>0</v>
      </c>
      <c r="AR54" s="174">
        <v>0</v>
      </c>
      <c r="AS54" s="174">
        <v>0</v>
      </c>
      <c r="AT54" s="174"/>
      <c r="AU54" s="174"/>
      <c r="AV54" s="174"/>
      <c r="AW54" s="174"/>
      <c r="AX54" s="174"/>
      <c r="AY54" s="69">
        <f>SUM(AM54:AX54)</f>
        <v>0</v>
      </c>
      <c r="AZ54" s="69">
        <f t="shared" si="161"/>
        <v>0</v>
      </c>
      <c r="BA54" s="69">
        <f t="shared" si="162"/>
        <v>0</v>
      </c>
      <c r="BC54" s="175" t="s">
        <v>266</v>
      </c>
      <c r="BD54" s="65" t="s">
        <v>267</v>
      </c>
      <c r="BK54" s="174"/>
      <c r="BL54" s="174">
        <v>1</v>
      </c>
      <c r="BM54" s="174"/>
      <c r="BN54" s="174">
        <v>1</v>
      </c>
      <c r="BO54" s="174"/>
      <c r="BP54" s="174"/>
      <c r="BQ54" s="69">
        <f>SUM(BE54:BP54)</f>
        <v>2</v>
      </c>
      <c r="BR54" s="69">
        <f t="shared" si="163"/>
        <v>0</v>
      </c>
      <c r="BS54" s="69">
        <f t="shared" si="164"/>
        <v>0</v>
      </c>
      <c r="BX54" s="196" t="s">
        <v>266</v>
      </c>
      <c r="BY54" s="65" t="s">
        <v>267</v>
      </c>
      <c r="BZ54" s="192">
        <v>0</v>
      </c>
      <c r="CA54" s="192">
        <v>0</v>
      </c>
      <c r="CB54" s="192">
        <v>0</v>
      </c>
      <c r="CC54" s="192">
        <v>0</v>
      </c>
      <c r="CD54" s="192">
        <v>0</v>
      </c>
      <c r="CE54" s="192">
        <v>0</v>
      </c>
      <c r="CF54" s="192">
        <v>0</v>
      </c>
      <c r="CG54" s="192">
        <v>0</v>
      </c>
      <c r="CH54" s="192">
        <v>0</v>
      </c>
      <c r="CI54" s="192">
        <v>0</v>
      </c>
      <c r="CJ54" s="192">
        <v>0</v>
      </c>
      <c r="CK54" s="192">
        <v>0</v>
      </c>
      <c r="CL54" s="189">
        <f>SUM(BZ54:CK54)</f>
        <v>0</v>
      </c>
      <c r="CM54" s="189">
        <f t="shared" si="166"/>
        <v>0</v>
      </c>
      <c r="CN54" s="189">
        <f t="shared" si="167"/>
        <v>0</v>
      </c>
    </row>
    <row r="55" spans="1:92">
      <c r="A55" s="175" t="s">
        <v>266</v>
      </c>
      <c r="B55" s="65" t="s">
        <v>268</v>
      </c>
      <c r="C55" s="174" t="e">
        <f t="shared" si="135"/>
        <v>#DIV/0!</v>
      </c>
      <c r="D55" s="174" t="e">
        <f t="shared" si="136"/>
        <v>#DIV/0!</v>
      </c>
      <c r="E55" s="174" t="e">
        <f t="shared" si="137"/>
        <v>#DIV/0!</v>
      </c>
      <c r="F55" s="174" t="e">
        <f t="shared" si="138"/>
        <v>#DIV/0!</v>
      </c>
      <c r="G55" s="174" t="e">
        <f t="shared" si="139"/>
        <v>#DIV/0!</v>
      </c>
      <c r="H55" s="174" t="e">
        <f t="shared" si="140"/>
        <v>#DIV/0!</v>
      </c>
      <c r="I55" s="174" t="e">
        <f t="shared" si="141"/>
        <v>#DIV/0!</v>
      </c>
      <c r="J55" s="174" t="e">
        <f t="shared" si="142"/>
        <v>#DIV/0!</v>
      </c>
      <c r="K55" s="174" t="e">
        <f t="shared" si="143"/>
        <v>#DIV/0!</v>
      </c>
      <c r="L55" s="174" t="e">
        <f t="shared" si="144"/>
        <v>#DIV/0!</v>
      </c>
      <c r="M55" s="174" t="e">
        <f t="shared" si="145"/>
        <v>#DIV/0!</v>
      </c>
      <c r="N55" s="174" t="e">
        <f t="shared" si="146"/>
        <v>#DIV/0!</v>
      </c>
      <c r="O55" s="69" t="e">
        <f t="shared" si="147"/>
        <v>#DIV/0!</v>
      </c>
      <c r="S55" s="175" t="s">
        <v>266</v>
      </c>
      <c r="T55" s="65" t="s">
        <v>268</v>
      </c>
      <c r="U55" s="174" t="e">
        <f t="shared" si="148"/>
        <v>#DIV/0!</v>
      </c>
      <c r="V55" s="174" t="e">
        <f t="shared" si="149"/>
        <v>#DIV/0!</v>
      </c>
      <c r="W55" s="174" t="e">
        <f t="shared" si="150"/>
        <v>#DIV/0!</v>
      </c>
      <c r="X55" s="174" t="e">
        <f t="shared" si="151"/>
        <v>#DIV/0!</v>
      </c>
      <c r="Y55" s="174" t="e">
        <f t="shared" si="152"/>
        <v>#DIV/0!</v>
      </c>
      <c r="Z55" s="174" t="e">
        <f t="shared" si="153"/>
        <v>#DIV/0!</v>
      </c>
      <c r="AA55" s="174" t="e">
        <f t="shared" si="154"/>
        <v>#DIV/0!</v>
      </c>
      <c r="AB55" s="174">
        <f t="shared" si="155"/>
        <v>0</v>
      </c>
      <c r="AC55" s="174" t="e">
        <f t="shared" si="156"/>
        <v>#DIV/0!</v>
      </c>
      <c r="AD55" s="174">
        <f t="shared" si="157"/>
        <v>0</v>
      </c>
      <c r="AE55" s="174" t="e">
        <f t="shared" si="158"/>
        <v>#DIV/0!</v>
      </c>
      <c r="AF55" s="174" t="e">
        <f t="shared" si="159"/>
        <v>#DIV/0!</v>
      </c>
      <c r="AG55" s="69">
        <f t="shared" si="160"/>
        <v>0</v>
      </c>
      <c r="AK55" s="175" t="s">
        <v>266</v>
      </c>
      <c r="AL55" s="65" t="s">
        <v>268</v>
      </c>
      <c r="AM55" s="174">
        <v>0</v>
      </c>
      <c r="AN55" s="174">
        <v>0</v>
      </c>
      <c r="AO55" s="174">
        <v>0</v>
      </c>
      <c r="AP55" s="174">
        <v>0</v>
      </c>
      <c r="AQ55" s="174">
        <v>0</v>
      </c>
      <c r="AR55" s="174">
        <v>0</v>
      </c>
      <c r="AS55" s="174">
        <v>0</v>
      </c>
      <c r="AT55" s="174"/>
      <c r="AU55" s="174"/>
      <c r="AV55" s="174"/>
      <c r="AW55" s="174"/>
      <c r="AX55" s="174"/>
      <c r="AY55" s="69">
        <f>SUM(AM55:AX55)</f>
        <v>0</v>
      </c>
      <c r="AZ55" s="69">
        <f t="shared" si="161"/>
        <v>0</v>
      </c>
      <c r="BA55" s="69">
        <f t="shared" si="162"/>
        <v>0</v>
      </c>
      <c r="BC55" s="175" t="s">
        <v>266</v>
      </c>
      <c r="BD55" s="65" t="s">
        <v>268</v>
      </c>
      <c r="BK55" s="174"/>
      <c r="BL55" s="174">
        <v>2</v>
      </c>
      <c r="BM55" s="174"/>
      <c r="BN55" s="174">
        <v>2</v>
      </c>
      <c r="BO55" s="174"/>
      <c r="BP55" s="174"/>
      <c r="BQ55" s="69">
        <f>SUM(BE55:BP55)</f>
        <v>4</v>
      </c>
      <c r="BR55" s="69">
        <f t="shared" si="163"/>
        <v>0</v>
      </c>
      <c r="BS55" s="69">
        <f t="shared" si="164"/>
        <v>0</v>
      </c>
      <c r="BX55" s="196" t="s">
        <v>266</v>
      </c>
      <c r="BY55" s="65" t="s">
        <v>268</v>
      </c>
      <c r="BZ55" s="192">
        <v>0</v>
      </c>
      <c r="CA55" s="192">
        <v>0</v>
      </c>
      <c r="CB55" s="192">
        <v>0</v>
      </c>
      <c r="CC55" s="192">
        <v>0</v>
      </c>
      <c r="CD55" s="192">
        <v>0</v>
      </c>
      <c r="CE55" s="192">
        <v>0</v>
      </c>
      <c r="CF55" s="192">
        <v>0</v>
      </c>
      <c r="CG55" s="192">
        <v>0</v>
      </c>
      <c r="CH55" s="192">
        <v>0</v>
      </c>
      <c r="CI55" s="192">
        <v>0</v>
      </c>
      <c r="CJ55" s="192">
        <v>0</v>
      </c>
      <c r="CK55" s="192">
        <v>0</v>
      </c>
      <c r="CL55" s="189">
        <f>SUM(BZ55:CK55)</f>
        <v>0</v>
      </c>
      <c r="CM55" s="189">
        <f t="shared" si="166"/>
        <v>0</v>
      </c>
      <c r="CN55" s="189">
        <f t="shared" si="167"/>
        <v>0</v>
      </c>
    </row>
    <row r="56" spans="1:92">
      <c r="A56" s="178" t="s">
        <v>266</v>
      </c>
      <c r="B56" s="176" t="s">
        <v>162</v>
      </c>
      <c r="C56" s="177" t="e">
        <f t="shared" si="135"/>
        <v>#DIV/0!</v>
      </c>
      <c r="D56" s="177" t="e">
        <f t="shared" si="136"/>
        <v>#DIV/0!</v>
      </c>
      <c r="E56" s="177" t="e">
        <f t="shared" si="137"/>
        <v>#DIV/0!</v>
      </c>
      <c r="F56" s="177" t="e">
        <f t="shared" si="138"/>
        <v>#DIV/0!</v>
      </c>
      <c r="G56" s="177" t="e">
        <f t="shared" si="139"/>
        <v>#DIV/0!</v>
      </c>
      <c r="H56" s="177" t="e">
        <f t="shared" si="140"/>
        <v>#DIV/0!</v>
      </c>
      <c r="I56" s="177" t="e">
        <f t="shared" si="141"/>
        <v>#DIV/0!</v>
      </c>
      <c r="J56" s="177" t="e">
        <f t="shared" si="142"/>
        <v>#DIV/0!</v>
      </c>
      <c r="K56" s="177" t="e">
        <f t="shared" si="143"/>
        <v>#DIV/0!</v>
      </c>
      <c r="L56" s="177" t="e">
        <f t="shared" si="144"/>
        <v>#DIV/0!</v>
      </c>
      <c r="M56" s="177" t="e">
        <f t="shared" si="145"/>
        <v>#DIV/0!</v>
      </c>
      <c r="N56" s="177" t="e">
        <f t="shared" si="146"/>
        <v>#DIV/0!</v>
      </c>
      <c r="O56" s="177" t="e">
        <f t="shared" si="147"/>
        <v>#DIV/0!</v>
      </c>
      <c r="P56" s="177"/>
      <c r="Q56" s="177"/>
      <c r="S56" s="178" t="s">
        <v>266</v>
      </c>
      <c r="T56" s="176" t="s">
        <v>162</v>
      </c>
      <c r="U56" s="177" t="e">
        <f t="shared" si="148"/>
        <v>#DIV/0!</v>
      </c>
      <c r="V56" s="177" t="e">
        <f t="shared" si="149"/>
        <v>#DIV/0!</v>
      </c>
      <c r="W56" s="177" t="e">
        <f t="shared" si="150"/>
        <v>#DIV/0!</v>
      </c>
      <c r="X56" s="177" t="e">
        <f t="shared" si="151"/>
        <v>#DIV/0!</v>
      </c>
      <c r="Y56" s="177" t="e">
        <f t="shared" si="152"/>
        <v>#DIV/0!</v>
      </c>
      <c r="Z56" s="177" t="e">
        <f t="shared" si="153"/>
        <v>#DIV/0!</v>
      </c>
      <c r="AA56" s="177">
        <f t="shared" si="154"/>
        <v>0</v>
      </c>
      <c r="AB56" s="177">
        <f t="shared" si="155"/>
        <v>0</v>
      </c>
      <c r="AC56" s="177">
        <f t="shared" si="156"/>
        <v>0</v>
      </c>
      <c r="AD56" s="177">
        <f t="shared" si="157"/>
        <v>0</v>
      </c>
      <c r="AE56" s="177">
        <f t="shared" si="158"/>
        <v>0</v>
      </c>
      <c r="AF56" s="177">
        <f t="shared" si="159"/>
        <v>0</v>
      </c>
      <c r="AG56" s="177">
        <f t="shared" si="160"/>
        <v>0</v>
      </c>
      <c r="AH56" s="177"/>
      <c r="AI56" s="177"/>
      <c r="AK56" s="178" t="s">
        <v>266</v>
      </c>
      <c r="AL56" s="176" t="s">
        <v>162</v>
      </c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>
        <f t="shared" ref="AY56:AY61" si="217">AX56</f>
        <v>0</v>
      </c>
      <c r="AZ56" s="177">
        <f t="shared" si="161"/>
        <v>0</v>
      </c>
      <c r="BA56" s="177">
        <f t="shared" si="162"/>
        <v>0</v>
      </c>
      <c r="BC56" s="178" t="s">
        <v>266</v>
      </c>
      <c r="BD56" s="176" t="s">
        <v>162</v>
      </c>
      <c r="BE56" s="177">
        <f>SUM(BE53:BE55)</f>
        <v>0</v>
      </c>
      <c r="BF56" s="177">
        <f t="shared" ref="BF56:BP56" si="218">SUM(BF53:BF55)</f>
        <v>0</v>
      </c>
      <c r="BG56" s="177">
        <f t="shared" si="218"/>
        <v>0</v>
      </c>
      <c r="BH56" s="177">
        <f t="shared" si="218"/>
        <v>0</v>
      </c>
      <c r="BI56" s="177">
        <f t="shared" si="218"/>
        <v>0</v>
      </c>
      <c r="BJ56" s="177">
        <f t="shared" si="218"/>
        <v>0</v>
      </c>
      <c r="BK56" s="177">
        <f t="shared" si="218"/>
        <v>4</v>
      </c>
      <c r="BL56" s="177">
        <f t="shared" si="218"/>
        <v>14.663999999999998</v>
      </c>
      <c r="BM56" s="177">
        <f t="shared" si="218"/>
        <v>13.421375999999999</v>
      </c>
      <c r="BN56" s="177">
        <f t="shared" si="218"/>
        <v>17.089178879999999</v>
      </c>
      <c r="BO56" s="177">
        <f t="shared" si="218"/>
        <v>15.001842815999998</v>
      </c>
      <c r="BP56" s="177">
        <f t="shared" si="218"/>
        <v>15.512934620159998</v>
      </c>
      <c r="BQ56" s="177">
        <f t="shared" ref="BQ56:BQ61" si="219">BP56</f>
        <v>15.512934620159998</v>
      </c>
      <c r="BR56" s="177">
        <f t="shared" si="163"/>
        <v>4</v>
      </c>
      <c r="BS56" s="177">
        <f t="shared" si="164"/>
        <v>4</v>
      </c>
      <c r="BX56" s="197" t="s">
        <v>266</v>
      </c>
      <c r="BY56" s="194" t="s">
        <v>162</v>
      </c>
      <c r="BZ56" s="195">
        <f t="shared" ref="BZ56:CK56" si="220">SUM(BZ53:BZ55)</f>
        <v>0</v>
      </c>
      <c r="CA56" s="195">
        <f t="shared" si="220"/>
        <v>0</v>
      </c>
      <c r="CB56" s="195">
        <f t="shared" si="220"/>
        <v>0</v>
      </c>
      <c r="CC56" s="195">
        <f t="shared" si="220"/>
        <v>0</v>
      </c>
      <c r="CD56" s="195">
        <f t="shared" si="220"/>
        <v>0</v>
      </c>
      <c r="CE56" s="195">
        <f t="shared" si="220"/>
        <v>0</v>
      </c>
      <c r="CF56" s="195">
        <f t="shared" si="220"/>
        <v>0</v>
      </c>
      <c r="CG56" s="195">
        <f t="shared" si="220"/>
        <v>0</v>
      </c>
      <c r="CH56" s="195">
        <f t="shared" si="220"/>
        <v>0</v>
      </c>
      <c r="CI56" s="195">
        <f t="shared" si="220"/>
        <v>0</v>
      </c>
      <c r="CJ56" s="195">
        <f t="shared" si="220"/>
        <v>0</v>
      </c>
      <c r="CK56" s="195">
        <f t="shared" si="220"/>
        <v>0</v>
      </c>
      <c r="CL56" s="195">
        <f t="shared" ref="CL56:CL61" si="221">CK56</f>
        <v>0</v>
      </c>
      <c r="CM56" s="195">
        <f t="shared" si="166"/>
        <v>0</v>
      </c>
      <c r="CN56" s="195">
        <f t="shared" si="167"/>
        <v>0</v>
      </c>
    </row>
    <row r="57" spans="1:92">
      <c r="A57" s="188" t="s">
        <v>269</v>
      </c>
      <c r="B57" s="188" t="s">
        <v>260</v>
      </c>
      <c r="C57" s="192">
        <f t="shared" si="135"/>
        <v>5.6593095642331628E-2</v>
      </c>
      <c r="D57" s="192">
        <f t="shared" si="136"/>
        <v>5.6593095642331628E-2</v>
      </c>
      <c r="E57" s="192">
        <f t="shared" si="137"/>
        <v>5.6593095642331628E-2</v>
      </c>
      <c r="F57" s="192">
        <f t="shared" si="138"/>
        <v>5.6593095642331628E-2</v>
      </c>
      <c r="G57" s="192">
        <f t="shared" si="139"/>
        <v>5.6593095642331628E-2</v>
      </c>
      <c r="H57" s="192">
        <f t="shared" si="140"/>
        <v>5.6593095642331628E-2</v>
      </c>
      <c r="I57" s="192">
        <f t="shared" si="141"/>
        <v>5.6593095642331628E-2</v>
      </c>
      <c r="J57" s="192" t="e">
        <f t="shared" si="142"/>
        <v>#DIV/0!</v>
      </c>
      <c r="K57" s="192" t="e">
        <f t="shared" si="143"/>
        <v>#DIV/0!</v>
      </c>
      <c r="L57" s="192" t="e">
        <f t="shared" si="144"/>
        <v>#DIV/0!</v>
      </c>
      <c r="M57" s="192" t="e">
        <f t="shared" si="145"/>
        <v>#DIV/0!</v>
      </c>
      <c r="N57" s="192" t="e">
        <f t="shared" si="146"/>
        <v>#DIV/0!</v>
      </c>
      <c r="O57" s="189" t="e">
        <f t="shared" si="147"/>
        <v>#DIV/0!</v>
      </c>
      <c r="P57" s="189"/>
      <c r="Q57" s="189"/>
      <c r="R57" s="188"/>
      <c r="S57" s="188" t="s">
        <v>269</v>
      </c>
      <c r="T57" s="188" t="s">
        <v>260</v>
      </c>
      <c r="U57" s="192">
        <f t="shared" ref="U57:AG61" si="222">AM57/BE57</f>
        <v>1.0186757215619693</v>
      </c>
      <c r="V57" s="192">
        <f t="shared" si="222"/>
        <v>1.0186757215619693</v>
      </c>
      <c r="W57" s="192">
        <f t="shared" si="222"/>
        <v>1.0186757215619693</v>
      </c>
      <c r="X57" s="192">
        <f t="shared" si="222"/>
        <v>1.0186757215619693</v>
      </c>
      <c r="Y57" s="192">
        <f t="shared" si="222"/>
        <v>1.0186757215619693</v>
      </c>
      <c r="Z57" s="192">
        <f t="shared" si="222"/>
        <v>1.0186757215619693</v>
      </c>
      <c r="AA57" s="192">
        <f t="shared" si="222"/>
        <v>1.0186757215619693</v>
      </c>
      <c r="AB57" s="192">
        <f t="shared" si="222"/>
        <v>0</v>
      </c>
      <c r="AC57" s="192">
        <f t="shared" si="222"/>
        <v>0</v>
      </c>
      <c r="AD57" s="192">
        <f t="shared" si="222"/>
        <v>0</v>
      </c>
      <c r="AE57" s="192">
        <f t="shared" si="222"/>
        <v>0</v>
      </c>
      <c r="AF57" s="192">
        <f t="shared" si="222"/>
        <v>0</v>
      </c>
      <c r="AG57" s="189">
        <f t="shared" si="222"/>
        <v>0</v>
      </c>
      <c r="AH57" s="189"/>
      <c r="AI57" s="189"/>
      <c r="AJ57" s="188"/>
      <c r="AK57" s="188" t="s">
        <v>269</v>
      </c>
      <c r="AL57" s="188" t="s">
        <v>260</v>
      </c>
      <c r="AM57" s="192">
        <v>18</v>
      </c>
      <c r="AN57" s="192">
        <v>18</v>
      </c>
      <c r="AO57" s="192">
        <v>18</v>
      </c>
      <c r="AP57" s="192">
        <v>18</v>
      </c>
      <c r="AQ57" s="192">
        <v>18</v>
      </c>
      <c r="AR57" s="192">
        <v>18</v>
      </c>
      <c r="AS57" s="192">
        <v>18</v>
      </c>
      <c r="AT57" s="192"/>
      <c r="AU57" s="192"/>
      <c r="AV57" s="192"/>
      <c r="AW57" s="192"/>
      <c r="AX57" s="192"/>
      <c r="AY57" s="189">
        <f t="shared" si="217"/>
        <v>0</v>
      </c>
      <c r="AZ57" s="189">
        <f t="shared" si="161"/>
        <v>126</v>
      </c>
      <c r="BA57" s="189">
        <f t="shared" si="162"/>
        <v>18</v>
      </c>
      <c r="BB57" s="188"/>
      <c r="BC57" s="188" t="s">
        <v>269</v>
      </c>
      <c r="BD57" s="188" t="s">
        <v>260</v>
      </c>
      <c r="BE57" s="192">
        <f>(契約数!E8+契約数!E29)*'25年PDCA'!BE94</f>
        <v>17.670000000000002</v>
      </c>
      <c r="BF57" s="192">
        <f t="shared" ref="BF57:BP57" si="223">BE57</f>
        <v>17.670000000000002</v>
      </c>
      <c r="BG57" s="192">
        <f t="shared" si="223"/>
        <v>17.670000000000002</v>
      </c>
      <c r="BH57" s="192">
        <f t="shared" si="223"/>
        <v>17.670000000000002</v>
      </c>
      <c r="BI57" s="192">
        <f t="shared" si="223"/>
        <v>17.670000000000002</v>
      </c>
      <c r="BJ57" s="192">
        <f t="shared" si="223"/>
        <v>17.670000000000002</v>
      </c>
      <c r="BK57" s="192">
        <f t="shared" si="223"/>
        <v>17.670000000000002</v>
      </c>
      <c r="BL57" s="192">
        <f t="shared" si="223"/>
        <v>17.670000000000002</v>
      </c>
      <c r="BM57" s="192">
        <f t="shared" si="223"/>
        <v>17.670000000000002</v>
      </c>
      <c r="BN57" s="192">
        <f t="shared" si="223"/>
        <v>17.670000000000002</v>
      </c>
      <c r="BO57" s="192">
        <f t="shared" si="223"/>
        <v>17.670000000000002</v>
      </c>
      <c r="BP57" s="192">
        <f t="shared" si="223"/>
        <v>17.670000000000002</v>
      </c>
      <c r="BQ57" s="189">
        <f t="shared" si="219"/>
        <v>17.670000000000002</v>
      </c>
      <c r="BR57" s="189">
        <f t="shared" si="163"/>
        <v>123.69000000000001</v>
      </c>
      <c r="BS57" s="189">
        <f t="shared" si="164"/>
        <v>17.670000000000002</v>
      </c>
      <c r="BT57" s="189">
        <v>41</v>
      </c>
      <c r="BU57" s="193"/>
      <c r="BV57" s="188"/>
      <c r="BW57" s="188"/>
      <c r="BX57" s="188" t="s">
        <v>269</v>
      </c>
      <c r="BY57" s="188" t="s">
        <v>260</v>
      </c>
      <c r="BZ57" s="192">
        <v>12</v>
      </c>
      <c r="CA57" s="192">
        <v>12</v>
      </c>
      <c r="CB57" s="192">
        <v>12</v>
      </c>
      <c r="CC57" s="192">
        <v>12</v>
      </c>
      <c r="CD57" s="192">
        <v>12</v>
      </c>
      <c r="CE57" s="192">
        <v>12</v>
      </c>
      <c r="CF57" s="192">
        <v>12</v>
      </c>
      <c r="CG57" s="192">
        <v>12</v>
      </c>
      <c r="CH57" s="192">
        <v>12</v>
      </c>
      <c r="CI57" s="192">
        <v>12</v>
      </c>
      <c r="CJ57" s="192">
        <v>12</v>
      </c>
      <c r="CK57" s="192">
        <v>12</v>
      </c>
      <c r="CL57" s="189">
        <f t="shared" si="221"/>
        <v>12</v>
      </c>
      <c r="CM57" s="189">
        <f t="shared" si="166"/>
        <v>72</v>
      </c>
      <c r="CN57" s="189">
        <f t="shared" si="167"/>
        <v>12</v>
      </c>
    </row>
    <row r="58" spans="1:92">
      <c r="A58" s="196" t="s">
        <v>269</v>
      </c>
      <c r="B58" s="188" t="s">
        <v>24</v>
      </c>
      <c r="C58" s="192">
        <f t="shared" si="135"/>
        <v>8.2345191040843219E-3</v>
      </c>
      <c r="D58" s="192">
        <f t="shared" si="136"/>
        <v>8.2345191040843202E-3</v>
      </c>
      <c r="E58" s="192">
        <f t="shared" si="137"/>
        <v>8.2345191040843219E-3</v>
      </c>
      <c r="F58" s="192">
        <f t="shared" si="138"/>
        <v>8.2345191040843219E-3</v>
      </c>
      <c r="G58" s="192">
        <f t="shared" si="139"/>
        <v>8.2345191040843202E-3</v>
      </c>
      <c r="H58" s="192">
        <f t="shared" si="140"/>
        <v>8.2345191040843202E-3</v>
      </c>
      <c r="I58" s="192">
        <f t="shared" si="141"/>
        <v>8.2345191040843219E-3</v>
      </c>
      <c r="J58" s="192" t="e">
        <f t="shared" si="142"/>
        <v>#DIV/0!</v>
      </c>
      <c r="K58" s="192" t="e">
        <f t="shared" si="143"/>
        <v>#DIV/0!</v>
      </c>
      <c r="L58" s="192" t="e">
        <f t="shared" si="144"/>
        <v>#DIV/0!</v>
      </c>
      <c r="M58" s="192" t="e">
        <f t="shared" si="145"/>
        <v>#DIV/0!</v>
      </c>
      <c r="N58" s="192" t="e">
        <f t="shared" si="146"/>
        <v>#DIV/0!</v>
      </c>
      <c r="O58" s="189" t="e">
        <f t="shared" si="147"/>
        <v>#DIV/0!</v>
      </c>
      <c r="P58" s="189"/>
      <c r="Q58" s="189"/>
      <c r="R58" s="188"/>
      <c r="S58" s="196" t="s">
        <v>269</v>
      </c>
      <c r="T58" s="188" t="s">
        <v>24</v>
      </c>
      <c r="U58" s="192">
        <f t="shared" si="222"/>
        <v>1.1198945981554678</v>
      </c>
      <c r="V58" s="192">
        <f t="shared" si="222"/>
        <v>1.1116600790513833</v>
      </c>
      <c r="W58" s="192">
        <f t="shared" si="222"/>
        <v>1.0951910408432148</v>
      </c>
      <c r="X58" s="192">
        <f t="shared" si="222"/>
        <v>1.0540184453227932</v>
      </c>
      <c r="Y58" s="192">
        <f t="shared" si="222"/>
        <v>1.0457839262187087</v>
      </c>
      <c r="Z58" s="192">
        <f t="shared" si="222"/>
        <v>1.0457839262187087</v>
      </c>
      <c r="AA58" s="192">
        <f t="shared" si="222"/>
        <v>1.0293148880105403</v>
      </c>
      <c r="AB58" s="192">
        <f t="shared" si="222"/>
        <v>0</v>
      </c>
      <c r="AC58" s="192">
        <f t="shared" si="222"/>
        <v>0</v>
      </c>
      <c r="AD58" s="192">
        <f t="shared" si="222"/>
        <v>0</v>
      </c>
      <c r="AE58" s="192">
        <f t="shared" si="222"/>
        <v>0</v>
      </c>
      <c r="AF58" s="192">
        <f t="shared" si="222"/>
        <v>0</v>
      </c>
      <c r="AG58" s="189">
        <f t="shared" si="222"/>
        <v>0</v>
      </c>
      <c r="AH58" s="189"/>
      <c r="AI58" s="189"/>
      <c r="AJ58" s="188"/>
      <c r="AK58" s="196" t="s">
        <v>269</v>
      </c>
      <c r="AL58" s="188" t="s">
        <v>24</v>
      </c>
      <c r="AM58" s="192">
        <v>136</v>
      </c>
      <c r="AN58" s="192">
        <v>135</v>
      </c>
      <c r="AO58" s="192">
        <v>133</v>
      </c>
      <c r="AP58" s="192">
        <v>128</v>
      </c>
      <c r="AQ58" s="192">
        <v>127</v>
      </c>
      <c r="AR58" s="192">
        <v>127</v>
      </c>
      <c r="AS58" s="192">
        <v>125</v>
      </c>
      <c r="AT58" s="192"/>
      <c r="AU58" s="192"/>
      <c r="AV58" s="192"/>
      <c r="AW58" s="192"/>
      <c r="AX58" s="192"/>
      <c r="AY58" s="189">
        <f t="shared" si="217"/>
        <v>0</v>
      </c>
      <c r="AZ58" s="189">
        <f t="shared" si="161"/>
        <v>911</v>
      </c>
      <c r="BA58" s="189">
        <f t="shared" si="162"/>
        <v>125</v>
      </c>
      <c r="BB58" s="188"/>
      <c r="BC58" s="196" t="s">
        <v>269</v>
      </c>
      <c r="BD58" s="188" t="s">
        <v>24</v>
      </c>
      <c r="BE58" s="192">
        <f>(契約数!E9+契約数!E30)*'25年PDCA'!BE95</f>
        <v>121.44</v>
      </c>
      <c r="BF58" s="192">
        <f t="shared" ref="BF58:BP58" si="224">BE58</f>
        <v>121.44</v>
      </c>
      <c r="BG58" s="192">
        <f t="shared" si="224"/>
        <v>121.44</v>
      </c>
      <c r="BH58" s="192">
        <f t="shared" si="224"/>
        <v>121.44</v>
      </c>
      <c r="BI58" s="192">
        <f t="shared" si="224"/>
        <v>121.44</v>
      </c>
      <c r="BJ58" s="192">
        <f t="shared" si="224"/>
        <v>121.44</v>
      </c>
      <c r="BK58" s="192">
        <f t="shared" si="224"/>
        <v>121.44</v>
      </c>
      <c r="BL58" s="192">
        <f t="shared" si="224"/>
        <v>121.44</v>
      </c>
      <c r="BM58" s="192">
        <f t="shared" si="224"/>
        <v>121.44</v>
      </c>
      <c r="BN58" s="192">
        <f t="shared" si="224"/>
        <v>121.44</v>
      </c>
      <c r="BO58" s="192">
        <f t="shared" si="224"/>
        <v>121.44</v>
      </c>
      <c r="BP58" s="192">
        <f t="shared" si="224"/>
        <v>121.44</v>
      </c>
      <c r="BQ58" s="189">
        <f t="shared" si="219"/>
        <v>121.44</v>
      </c>
      <c r="BR58" s="189">
        <f t="shared" si="163"/>
        <v>850.08000000000015</v>
      </c>
      <c r="BS58" s="189">
        <f t="shared" si="164"/>
        <v>121.44</v>
      </c>
      <c r="BT58" s="189">
        <v>0</v>
      </c>
      <c r="BU58" s="188"/>
      <c r="BV58" s="188"/>
      <c r="BW58" s="188"/>
      <c r="BX58" s="196" t="s">
        <v>269</v>
      </c>
      <c r="BY58" s="188" t="s">
        <v>24</v>
      </c>
      <c r="BZ58" s="192">
        <v>72</v>
      </c>
      <c r="CA58" s="192">
        <v>70</v>
      </c>
      <c r="CB58" s="192">
        <v>70</v>
      </c>
      <c r="CC58" s="192">
        <v>70</v>
      </c>
      <c r="CD58" s="192">
        <v>70</v>
      </c>
      <c r="CE58" s="192">
        <v>69</v>
      </c>
      <c r="CF58" s="192">
        <v>69</v>
      </c>
      <c r="CG58" s="192">
        <v>69</v>
      </c>
      <c r="CH58" s="192">
        <v>69</v>
      </c>
      <c r="CI58" s="192">
        <v>69</v>
      </c>
      <c r="CJ58" s="192">
        <v>69</v>
      </c>
      <c r="CK58" s="192">
        <v>69</v>
      </c>
      <c r="CL58" s="189">
        <f t="shared" si="221"/>
        <v>69</v>
      </c>
      <c r="CM58" s="189">
        <f t="shared" si="166"/>
        <v>421</v>
      </c>
      <c r="CN58" s="189">
        <f t="shared" si="167"/>
        <v>69</v>
      </c>
    </row>
    <row r="59" spans="1:92">
      <c r="A59" s="196" t="s">
        <v>269</v>
      </c>
      <c r="B59" s="188" t="s">
        <v>262</v>
      </c>
      <c r="C59" s="192">
        <f t="shared" si="135"/>
        <v>0.16233766233766234</v>
      </c>
      <c r="D59" s="192">
        <f t="shared" si="136"/>
        <v>0.16233766233766234</v>
      </c>
      <c r="E59" s="192">
        <f t="shared" si="137"/>
        <v>0.16233766233766234</v>
      </c>
      <c r="F59" s="192">
        <f t="shared" si="138"/>
        <v>0.16233766233766234</v>
      </c>
      <c r="G59" s="192">
        <f t="shared" si="139"/>
        <v>0.16233766233766234</v>
      </c>
      <c r="H59" s="192">
        <f t="shared" si="140"/>
        <v>0.16233766233766234</v>
      </c>
      <c r="I59" s="192">
        <f t="shared" si="141"/>
        <v>0.16233766233766234</v>
      </c>
      <c r="J59" s="192" t="e">
        <f t="shared" si="142"/>
        <v>#DIV/0!</v>
      </c>
      <c r="K59" s="192" t="e">
        <f t="shared" si="143"/>
        <v>#DIV/0!</v>
      </c>
      <c r="L59" s="192" t="e">
        <f t="shared" si="144"/>
        <v>#DIV/0!</v>
      </c>
      <c r="M59" s="192" t="e">
        <f t="shared" si="145"/>
        <v>#DIV/0!</v>
      </c>
      <c r="N59" s="192" t="e">
        <f t="shared" si="146"/>
        <v>#DIV/0!</v>
      </c>
      <c r="O59" s="189" t="e">
        <f t="shared" si="147"/>
        <v>#DIV/0!</v>
      </c>
      <c r="P59" s="189"/>
      <c r="Q59" s="189"/>
      <c r="R59" s="188"/>
      <c r="S59" s="196" t="s">
        <v>269</v>
      </c>
      <c r="T59" s="188" t="s">
        <v>262</v>
      </c>
      <c r="U59" s="192">
        <f t="shared" si="222"/>
        <v>2.1103896103896105</v>
      </c>
      <c r="V59" s="192">
        <f t="shared" si="222"/>
        <v>2.1103896103896105</v>
      </c>
      <c r="W59" s="192">
        <f t="shared" si="222"/>
        <v>2.1103896103896105</v>
      </c>
      <c r="X59" s="192">
        <f t="shared" si="222"/>
        <v>2.1103896103896105</v>
      </c>
      <c r="Y59" s="192">
        <f t="shared" si="222"/>
        <v>2.1103896103896105</v>
      </c>
      <c r="Z59" s="192">
        <f t="shared" si="222"/>
        <v>2.1103896103896105</v>
      </c>
      <c r="AA59" s="192">
        <f t="shared" si="222"/>
        <v>2.1103896103896105</v>
      </c>
      <c r="AB59" s="192">
        <f t="shared" si="222"/>
        <v>0</v>
      </c>
      <c r="AC59" s="192">
        <f t="shared" si="222"/>
        <v>0</v>
      </c>
      <c r="AD59" s="192">
        <f t="shared" si="222"/>
        <v>0</v>
      </c>
      <c r="AE59" s="192">
        <f t="shared" si="222"/>
        <v>0</v>
      </c>
      <c r="AF59" s="192">
        <f t="shared" si="222"/>
        <v>0</v>
      </c>
      <c r="AG59" s="189">
        <f t="shared" si="222"/>
        <v>0</v>
      </c>
      <c r="AH59" s="189"/>
      <c r="AI59" s="189"/>
      <c r="AJ59" s="188"/>
      <c r="AK59" s="196" t="s">
        <v>269</v>
      </c>
      <c r="AL59" s="188" t="s">
        <v>262</v>
      </c>
      <c r="AM59" s="192">
        <v>13</v>
      </c>
      <c r="AN59" s="192">
        <v>13</v>
      </c>
      <c r="AO59" s="192">
        <v>13</v>
      </c>
      <c r="AP59" s="192">
        <v>13</v>
      </c>
      <c r="AQ59" s="192">
        <v>13</v>
      </c>
      <c r="AR59" s="192">
        <v>13</v>
      </c>
      <c r="AS59" s="192">
        <v>13</v>
      </c>
      <c r="AT59" s="192"/>
      <c r="AU59" s="192"/>
      <c r="AV59" s="192"/>
      <c r="AW59" s="192"/>
      <c r="AX59" s="192"/>
      <c r="AY59" s="189">
        <f t="shared" si="217"/>
        <v>0</v>
      </c>
      <c r="AZ59" s="189">
        <f t="shared" si="161"/>
        <v>91</v>
      </c>
      <c r="BA59" s="189">
        <f t="shared" si="162"/>
        <v>13</v>
      </c>
      <c r="BB59" s="188"/>
      <c r="BC59" s="196" t="s">
        <v>269</v>
      </c>
      <c r="BD59" s="188" t="s">
        <v>262</v>
      </c>
      <c r="BE59" s="192">
        <f>(契約数!E10+契約数!E31)*'25年PDCA'!BE96</f>
        <v>6.16</v>
      </c>
      <c r="BF59" s="192">
        <f t="shared" ref="BF59:BP59" si="225">BE59</f>
        <v>6.16</v>
      </c>
      <c r="BG59" s="192">
        <f t="shared" si="225"/>
        <v>6.16</v>
      </c>
      <c r="BH59" s="192">
        <f t="shared" si="225"/>
        <v>6.16</v>
      </c>
      <c r="BI59" s="192">
        <f t="shared" si="225"/>
        <v>6.16</v>
      </c>
      <c r="BJ59" s="192">
        <f t="shared" si="225"/>
        <v>6.16</v>
      </c>
      <c r="BK59" s="192">
        <f t="shared" si="225"/>
        <v>6.16</v>
      </c>
      <c r="BL59" s="192">
        <f t="shared" si="225"/>
        <v>6.16</v>
      </c>
      <c r="BM59" s="192">
        <f t="shared" si="225"/>
        <v>6.16</v>
      </c>
      <c r="BN59" s="192">
        <f t="shared" si="225"/>
        <v>6.16</v>
      </c>
      <c r="BO59" s="192">
        <f t="shared" si="225"/>
        <v>6.16</v>
      </c>
      <c r="BP59" s="192">
        <f t="shared" si="225"/>
        <v>6.16</v>
      </c>
      <c r="BQ59" s="189">
        <f t="shared" si="219"/>
        <v>6.16</v>
      </c>
      <c r="BR59" s="189">
        <f t="shared" si="163"/>
        <v>43.120000000000005</v>
      </c>
      <c r="BS59" s="189">
        <f t="shared" si="164"/>
        <v>6.16</v>
      </c>
      <c r="BT59" s="189">
        <v>41</v>
      </c>
      <c r="BU59" s="188"/>
      <c r="BV59" s="188"/>
      <c r="BW59" s="188"/>
      <c r="BX59" s="196" t="s">
        <v>269</v>
      </c>
      <c r="BY59" s="188" t="s">
        <v>262</v>
      </c>
      <c r="BZ59" s="192">
        <f>(契約数!Z10+契約数!Z31)*'25年PDCA'!BZ96</f>
        <v>0</v>
      </c>
      <c r="CA59" s="192">
        <f t="shared" ref="CA59:CK59" si="226">BZ59</f>
        <v>0</v>
      </c>
      <c r="CB59" s="192">
        <f t="shared" si="226"/>
        <v>0</v>
      </c>
      <c r="CC59" s="192">
        <f t="shared" si="226"/>
        <v>0</v>
      </c>
      <c r="CD59" s="192">
        <f t="shared" si="226"/>
        <v>0</v>
      </c>
      <c r="CE59" s="192">
        <f t="shared" si="226"/>
        <v>0</v>
      </c>
      <c r="CF59" s="192">
        <f t="shared" si="226"/>
        <v>0</v>
      </c>
      <c r="CG59" s="192">
        <f t="shared" si="226"/>
        <v>0</v>
      </c>
      <c r="CH59" s="192">
        <f t="shared" si="226"/>
        <v>0</v>
      </c>
      <c r="CI59" s="192">
        <f t="shared" si="226"/>
        <v>0</v>
      </c>
      <c r="CJ59" s="192">
        <f t="shared" si="226"/>
        <v>0</v>
      </c>
      <c r="CK59" s="192">
        <f t="shared" si="226"/>
        <v>0</v>
      </c>
      <c r="CL59" s="189">
        <f t="shared" si="221"/>
        <v>0</v>
      </c>
      <c r="CM59" s="189">
        <f t="shared" si="166"/>
        <v>0</v>
      </c>
      <c r="CN59" s="189">
        <f t="shared" si="167"/>
        <v>0</v>
      </c>
    </row>
    <row r="60" spans="1:92">
      <c r="A60" s="196" t="s">
        <v>269</v>
      </c>
      <c r="B60" s="188" t="s">
        <v>26</v>
      </c>
      <c r="C60" s="192">
        <f t="shared" si="135"/>
        <v>0.16666666666666666</v>
      </c>
      <c r="D60" s="192">
        <f t="shared" si="136"/>
        <v>0.16666666666666666</v>
      </c>
      <c r="E60" s="192">
        <f t="shared" si="137"/>
        <v>0.16666666666666666</v>
      </c>
      <c r="F60" s="192">
        <f t="shared" si="138"/>
        <v>0.16666666666666666</v>
      </c>
      <c r="G60" s="192">
        <f t="shared" si="139"/>
        <v>0.16666666666666666</v>
      </c>
      <c r="H60" s="192">
        <f t="shared" si="140"/>
        <v>0.16666666666666666</v>
      </c>
      <c r="I60" s="192">
        <f t="shared" si="141"/>
        <v>0.16666666666666666</v>
      </c>
      <c r="J60" s="192" t="e">
        <f t="shared" si="142"/>
        <v>#DIV/0!</v>
      </c>
      <c r="K60" s="192" t="e">
        <f t="shared" si="143"/>
        <v>#DIV/0!</v>
      </c>
      <c r="L60" s="192" t="e">
        <f t="shared" si="144"/>
        <v>#DIV/0!</v>
      </c>
      <c r="M60" s="192" t="e">
        <f t="shared" si="145"/>
        <v>#DIV/0!</v>
      </c>
      <c r="N60" s="192" t="e">
        <f t="shared" si="146"/>
        <v>#DIV/0!</v>
      </c>
      <c r="O60" s="189" t="e">
        <f t="shared" si="147"/>
        <v>#DIV/0!</v>
      </c>
      <c r="P60" s="189"/>
      <c r="Q60" s="189"/>
      <c r="R60" s="188"/>
      <c r="S60" s="196" t="s">
        <v>269</v>
      </c>
      <c r="T60" s="188" t="s">
        <v>26</v>
      </c>
      <c r="U60" s="192">
        <f t="shared" si="222"/>
        <v>1</v>
      </c>
      <c r="V60" s="192">
        <f t="shared" si="222"/>
        <v>1</v>
      </c>
      <c r="W60" s="192">
        <f t="shared" si="222"/>
        <v>1</v>
      </c>
      <c r="X60" s="192">
        <f t="shared" si="222"/>
        <v>1</v>
      </c>
      <c r="Y60" s="192">
        <f t="shared" si="222"/>
        <v>1</v>
      </c>
      <c r="Z60" s="192">
        <f t="shared" si="222"/>
        <v>1</v>
      </c>
      <c r="AA60" s="192">
        <f t="shared" si="222"/>
        <v>1</v>
      </c>
      <c r="AB60" s="192">
        <f t="shared" si="222"/>
        <v>0</v>
      </c>
      <c r="AC60" s="192">
        <f t="shared" si="222"/>
        <v>0</v>
      </c>
      <c r="AD60" s="192">
        <f t="shared" si="222"/>
        <v>0</v>
      </c>
      <c r="AE60" s="192">
        <f t="shared" si="222"/>
        <v>0</v>
      </c>
      <c r="AF60" s="192">
        <f t="shared" si="222"/>
        <v>0</v>
      </c>
      <c r="AG60" s="189">
        <f t="shared" si="222"/>
        <v>0</v>
      </c>
      <c r="AH60" s="189"/>
      <c r="AI60" s="189"/>
      <c r="AJ60" s="188"/>
      <c r="AK60" s="196" t="s">
        <v>269</v>
      </c>
      <c r="AL60" s="188" t="s">
        <v>26</v>
      </c>
      <c r="AM60" s="192">
        <v>6</v>
      </c>
      <c r="AN60" s="192">
        <v>6</v>
      </c>
      <c r="AO60" s="192">
        <v>6</v>
      </c>
      <c r="AP60" s="192">
        <v>6</v>
      </c>
      <c r="AQ60" s="192">
        <v>6</v>
      </c>
      <c r="AR60" s="192">
        <v>6</v>
      </c>
      <c r="AS60" s="192">
        <v>6</v>
      </c>
      <c r="AT60" s="192"/>
      <c r="AU60" s="192"/>
      <c r="AV60" s="192"/>
      <c r="AW60" s="192"/>
      <c r="AX60" s="192"/>
      <c r="AY60" s="189">
        <f t="shared" si="217"/>
        <v>0</v>
      </c>
      <c r="AZ60" s="189">
        <f t="shared" si="161"/>
        <v>42</v>
      </c>
      <c r="BA60" s="189">
        <f t="shared" si="162"/>
        <v>6</v>
      </c>
      <c r="BB60" s="188"/>
      <c r="BC60" s="196" t="s">
        <v>269</v>
      </c>
      <c r="BD60" s="188" t="s">
        <v>26</v>
      </c>
      <c r="BE60" s="192">
        <f>(契約数!E11+契約数!E32)*'25年PDCA'!BE97</f>
        <v>6</v>
      </c>
      <c r="BF60" s="192">
        <f t="shared" ref="BF60:BP60" si="227">BE60</f>
        <v>6</v>
      </c>
      <c r="BG60" s="192">
        <f t="shared" si="227"/>
        <v>6</v>
      </c>
      <c r="BH60" s="192">
        <f t="shared" si="227"/>
        <v>6</v>
      </c>
      <c r="BI60" s="192">
        <f t="shared" si="227"/>
        <v>6</v>
      </c>
      <c r="BJ60" s="192">
        <f t="shared" si="227"/>
        <v>6</v>
      </c>
      <c r="BK60" s="192">
        <f t="shared" si="227"/>
        <v>6</v>
      </c>
      <c r="BL60" s="192">
        <f t="shared" si="227"/>
        <v>6</v>
      </c>
      <c r="BM60" s="192">
        <f t="shared" si="227"/>
        <v>6</v>
      </c>
      <c r="BN60" s="192">
        <f t="shared" si="227"/>
        <v>6</v>
      </c>
      <c r="BO60" s="192">
        <f t="shared" si="227"/>
        <v>6</v>
      </c>
      <c r="BP60" s="192">
        <f t="shared" si="227"/>
        <v>6</v>
      </c>
      <c r="BQ60" s="189">
        <f t="shared" si="219"/>
        <v>6</v>
      </c>
      <c r="BR60" s="189">
        <f t="shared" si="163"/>
        <v>42</v>
      </c>
      <c r="BS60" s="189">
        <f t="shared" si="164"/>
        <v>6</v>
      </c>
      <c r="BT60" s="189">
        <v>0</v>
      </c>
      <c r="BU60" s="188"/>
      <c r="BV60" s="188"/>
      <c r="BW60" s="188"/>
      <c r="BX60" s="196" t="s">
        <v>269</v>
      </c>
      <c r="BY60" s="188" t="s">
        <v>26</v>
      </c>
      <c r="BZ60" s="192">
        <v>0</v>
      </c>
      <c r="CA60" s="192">
        <v>0</v>
      </c>
      <c r="CB60" s="192">
        <v>0</v>
      </c>
      <c r="CC60" s="192">
        <v>0</v>
      </c>
      <c r="CD60" s="192">
        <v>0</v>
      </c>
      <c r="CE60" s="192">
        <v>0</v>
      </c>
      <c r="CF60" s="192">
        <v>0</v>
      </c>
      <c r="CG60" s="192">
        <v>0</v>
      </c>
      <c r="CH60" s="192">
        <v>0</v>
      </c>
      <c r="CI60" s="192">
        <v>0</v>
      </c>
      <c r="CJ60" s="192">
        <v>0</v>
      </c>
      <c r="CK60" s="192">
        <v>0</v>
      </c>
      <c r="CL60" s="189">
        <f t="shared" si="221"/>
        <v>0</v>
      </c>
      <c r="CM60" s="189">
        <f t="shared" si="166"/>
        <v>0</v>
      </c>
      <c r="CN60" s="189">
        <f t="shared" si="167"/>
        <v>0</v>
      </c>
    </row>
    <row r="61" spans="1:92">
      <c r="A61" s="197" t="s">
        <v>269</v>
      </c>
      <c r="B61" s="194" t="s">
        <v>162</v>
      </c>
      <c r="C61" s="195">
        <f t="shared" si="135"/>
        <v>6.6106961062999932E-3</v>
      </c>
      <c r="D61" s="195">
        <f t="shared" si="136"/>
        <v>6.6106961062999932E-3</v>
      </c>
      <c r="E61" s="195">
        <f t="shared" si="137"/>
        <v>6.6106961062999924E-3</v>
      </c>
      <c r="F61" s="195">
        <f t="shared" si="138"/>
        <v>6.6106961062999932E-3</v>
      </c>
      <c r="G61" s="195">
        <f t="shared" si="139"/>
        <v>6.6106961062999932E-3</v>
      </c>
      <c r="H61" s="195">
        <f t="shared" si="140"/>
        <v>6.6106961062999932E-3</v>
      </c>
      <c r="I61" s="195">
        <f t="shared" si="141"/>
        <v>6.6106961062999924E-3</v>
      </c>
      <c r="J61" s="195" t="e">
        <f t="shared" si="142"/>
        <v>#DIV/0!</v>
      </c>
      <c r="K61" s="195" t="e">
        <f t="shared" si="143"/>
        <v>#DIV/0!</v>
      </c>
      <c r="L61" s="195" t="e">
        <f t="shared" si="144"/>
        <v>#DIV/0!</v>
      </c>
      <c r="M61" s="195" t="e">
        <f t="shared" si="145"/>
        <v>#DIV/0!</v>
      </c>
      <c r="N61" s="195" t="e">
        <f t="shared" si="146"/>
        <v>#DIV/0!</v>
      </c>
      <c r="O61" s="195" t="e">
        <f t="shared" si="147"/>
        <v>#DIV/0!</v>
      </c>
      <c r="P61" s="195"/>
      <c r="Q61" s="195"/>
      <c r="R61" s="188"/>
      <c r="S61" s="197" t="s">
        <v>269</v>
      </c>
      <c r="T61" s="194" t="s">
        <v>162</v>
      </c>
      <c r="U61" s="195">
        <f t="shared" si="222"/>
        <v>1.1436504263898988</v>
      </c>
      <c r="V61" s="195">
        <f t="shared" si="222"/>
        <v>1.1370397302835988</v>
      </c>
      <c r="W61" s="195">
        <f t="shared" si="222"/>
        <v>1.1238183380709987</v>
      </c>
      <c r="X61" s="195">
        <f t="shared" si="222"/>
        <v>1.0907648575394988</v>
      </c>
      <c r="Y61" s="195">
        <f t="shared" si="222"/>
        <v>1.0841541614331989</v>
      </c>
      <c r="Z61" s="195">
        <f t="shared" si="222"/>
        <v>1.0841541614331989</v>
      </c>
      <c r="AA61" s="195">
        <f t="shared" si="222"/>
        <v>1.0709327692205988</v>
      </c>
      <c r="AB61" s="195">
        <f t="shared" si="222"/>
        <v>0</v>
      </c>
      <c r="AC61" s="195">
        <f t="shared" si="222"/>
        <v>0</v>
      </c>
      <c r="AD61" s="195">
        <f t="shared" si="222"/>
        <v>0</v>
      </c>
      <c r="AE61" s="195">
        <f t="shared" si="222"/>
        <v>0</v>
      </c>
      <c r="AF61" s="195">
        <f t="shared" si="222"/>
        <v>0</v>
      </c>
      <c r="AG61" s="195">
        <f t="shared" si="222"/>
        <v>0</v>
      </c>
      <c r="AH61" s="195"/>
      <c r="AI61" s="195"/>
      <c r="AJ61" s="188"/>
      <c r="AK61" s="197" t="s">
        <v>269</v>
      </c>
      <c r="AL61" s="194" t="s">
        <v>162</v>
      </c>
      <c r="AM61" s="195">
        <f t="shared" ref="AM61:AX61" si="228">SUM(AM57:AM60)</f>
        <v>173</v>
      </c>
      <c r="AN61" s="195">
        <f t="shared" si="228"/>
        <v>172</v>
      </c>
      <c r="AO61" s="195">
        <f t="shared" si="228"/>
        <v>170</v>
      </c>
      <c r="AP61" s="195">
        <f t="shared" si="228"/>
        <v>165</v>
      </c>
      <c r="AQ61" s="195">
        <f t="shared" si="228"/>
        <v>164</v>
      </c>
      <c r="AR61" s="195">
        <f t="shared" si="228"/>
        <v>164</v>
      </c>
      <c r="AS61" s="195">
        <f t="shared" si="228"/>
        <v>162</v>
      </c>
      <c r="AT61" s="195">
        <f t="shared" si="228"/>
        <v>0</v>
      </c>
      <c r="AU61" s="195">
        <f t="shared" si="228"/>
        <v>0</v>
      </c>
      <c r="AV61" s="195">
        <f t="shared" si="228"/>
        <v>0</v>
      </c>
      <c r="AW61" s="195">
        <f t="shared" si="228"/>
        <v>0</v>
      </c>
      <c r="AX61" s="195">
        <f t="shared" si="228"/>
        <v>0</v>
      </c>
      <c r="AY61" s="195">
        <f t="shared" si="217"/>
        <v>0</v>
      </c>
      <c r="AZ61" s="195">
        <f t="shared" si="161"/>
        <v>1170</v>
      </c>
      <c r="BA61" s="195">
        <f t="shared" si="162"/>
        <v>162</v>
      </c>
      <c r="BB61" s="188"/>
      <c r="BC61" s="197" t="s">
        <v>269</v>
      </c>
      <c r="BD61" s="194" t="s">
        <v>162</v>
      </c>
      <c r="BE61" s="195">
        <f t="shared" ref="BE61:BP61" si="229">SUM(BE57:BE60)</f>
        <v>151.27000000000001</v>
      </c>
      <c r="BF61" s="195">
        <f t="shared" si="229"/>
        <v>151.27000000000001</v>
      </c>
      <c r="BG61" s="195">
        <f t="shared" si="229"/>
        <v>151.27000000000001</v>
      </c>
      <c r="BH61" s="195">
        <f t="shared" si="229"/>
        <v>151.27000000000001</v>
      </c>
      <c r="BI61" s="195">
        <f t="shared" si="229"/>
        <v>151.27000000000001</v>
      </c>
      <c r="BJ61" s="195">
        <f t="shared" si="229"/>
        <v>151.27000000000001</v>
      </c>
      <c r="BK61" s="195">
        <f t="shared" si="229"/>
        <v>151.27000000000001</v>
      </c>
      <c r="BL61" s="195">
        <f t="shared" si="229"/>
        <v>151.27000000000001</v>
      </c>
      <c r="BM61" s="195">
        <f t="shared" si="229"/>
        <v>151.27000000000001</v>
      </c>
      <c r="BN61" s="195">
        <f t="shared" si="229"/>
        <v>151.27000000000001</v>
      </c>
      <c r="BO61" s="195">
        <f t="shared" si="229"/>
        <v>151.27000000000001</v>
      </c>
      <c r="BP61" s="195">
        <f t="shared" si="229"/>
        <v>151.27000000000001</v>
      </c>
      <c r="BQ61" s="195">
        <f t="shared" si="219"/>
        <v>151.27000000000001</v>
      </c>
      <c r="BR61" s="195">
        <f t="shared" si="163"/>
        <v>1058.8900000000001</v>
      </c>
      <c r="BS61" s="195">
        <f t="shared" si="164"/>
        <v>151.27000000000001</v>
      </c>
      <c r="BT61" s="189"/>
      <c r="BU61" s="188"/>
      <c r="BV61" s="188"/>
      <c r="BW61" s="188"/>
      <c r="BX61" s="197" t="s">
        <v>269</v>
      </c>
      <c r="BY61" s="194" t="s">
        <v>162</v>
      </c>
      <c r="BZ61" s="195">
        <f t="shared" ref="BZ61:CK61" si="230">SUM(BZ57:BZ60)</f>
        <v>84</v>
      </c>
      <c r="CA61" s="195">
        <f t="shared" si="230"/>
        <v>82</v>
      </c>
      <c r="CB61" s="195">
        <f t="shared" si="230"/>
        <v>82</v>
      </c>
      <c r="CC61" s="195">
        <f t="shared" si="230"/>
        <v>82</v>
      </c>
      <c r="CD61" s="195">
        <f t="shared" si="230"/>
        <v>82</v>
      </c>
      <c r="CE61" s="195">
        <f t="shared" si="230"/>
        <v>81</v>
      </c>
      <c r="CF61" s="195">
        <f t="shared" si="230"/>
        <v>81</v>
      </c>
      <c r="CG61" s="195">
        <f t="shared" si="230"/>
        <v>81</v>
      </c>
      <c r="CH61" s="195">
        <f t="shared" si="230"/>
        <v>81</v>
      </c>
      <c r="CI61" s="195">
        <f t="shared" si="230"/>
        <v>81</v>
      </c>
      <c r="CJ61" s="195">
        <f t="shared" si="230"/>
        <v>81</v>
      </c>
      <c r="CK61" s="195">
        <f t="shared" si="230"/>
        <v>81</v>
      </c>
      <c r="CL61" s="195">
        <f t="shared" si="221"/>
        <v>81</v>
      </c>
      <c r="CM61" s="195">
        <f t="shared" si="166"/>
        <v>493</v>
      </c>
      <c r="CN61" s="195">
        <f t="shared" si="167"/>
        <v>81</v>
      </c>
    </row>
    <row r="62" spans="1:92">
      <c r="A62" s="65" t="s">
        <v>287</v>
      </c>
      <c r="B62" s="65" t="s">
        <v>272</v>
      </c>
      <c r="C62" s="174">
        <f t="shared" si="135"/>
        <v>5.9622641509433964E-2</v>
      </c>
      <c r="D62" s="174">
        <f t="shared" si="136"/>
        <v>2.5385604113110541E-2</v>
      </c>
      <c r="E62" s="174">
        <f t="shared" si="137"/>
        <v>4.3289048399133327E-2</v>
      </c>
      <c r="F62" s="174">
        <f t="shared" si="138"/>
        <v>5.2510967356648723E-2</v>
      </c>
      <c r="G62" s="174">
        <f t="shared" si="139"/>
        <v>4.8387728545139404E-2</v>
      </c>
      <c r="H62" s="174">
        <f t="shared" si="140"/>
        <v>4.4864872415652922E-2</v>
      </c>
      <c r="I62" s="174">
        <f t="shared" si="141"/>
        <v>5.0365099595923814E-2</v>
      </c>
      <c r="J62" s="174" t="e">
        <f t="shared" si="142"/>
        <v>#DIV/0!</v>
      </c>
      <c r="K62" s="174" t="e">
        <f t="shared" si="143"/>
        <v>#DIV/0!</v>
      </c>
      <c r="L62" s="174" t="e">
        <f t="shared" si="144"/>
        <v>#DIV/0!</v>
      </c>
      <c r="M62" s="174" t="e">
        <f t="shared" si="145"/>
        <v>#DIV/0!</v>
      </c>
      <c r="N62" s="174" t="e">
        <f t="shared" si="146"/>
        <v>#DIV/0!</v>
      </c>
      <c r="O62" s="69" t="e">
        <f t="shared" si="147"/>
        <v>#DIV/0!</v>
      </c>
      <c r="S62" s="65" t="s">
        <v>287</v>
      </c>
      <c r="T62" s="65" t="s">
        <v>272</v>
      </c>
      <c r="U62" s="174">
        <f t="shared" si="148"/>
        <v>0.17886792452830189</v>
      </c>
      <c r="V62" s="174">
        <f t="shared" si="149"/>
        <v>0.30462724935732649</v>
      </c>
      <c r="W62" s="174">
        <f t="shared" si="150"/>
        <v>0.69262477438613324</v>
      </c>
      <c r="X62" s="174">
        <f t="shared" si="151"/>
        <v>0.8926864450630283</v>
      </c>
      <c r="Y62" s="174">
        <f t="shared" si="152"/>
        <v>0.96775457090278805</v>
      </c>
      <c r="Z62" s="174">
        <f t="shared" si="153"/>
        <v>1.0767569379756701</v>
      </c>
      <c r="AA62" s="174">
        <f t="shared" si="154"/>
        <v>1.5613180874736383</v>
      </c>
      <c r="AB62" s="174">
        <f t="shared" si="155"/>
        <v>0</v>
      </c>
      <c r="AC62" s="174">
        <f t="shared" si="156"/>
        <v>0</v>
      </c>
      <c r="AD62" s="174">
        <f t="shared" si="157"/>
        <v>0</v>
      </c>
      <c r="AE62" s="174">
        <f t="shared" si="158"/>
        <v>0</v>
      </c>
      <c r="AF62" s="174">
        <f t="shared" si="159"/>
        <v>0</v>
      </c>
      <c r="AG62" s="69">
        <f t="shared" si="160"/>
        <v>0</v>
      </c>
      <c r="AK62" s="65" t="s">
        <v>287</v>
      </c>
      <c r="AL62" s="65" t="s">
        <v>272</v>
      </c>
      <c r="AM62" s="174">
        <v>3</v>
      </c>
      <c r="AN62" s="174">
        <v>12</v>
      </c>
      <c r="AO62" s="174">
        <v>16</v>
      </c>
      <c r="AP62" s="174">
        <v>17</v>
      </c>
      <c r="AQ62" s="174">
        <v>20</v>
      </c>
      <c r="AR62" s="174">
        <v>24</v>
      </c>
      <c r="AS62" s="174">
        <v>31</v>
      </c>
      <c r="AT62" s="174"/>
      <c r="AU62" s="174"/>
      <c r="AV62" s="174"/>
      <c r="AW62" s="174"/>
      <c r="AX62" s="174"/>
      <c r="AY62" s="69">
        <f t="shared" si="168"/>
        <v>0</v>
      </c>
      <c r="AZ62" s="69">
        <f t="shared" si="161"/>
        <v>123</v>
      </c>
      <c r="BA62" s="69">
        <f t="shared" si="162"/>
        <v>31</v>
      </c>
      <c r="BC62" s="65" t="s">
        <v>287</v>
      </c>
      <c r="BD62" s="65" t="s">
        <v>272</v>
      </c>
      <c r="BE62" s="69">
        <v>16.772151898734176</v>
      </c>
      <c r="BF62" s="69">
        <v>39.392405063291136</v>
      </c>
      <c r="BG62" s="69">
        <v>23.100530895939507</v>
      </c>
      <c r="BH62" s="69">
        <v>19.043640792372187</v>
      </c>
      <c r="BI62" s="69">
        <v>20.666396833799116</v>
      </c>
      <c r="BJ62" s="69">
        <v>22.289152875226044</v>
      </c>
      <c r="BK62" s="69">
        <v>19.855018813085653</v>
      </c>
      <c r="BL62" s="69">
        <v>25.534664958079897</v>
      </c>
      <c r="BM62" s="69">
        <v>29.59155506164722</v>
      </c>
      <c r="BN62" s="69">
        <v>29.59155506164722</v>
      </c>
      <c r="BO62" s="69">
        <v>21.477774854512582</v>
      </c>
      <c r="BP62" s="69">
        <v>20.666396833799116</v>
      </c>
      <c r="BQ62" s="69">
        <f t="shared" si="169"/>
        <v>20.666396833799116</v>
      </c>
      <c r="BR62" s="69">
        <f t="shared" si="163"/>
        <v>161.11929717244783</v>
      </c>
      <c r="BS62" s="69">
        <f t="shared" si="164"/>
        <v>19.855018813085653</v>
      </c>
      <c r="BX62" s="65" t="s">
        <v>287</v>
      </c>
      <c r="BY62" s="65" t="s">
        <v>272</v>
      </c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>
        <f t="shared" si="166"/>
        <v>0</v>
      </c>
      <c r="CN62" s="189">
        <f t="shared" si="167"/>
        <v>0</v>
      </c>
    </row>
    <row r="63" spans="1:92">
      <c r="AL63" s="65" t="s">
        <v>288</v>
      </c>
      <c r="BZ63" s="189"/>
      <c r="CA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</row>
    <row r="64" spans="1:92"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</row>
    <row r="65" spans="1:92" s="181" customFormat="1">
      <c r="A65" s="181" t="s">
        <v>52</v>
      </c>
      <c r="C65" s="427">
        <v>1</v>
      </c>
      <c r="D65" s="427">
        <v>2</v>
      </c>
      <c r="E65" s="427">
        <v>3</v>
      </c>
      <c r="F65" s="427">
        <v>4</v>
      </c>
      <c r="G65" s="427">
        <v>5</v>
      </c>
      <c r="H65" s="427">
        <v>6</v>
      </c>
      <c r="I65" s="427">
        <v>7</v>
      </c>
      <c r="J65" s="427">
        <v>8</v>
      </c>
      <c r="K65" s="427">
        <v>9</v>
      </c>
      <c r="L65" s="427">
        <v>10</v>
      </c>
      <c r="M65" s="427">
        <v>11</v>
      </c>
      <c r="N65" s="427">
        <v>12</v>
      </c>
      <c r="O65" s="428" t="s">
        <v>38</v>
      </c>
      <c r="P65" s="438">
        <f>サマリ!$A$1</f>
        <v>7</v>
      </c>
      <c r="Q65" s="530">
        <f>サマリ!$A$1</f>
        <v>7</v>
      </c>
      <c r="S65" s="181" t="s">
        <v>52</v>
      </c>
      <c r="U65" s="427">
        <v>1</v>
      </c>
      <c r="V65" s="427">
        <v>2</v>
      </c>
      <c r="W65" s="427">
        <v>3</v>
      </c>
      <c r="X65" s="427">
        <v>4</v>
      </c>
      <c r="Y65" s="427">
        <v>5</v>
      </c>
      <c r="Z65" s="427">
        <v>6</v>
      </c>
      <c r="AA65" s="427">
        <v>7</v>
      </c>
      <c r="AB65" s="427">
        <v>8</v>
      </c>
      <c r="AC65" s="427">
        <v>9</v>
      </c>
      <c r="AD65" s="427">
        <v>10</v>
      </c>
      <c r="AE65" s="427">
        <v>11</v>
      </c>
      <c r="AF65" s="427">
        <v>12</v>
      </c>
      <c r="AG65" s="428" t="s">
        <v>38</v>
      </c>
      <c r="AH65" s="438">
        <f>サマリ!$A$1</f>
        <v>7</v>
      </c>
      <c r="AI65" s="530">
        <f>サマリ!$A$1</f>
        <v>7</v>
      </c>
      <c r="AK65" s="181" t="s">
        <v>52</v>
      </c>
      <c r="AM65" s="427">
        <v>1</v>
      </c>
      <c r="AN65" s="427">
        <v>2</v>
      </c>
      <c r="AO65" s="427">
        <v>3</v>
      </c>
      <c r="AP65" s="427">
        <v>4</v>
      </c>
      <c r="AQ65" s="427">
        <v>5</v>
      </c>
      <c r="AR65" s="427">
        <v>6</v>
      </c>
      <c r="AS65" s="427">
        <v>7</v>
      </c>
      <c r="AT65" s="427">
        <v>8</v>
      </c>
      <c r="AU65" s="427">
        <v>9</v>
      </c>
      <c r="AV65" s="427">
        <v>10</v>
      </c>
      <c r="AW65" s="427">
        <v>11</v>
      </c>
      <c r="AX65" s="427">
        <v>12</v>
      </c>
      <c r="AY65" s="428" t="s">
        <v>38</v>
      </c>
      <c r="AZ65" s="438">
        <f>サマリ!$A$1</f>
        <v>7</v>
      </c>
      <c r="BA65" s="530">
        <f>サマリ!$A$1</f>
        <v>7</v>
      </c>
      <c r="BC65" s="181" t="s">
        <v>52</v>
      </c>
      <c r="BE65" s="427">
        <v>1</v>
      </c>
      <c r="BF65" s="427">
        <v>2</v>
      </c>
      <c r="BG65" s="427">
        <v>3</v>
      </c>
      <c r="BH65" s="427">
        <v>4</v>
      </c>
      <c r="BI65" s="427">
        <v>5</v>
      </c>
      <c r="BJ65" s="427">
        <v>6</v>
      </c>
      <c r="BK65" s="427">
        <v>7</v>
      </c>
      <c r="BL65" s="427">
        <v>8</v>
      </c>
      <c r="BM65" s="427">
        <v>9</v>
      </c>
      <c r="BN65" s="427">
        <v>10</v>
      </c>
      <c r="BO65" s="427">
        <v>11</v>
      </c>
      <c r="BP65" s="427">
        <v>12</v>
      </c>
      <c r="BQ65" s="428" t="s">
        <v>38</v>
      </c>
      <c r="BR65" s="438">
        <f>サマリ!$A$1</f>
        <v>7</v>
      </c>
      <c r="BS65" s="530">
        <f>サマリ!$A$1</f>
        <v>7</v>
      </c>
      <c r="BT65" s="182"/>
      <c r="BX65" s="181" t="s">
        <v>52</v>
      </c>
      <c r="BZ65" s="567">
        <v>1</v>
      </c>
      <c r="CA65" s="567">
        <v>2</v>
      </c>
      <c r="CB65" s="567">
        <v>3</v>
      </c>
      <c r="CC65" s="567">
        <v>4</v>
      </c>
      <c r="CD65" s="567">
        <v>5</v>
      </c>
      <c r="CE65" s="567">
        <v>6</v>
      </c>
      <c r="CF65" s="567">
        <v>7</v>
      </c>
      <c r="CG65" s="567">
        <v>8</v>
      </c>
      <c r="CH65" s="567">
        <v>9</v>
      </c>
      <c r="CI65" s="567">
        <v>10</v>
      </c>
      <c r="CJ65" s="567">
        <v>11</v>
      </c>
      <c r="CK65" s="567">
        <v>12</v>
      </c>
      <c r="CL65" s="568" t="s">
        <v>38</v>
      </c>
      <c r="CM65" s="569">
        <f>サマリ!$A$1</f>
        <v>7</v>
      </c>
      <c r="CN65" s="570">
        <f>サマリ!$A$1</f>
        <v>7</v>
      </c>
    </row>
    <row r="66" spans="1:92">
      <c r="A66" s="65" t="s">
        <v>149</v>
      </c>
      <c r="B66" s="65" t="s">
        <v>260</v>
      </c>
      <c r="C66" s="69" t="e">
        <f t="shared" ref="C66:C91" si="231">U66/AM66</f>
        <v>#DIV/0!</v>
      </c>
      <c r="D66" s="69" t="e">
        <f t="shared" ref="D66:D91" si="232">V66/AN66</f>
        <v>#DIV/0!</v>
      </c>
      <c r="E66" s="69" t="e">
        <f t="shared" ref="E66:E91" si="233">W66/AO66</f>
        <v>#DIV/0!</v>
      </c>
      <c r="F66" s="69" t="e">
        <f t="shared" ref="F66:F91" si="234">X66/AP66</f>
        <v>#DIV/0!</v>
      </c>
      <c r="G66" s="69" t="e">
        <f t="shared" ref="G66:G91" si="235">Y66/AQ66</f>
        <v>#DIV/0!</v>
      </c>
      <c r="H66" s="69" t="e">
        <f t="shared" ref="H66:H91" si="236">Z66/AR66</f>
        <v>#DIV/0!</v>
      </c>
      <c r="I66" s="69" t="e">
        <f t="shared" ref="I66:I91" si="237">AA66/AS66</f>
        <v>#DIV/0!</v>
      </c>
      <c r="J66" s="69" t="e">
        <f t="shared" ref="J66:J91" si="238">AB66/AT66</f>
        <v>#DIV/0!</v>
      </c>
      <c r="K66" s="69" t="e">
        <f t="shared" ref="K66:K91" si="239">AC66/AU66</f>
        <v>#DIV/0!</v>
      </c>
      <c r="L66" s="69" t="e">
        <f t="shared" ref="L66:L91" si="240">AD66/AV66</f>
        <v>#DIV/0!</v>
      </c>
      <c r="M66" s="69" t="e">
        <f t="shared" ref="M66:M91" si="241">AE66/AW66</f>
        <v>#DIV/0!</v>
      </c>
      <c r="N66" s="69" t="e">
        <f t="shared" ref="N66:N91" si="242">AF66/AX66</f>
        <v>#DIV/0!</v>
      </c>
      <c r="O66" s="69" t="e">
        <f t="shared" ref="O66:O91" si="243">AG66/AY66</f>
        <v>#DIV/0!</v>
      </c>
      <c r="S66" s="65" t="s">
        <v>149</v>
      </c>
      <c r="T66" s="65" t="s">
        <v>260</v>
      </c>
      <c r="U66" s="69" t="e">
        <f t="shared" ref="U66:U91" si="244">AM66/BE66</f>
        <v>#DIV/0!</v>
      </c>
      <c r="V66" s="69" t="e">
        <f t="shared" ref="V66:V91" si="245">AN66/BF66</f>
        <v>#DIV/0!</v>
      </c>
      <c r="W66" s="69" t="e">
        <f t="shared" ref="W66:W91" si="246">AO66/BG66</f>
        <v>#DIV/0!</v>
      </c>
      <c r="X66" s="69" t="e">
        <f t="shared" ref="X66:X91" si="247">AP66/BH66</f>
        <v>#DIV/0!</v>
      </c>
      <c r="Y66" s="69" t="e">
        <f t="shared" ref="Y66:Y91" si="248">AQ66/BI66</f>
        <v>#DIV/0!</v>
      </c>
      <c r="Z66" s="69" t="e">
        <f t="shared" ref="Z66:Z91" si="249">AR66/BJ66</f>
        <v>#DIV/0!</v>
      </c>
      <c r="AA66" s="69" t="e">
        <f t="shared" ref="AA66:AA91" si="250">AS66/BK66</f>
        <v>#DIV/0!</v>
      </c>
      <c r="AB66" s="69" t="e">
        <f t="shared" ref="AB66:AB91" si="251">AT66/BL66</f>
        <v>#DIV/0!</v>
      </c>
      <c r="AC66" s="69" t="e">
        <f t="shared" ref="AC66:AC91" si="252">AU66/BM66</f>
        <v>#DIV/0!</v>
      </c>
      <c r="AD66" s="69" t="e">
        <f t="shared" ref="AD66:AD91" si="253">AV66/BN66</f>
        <v>#DIV/0!</v>
      </c>
      <c r="AE66" s="69" t="e">
        <f t="shared" ref="AE66:AE91" si="254">AW66/BO66</f>
        <v>#DIV/0!</v>
      </c>
      <c r="AF66" s="69" t="e">
        <f t="shared" ref="AF66:AF91" si="255">AX66/BP66</f>
        <v>#DIV/0!</v>
      </c>
      <c r="AG66" s="69" t="e">
        <f t="shared" ref="AG66:AG91" si="256">AY66/BQ66</f>
        <v>#DIV/0!</v>
      </c>
      <c r="AK66" s="65" t="s">
        <v>149</v>
      </c>
      <c r="AL66" s="65" t="s">
        <v>260</v>
      </c>
      <c r="AM66" s="69" t="e">
        <f>AM5/AM38</f>
        <v>#DIV/0!</v>
      </c>
      <c r="AN66" s="69" t="e">
        <f t="shared" ref="AN66:AX66" si="257">AN5/AN38</f>
        <v>#DIV/0!</v>
      </c>
      <c r="AO66" s="69" t="e">
        <f t="shared" si="257"/>
        <v>#DIV/0!</v>
      </c>
      <c r="AP66" s="69" t="e">
        <f t="shared" si="257"/>
        <v>#DIV/0!</v>
      </c>
      <c r="AQ66" s="69" t="e">
        <f t="shared" si="257"/>
        <v>#DIV/0!</v>
      </c>
      <c r="AR66" s="69" t="e">
        <f t="shared" si="257"/>
        <v>#DIV/0!</v>
      </c>
      <c r="AS66" s="69" t="e">
        <f t="shared" si="257"/>
        <v>#DIV/0!</v>
      </c>
      <c r="AT66" s="69" t="e">
        <f t="shared" si="257"/>
        <v>#DIV/0!</v>
      </c>
      <c r="AU66" s="69" t="e">
        <f t="shared" si="257"/>
        <v>#DIV/0!</v>
      </c>
      <c r="AV66" s="69" t="e">
        <f t="shared" si="257"/>
        <v>#DIV/0!</v>
      </c>
      <c r="AW66" s="69" t="e">
        <f t="shared" si="257"/>
        <v>#DIV/0!</v>
      </c>
      <c r="AX66" s="69" t="e">
        <f t="shared" si="257"/>
        <v>#DIV/0!</v>
      </c>
      <c r="AY66" s="69" t="e">
        <f>SUM(AM66:AX66)</f>
        <v>#DIV/0!</v>
      </c>
      <c r="BC66" s="65" t="s">
        <v>149</v>
      </c>
      <c r="BD66" s="65" t="s">
        <v>260</v>
      </c>
      <c r="BE66" s="69">
        <f>客単価!F11/12</f>
        <v>142.5</v>
      </c>
      <c r="BF66" s="69">
        <f>BE66</f>
        <v>142.5</v>
      </c>
      <c r="BG66" s="69">
        <f t="shared" ref="BG66:BP66" si="258">BF66</f>
        <v>142.5</v>
      </c>
      <c r="BH66" s="69">
        <f t="shared" si="258"/>
        <v>142.5</v>
      </c>
      <c r="BI66" s="69">
        <f t="shared" si="258"/>
        <v>142.5</v>
      </c>
      <c r="BJ66" s="69">
        <f t="shared" si="258"/>
        <v>142.5</v>
      </c>
      <c r="BK66" s="69">
        <f t="shared" si="258"/>
        <v>142.5</v>
      </c>
      <c r="BL66" s="69">
        <f t="shared" si="258"/>
        <v>142.5</v>
      </c>
      <c r="BM66" s="69">
        <f t="shared" si="258"/>
        <v>142.5</v>
      </c>
      <c r="BN66" s="69">
        <f t="shared" si="258"/>
        <v>142.5</v>
      </c>
      <c r="BO66" s="69">
        <f t="shared" si="258"/>
        <v>142.5</v>
      </c>
      <c r="BP66" s="69">
        <f t="shared" si="258"/>
        <v>142.5</v>
      </c>
      <c r="BQ66" s="69">
        <f>SUM(BE66:BP66)</f>
        <v>1710</v>
      </c>
      <c r="BT66" s="69" t="s">
        <v>53</v>
      </c>
      <c r="BU66" s="65">
        <v>356</v>
      </c>
      <c r="BV66" s="65" t="s">
        <v>54</v>
      </c>
      <c r="BX66" s="65" t="s">
        <v>149</v>
      </c>
      <c r="BY66" s="65" t="s">
        <v>260</v>
      </c>
      <c r="BZ66" s="189" t="e">
        <f t="shared" ref="BZ66:CK66" si="259">BZ5/BZ38</f>
        <v>#DIV/0!</v>
      </c>
      <c r="CA66" s="189" t="e">
        <f t="shared" si="259"/>
        <v>#DIV/0!</v>
      </c>
      <c r="CB66" s="189" t="e">
        <f t="shared" si="259"/>
        <v>#DIV/0!</v>
      </c>
      <c r="CC66" s="189" t="e">
        <f t="shared" si="259"/>
        <v>#DIV/0!</v>
      </c>
      <c r="CD66" s="189" t="e">
        <f t="shared" si="259"/>
        <v>#DIV/0!</v>
      </c>
      <c r="CE66" s="189" t="e">
        <f t="shared" si="259"/>
        <v>#DIV/0!</v>
      </c>
      <c r="CF66" s="189" t="e">
        <f t="shared" si="259"/>
        <v>#DIV/0!</v>
      </c>
      <c r="CG66" s="189" t="e">
        <f t="shared" si="259"/>
        <v>#DIV/0!</v>
      </c>
      <c r="CH66" s="189">
        <f t="shared" si="259"/>
        <v>0</v>
      </c>
      <c r="CI66" s="189">
        <f t="shared" si="259"/>
        <v>0</v>
      </c>
      <c r="CJ66" s="189">
        <f t="shared" si="259"/>
        <v>0</v>
      </c>
      <c r="CK66" s="189">
        <f t="shared" si="259"/>
        <v>0</v>
      </c>
      <c r="CL66" s="189" t="e">
        <f>SUM(BZ66:CK66)</f>
        <v>#DIV/0!</v>
      </c>
      <c r="CM66" s="189"/>
      <c r="CN66" s="189"/>
    </row>
    <row r="67" spans="1:92">
      <c r="A67" s="175" t="s">
        <v>149</v>
      </c>
      <c r="B67" s="65" t="s">
        <v>24</v>
      </c>
      <c r="C67" s="69">
        <f t="shared" si="231"/>
        <v>2.7884669008978864E-2</v>
      </c>
      <c r="D67" s="69">
        <f t="shared" si="232"/>
        <v>2.7884669008978864E-2</v>
      </c>
      <c r="E67" s="69">
        <f t="shared" si="233"/>
        <v>2.7884669008978864E-2</v>
      </c>
      <c r="F67" s="69">
        <f t="shared" si="234"/>
        <v>2.7884669008978864E-2</v>
      </c>
      <c r="G67" s="69">
        <f t="shared" si="235"/>
        <v>2.7884669008978864E-2</v>
      </c>
      <c r="H67" s="69">
        <f t="shared" si="236"/>
        <v>2.7884669008978864E-2</v>
      </c>
      <c r="I67" s="69">
        <f t="shared" si="237"/>
        <v>2.788466900897886E-2</v>
      </c>
      <c r="J67" s="69" t="e">
        <f t="shared" si="238"/>
        <v>#DIV/0!</v>
      </c>
      <c r="K67" s="69" t="e">
        <f t="shared" si="239"/>
        <v>#DIV/0!</v>
      </c>
      <c r="L67" s="69" t="e">
        <f t="shared" si="240"/>
        <v>#DIV/0!</v>
      </c>
      <c r="M67" s="69" t="e">
        <f t="shared" si="241"/>
        <v>#DIV/0!</v>
      </c>
      <c r="N67" s="69" t="e">
        <f t="shared" si="242"/>
        <v>#DIV/0!</v>
      </c>
      <c r="O67" s="69" t="e">
        <f t="shared" si="243"/>
        <v>#DIV/0!</v>
      </c>
      <c r="S67" s="175" t="s">
        <v>149</v>
      </c>
      <c r="T67" s="65" t="s">
        <v>24</v>
      </c>
      <c r="U67" s="69">
        <f t="shared" si="244"/>
        <v>2.3407924822932351</v>
      </c>
      <c r="V67" s="69">
        <f t="shared" si="245"/>
        <v>1.1498615061439221</v>
      </c>
      <c r="W67" s="69">
        <f t="shared" si="246"/>
        <v>1.0471948022976967</v>
      </c>
      <c r="X67" s="69">
        <f t="shared" si="247"/>
        <v>1.1827170821482349</v>
      </c>
      <c r="Y67" s="69">
        <f t="shared" si="248"/>
        <v>0.70399627142140109</v>
      </c>
      <c r="Z67" s="69">
        <f t="shared" si="249"/>
        <v>0.73919817634264684</v>
      </c>
      <c r="AA67" s="69">
        <f t="shared" si="250"/>
        <v>0.55439950365289159</v>
      </c>
      <c r="AB67" s="69" t="e">
        <f t="shared" si="251"/>
        <v>#DIV/0!</v>
      </c>
      <c r="AC67" s="69" t="e">
        <f t="shared" si="252"/>
        <v>#DIV/0!</v>
      </c>
      <c r="AD67" s="69" t="e">
        <f t="shared" si="253"/>
        <v>#DIV/0!</v>
      </c>
      <c r="AE67" s="69" t="e">
        <f t="shared" si="254"/>
        <v>#DIV/0!</v>
      </c>
      <c r="AF67" s="69" t="e">
        <f t="shared" si="255"/>
        <v>#DIV/0!</v>
      </c>
      <c r="AG67" s="69" t="e">
        <f t="shared" si="256"/>
        <v>#DIV/0!</v>
      </c>
      <c r="AK67" s="175" t="s">
        <v>149</v>
      </c>
      <c r="AL67" s="65" t="s">
        <v>24</v>
      </c>
      <c r="AM67" s="69">
        <f>AM6/AM39</f>
        <v>83.945499999999996</v>
      </c>
      <c r="AN67" s="69">
        <f t="shared" ref="AN67:AX67" si="260">AN6/AN39</f>
        <v>41.236333333333334</v>
      </c>
      <c r="AO67" s="69">
        <f t="shared" si="260"/>
        <v>37.554499999999997</v>
      </c>
      <c r="AP67" s="69">
        <f t="shared" si="260"/>
        <v>42.4146</v>
      </c>
      <c r="AQ67" s="69">
        <f t="shared" si="260"/>
        <v>25.246714285714287</v>
      </c>
      <c r="AR67" s="69">
        <f t="shared" si="260"/>
        <v>26.509125000000001</v>
      </c>
      <c r="AS67" s="69">
        <f t="shared" si="260"/>
        <v>19.881875000000001</v>
      </c>
      <c r="AT67" s="69" t="e">
        <f t="shared" si="260"/>
        <v>#DIV/0!</v>
      </c>
      <c r="AU67" s="69" t="e">
        <f t="shared" si="260"/>
        <v>#DIV/0!</v>
      </c>
      <c r="AV67" s="69" t="e">
        <f t="shared" si="260"/>
        <v>#DIV/0!</v>
      </c>
      <c r="AW67" s="69" t="e">
        <f t="shared" si="260"/>
        <v>#DIV/0!</v>
      </c>
      <c r="AX67" s="69" t="e">
        <f t="shared" si="260"/>
        <v>#DIV/0!</v>
      </c>
      <c r="AY67" s="69" t="e">
        <f t="shared" ref="AY67:AY69" si="261">SUM(AM67:AX67)</f>
        <v>#DIV/0!</v>
      </c>
      <c r="BC67" s="175" t="s">
        <v>149</v>
      </c>
      <c r="BD67" s="65" t="s">
        <v>24</v>
      </c>
      <c r="BE67" s="69">
        <f>客単価!F12/12</f>
        <v>35.862000000000002</v>
      </c>
      <c r="BF67" s="69">
        <f t="shared" ref="BF67:BP79" si="262">BE67</f>
        <v>35.862000000000002</v>
      </c>
      <c r="BG67" s="69">
        <f t="shared" si="262"/>
        <v>35.862000000000002</v>
      </c>
      <c r="BH67" s="69">
        <f t="shared" si="262"/>
        <v>35.862000000000002</v>
      </c>
      <c r="BI67" s="69">
        <f t="shared" si="262"/>
        <v>35.862000000000002</v>
      </c>
      <c r="BJ67" s="69">
        <f t="shared" si="262"/>
        <v>35.862000000000002</v>
      </c>
      <c r="BK67" s="69">
        <f t="shared" si="262"/>
        <v>35.862000000000002</v>
      </c>
      <c r="BL67" s="69">
        <f t="shared" si="262"/>
        <v>35.862000000000002</v>
      </c>
      <c r="BM67" s="69">
        <f t="shared" si="262"/>
        <v>35.862000000000002</v>
      </c>
      <c r="BN67" s="69">
        <f t="shared" si="262"/>
        <v>35.862000000000002</v>
      </c>
      <c r="BO67" s="69">
        <f t="shared" si="262"/>
        <v>35.862000000000002</v>
      </c>
      <c r="BP67" s="69">
        <f t="shared" si="262"/>
        <v>35.862000000000002</v>
      </c>
      <c r="BQ67" s="69">
        <f t="shared" ref="BQ67:BQ91" si="263">SUM(BE67:BP67)</f>
        <v>430.34400000000011</v>
      </c>
      <c r="BT67" s="69" t="s">
        <v>55</v>
      </c>
      <c r="BU67" s="65">
        <v>400</v>
      </c>
      <c r="BV67" s="65" t="s">
        <v>56</v>
      </c>
      <c r="BX67" s="196" t="s">
        <v>149</v>
      </c>
      <c r="BY67" s="65" t="s">
        <v>24</v>
      </c>
      <c r="BZ67" s="189">
        <f t="shared" ref="BZ67:CK67" si="264">BZ6/BZ39</f>
        <v>149.06854545454536</v>
      </c>
      <c r="CA67" s="189">
        <f t="shared" si="264"/>
        <v>110.09196172248788</v>
      </c>
      <c r="CB67" s="189">
        <f t="shared" si="264"/>
        <v>90.714782608695657</v>
      </c>
      <c r="CC67" s="189">
        <f t="shared" si="264"/>
        <v>91.137927272727197</v>
      </c>
      <c r="CD67" s="189">
        <f t="shared" si="264"/>
        <v>65.522539184953104</v>
      </c>
      <c r="CE67" s="189">
        <f t="shared" si="264"/>
        <v>57.717327823691519</v>
      </c>
      <c r="CF67" s="189">
        <f t="shared" si="264"/>
        <v>60.739893048128231</v>
      </c>
      <c r="CG67" s="189">
        <f t="shared" si="264"/>
        <v>53.65596452328171</v>
      </c>
      <c r="CH67" s="189">
        <f t="shared" si="264"/>
        <v>52.938571428571429</v>
      </c>
      <c r="CI67" s="189">
        <f t="shared" si="264"/>
        <v>53.996900826446364</v>
      </c>
      <c r="CJ67" s="189">
        <f t="shared" si="264"/>
        <v>44.918181818181914</v>
      </c>
      <c r="CK67" s="189">
        <f t="shared" si="264"/>
        <v>42.538297872340422</v>
      </c>
      <c r="CL67" s="189">
        <f>SUM(BZ67:CK67)</f>
        <v>873.04089358405076</v>
      </c>
      <c r="CM67" s="189"/>
      <c r="CN67" s="189"/>
    </row>
    <row r="68" spans="1:92">
      <c r="A68" s="175" t="s">
        <v>149</v>
      </c>
      <c r="B68" s="65" t="s">
        <v>262</v>
      </c>
      <c r="C68" s="69">
        <f t="shared" si="231"/>
        <v>2.7884669008978864E-2</v>
      </c>
      <c r="D68" s="69">
        <f t="shared" si="232"/>
        <v>2.788466900897886E-2</v>
      </c>
      <c r="E68" s="69">
        <f t="shared" si="233"/>
        <v>2.7884669008978864E-2</v>
      </c>
      <c r="F68" s="69">
        <f t="shared" si="234"/>
        <v>2.788466900897886E-2</v>
      </c>
      <c r="G68" s="69">
        <f t="shared" si="235"/>
        <v>2.7884669008978864E-2</v>
      </c>
      <c r="H68" s="69">
        <f t="shared" si="236"/>
        <v>2.7884669008978864E-2</v>
      </c>
      <c r="I68" s="69">
        <f t="shared" si="237"/>
        <v>1.9230769230769228E-2</v>
      </c>
      <c r="J68" s="69" t="e">
        <f t="shared" si="238"/>
        <v>#DIV/0!</v>
      </c>
      <c r="K68" s="69" t="e">
        <f t="shared" si="239"/>
        <v>#DIV/0!</v>
      </c>
      <c r="L68" s="69" t="e">
        <f t="shared" si="240"/>
        <v>#DIV/0!</v>
      </c>
      <c r="M68" s="69" t="e">
        <f t="shared" si="241"/>
        <v>#DIV/0!</v>
      </c>
      <c r="N68" s="69" t="e">
        <f t="shared" si="242"/>
        <v>#DIV/0!</v>
      </c>
      <c r="O68" s="69" t="e">
        <f t="shared" si="243"/>
        <v>#DIV/0!</v>
      </c>
      <c r="S68" s="175" t="s">
        <v>149</v>
      </c>
      <c r="T68" s="65" t="s">
        <v>262</v>
      </c>
      <c r="U68" s="69">
        <f t="shared" si="244"/>
        <v>0.23980815347721821</v>
      </c>
      <c r="V68" s="69">
        <f t="shared" si="245"/>
        <v>0.19798114996374991</v>
      </c>
      <c r="W68" s="69">
        <f t="shared" si="246"/>
        <v>0.19519268306285203</v>
      </c>
      <c r="X68" s="69">
        <f t="shared" si="247"/>
        <v>0.15615414645028161</v>
      </c>
      <c r="Y68" s="69">
        <f t="shared" si="248"/>
        <v>0.23701968657632033</v>
      </c>
      <c r="Z68" s="69">
        <f t="shared" si="249"/>
        <v>0.25096202108080978</v>
      </c>
      <c r="AA68" s="69">
        <f t="shared" si="250"/>
        <v>0.13461538461538461</v>
      </c>
      <c r="AB68" s="69" t="e">
        <f t="shared" si="251"/>
        <v>#DIV/0!</v>
      </c>
      <c r="AC68" s="69" t="e">
        <f t="shared" si="252"/>
        <v>#DIV/0!</v>
      </c>
      <c r="AD68" s="69" t="e">
        <f t="shared" si="253"/>
        <v>#DIV/0!</v>
      </c>
      <c r="AE68" s="69" t="e">
        <f t="shared" si="254"/>
        <v>#DIV/0!</v>
      </c>
      <c r="AF68" s="69" t="e">
        <f t="shared" si="255"/>
        <v>#DIV/0!</v>
      </c>
      <c r="AG68" s="69" t="e">
        <f t="shared" si="256"/>
        <v>#DIV/0!</v>
      </c>
      <c r="AK68" s="175" t="s">
        <v>149</v>
      </c>
      <c r="AL68" s="65" t="s">
        <v>262</v>
      </c>
      <c r="AM68" s="69">
        <f>AM7/AM40</f>
        <v>8.6</v>
      </c>
      <c r="AN68" s="69">
        <f t="shared" ref="AN68:AX68" si="265">AN7/AN40</f>
        <v>7.1</v>
      </c>
      <c r="AO68" s="69">
        <f t="shared" si="265"/>
        <v>7</v>
      </c>
      <c r="AP68" s="69">
        <f t="shared" si="265"/>
        <v>5.6</v>
      </c>
      <c r="AQ68" s="69">
        <f>AQ7/AQ40</f>
        <v>8.5</v>
      </c>
      <c r="AR68" s="69">
        <f t="shared" si="265"/>
        <v>9</v>
      </c>
      <c r="AS68" s="69">
        <f t="shared" si="265"/>
        <v>7</v>
      </c>
      <c r="AT68" s="69" t="e">
        <f t="shared" si="265"/>
        <v>#DIV/0!</v>
      </c>
      <c r="AU68" s="69" t="e">
        <f t="shared" si="265"/>
        <v>#DIV/0!</v>
      </c>
      <c r="AV68" s="69" t="e">
        <f t="shared" si="265"/>
        <v>#DIV/0!</v>
      </c>
      <c r="AW68" s="69" t="e">
        <f t="shared" si="265"/>
        <v>#DIV/0!</v>
      </c>
      <c r="AX68" s="69" t="e">
        <f t="shared" si="265"/>
        <v>#DIV/0!</v>
      </c>
      <c r="AY68" s="69" t="e">
        <f t="shared" si="261"/>
        <v>#DIV/0!</v>
      </c>
      <c r="BC68" s="175" t="s">
        <v>149</v>
      </c>
      <c r="BD68" s="65" t="s">
        <v>262</v>
      </c>
      <c r="BE68" s="69">
        <f>客単価!F13/12</f>
        <v>35.862000000000002</v>
      </c>
      <c r="BF68" s="69">
        <f t="shared" si="262"/>
        <v>35.862000000000002</v>
      </c>
      <c r="BG68" s="69">
        <f t="shared" si="262"/>
        <v>35.862000000000002</v>
      </c>
      <c r="BH68" s="69">
        <f t="shared" si="262"/>
        <v>35.862000000000002</v>
      </c>
      <c r="BI68" s="69">
        <f t="shared" si="262"/>
        <v>35.862000000000002</v>
      </c>
      <c r="BJ68" s="69">
        <f t="shared" si="262"/>
        <v>35.862000000000002</v>
      </c>
      <c r="BK68" s="212">
        <v>52</v>
      </c>
      <c r="BL68" s="69">
        <f t="shared" si="262"/>
        <v>52</v>
      </c>
      <c r="BM68" s="69">
        <f t="shared" si="262"/>
        <v>52</v>
      </c>
      <c r="BN68" s="69">
        <f t="shared" si="262"/>
        <v>52</v>
      </c>
      <c r="BO68" s="69">
        <f t="shared" si="262"/>
        <v>52</v>
      </c>
      <c r="BP68" s="69">
        <f t="shared" si="262"/>
        <v>52</v>
      </c>
      <c r="BQ68" s="69">
        <f t="shared" si="263"/>
        <v>527.17200000000003</v>
      </c>
      <c r="BX68" s="196" t="s">
        <v>149</v>
      </c>
      <c r="BY68" s="65" t="s">
        <v>262</v>
      </c>
      <c r="BZ68" s="189" t="e">
        <f t="shared" ref="BZ68:CK68" si="266">BZ7/BZ40</f>
        <v>#DIV/0!</v>
      </c>
      <c r="CA68" s="189" t="e">
        <f t="shared" si="266"/>
        <v>#DIV/0!</v>
      </c>
      <c r="CB68" s="189" t="e">
        <f t="shared" si="266"/>
        <v>#DIV/0!</v>
      </c>
      <c r="CC68" s="189" t="e">
        <f t="shared" si="266"/>
        <v>#DIV/0!</v>
      </c>
      <c r="CD68" s="189" t="e">
        <f t="shared" si="266"/>
        <v>#DIV/0!</v>
      </c>
      <c r="CE68" s="189" t="e">
        <f t="shared" si="266"/>
        <v>#DIV/0!</v>
      </c>
      <c r="CF68" s="189">
        <f t="shared" si="266"/>
        <v>12.8</v>
      </c>
      <c r="CG68" s="189">
        <f t="shared" si="266"/>
        <v>11.9</v>
      </c>
      <c r="CH68" s="189">
        <f t="shared" si="266"/>
        <v>24.5</v>
      </c>
      <c r="CI68" s="189">
        <f t="shared" si="266"/>
        <v>17.141999999999999</v>
      </c>
      <c r="CJ68" s="189">
        <f t="shared" si="266"/>
        <v>16.867666666666665</v>
      </c>
      <c r="CK68" s="189">
        <f t="shared" si="266"/>
        <v>9.883230769230769</v>
      </c>
      <c r="CL68" s="189" t="e">
        <f>SUM(BZ68:CK68)</f>
        <v>#DIV/0!</v>
      </c>
      <c r="CM68" s="189"/>
      <c r="CN68" s="189"/>
    </row>
    <row r="69" spans="1:92">
      <c r="A69" s="175" t="s">
        <v>149</v>
      </c>
      <c r="B69" s="65" t="s">
        <v>26</v>
      </c>
      <c r="C69" s="69" t="e">
        <f t="shared" si="231"/>
        <v>#DIV/0!</v>
      </c>
      <c r="D69" s="69" t="e">
        <f t="shared" si="232"/>
        <v>#DIV/0!</v>
      </c>
      <c r="E69" s="69" t="e">
        <f t="shared" si="233"/>
        <v>#DIV/0!</v>
      </c>
      <c r="F69" s="69" t="e">
        <f t="shared" si="234"/>
        <v>#DIV/0!</v>
      </c>
      <c r="G69" s="69" t="e">
        <f t="shared" si="235"/>
        <v>#DIV/0!</v>
      </c>
      <c r="H69" s="69" t="e">
        <f t="shared" si="236"/>
        <v>#DIV/0!</v>
      </c>
      <c r="I69" s="69" t="e">
        <f t="shared" si="237"/>
        <v>#DIV/0!</v>
      </c>
      <c r="J69" s="69" t="e">
        <f t="shared" si="238"/>
        <v>#DIV/0!</v>
      </c>
      <c r="K69" s="69" t="e">
        <f t="shared" si="239"/>
        <v>#DIV/0!</v>
      </c>
      <c r="L69" s="69" t="e">
        <f t="shared" si="240"/>
        <v>#DIV/0!</v>
      </c>
      <c r="M69" s="69" t="e">
        <f t="shared" si="241"/>
        <v>#DIV/0!</v>
      </c>
      <c r="N69" s="69" t="e">
        <f t="shared" si="242"/>
        <v>#DIV/0!</v>
      </c>
      <c r="O69" s="69" t="e">
        <f t="shared" si="243"/>
        <v>#DIV/0!</v>
      </c>
      <c r="S69" s="175" t="s">
        <v>149</v>
      </c>
      <c r="T69" s="65" t="s">
        <v>26</v>
      </c>
      <c r="U69" s="69" t="e">
        <f t="shared" si="244"/>
        <v>#DIV/0!</v>
      </c>
      <c r="V69" s="69" t="e">
        <f t="shared" si="245"/>
        <v>#DIV/0!</v>
      </c>
      <c r="W69" s="69" t="e">
        <f t="shared" si="246"/>
        <v>#DIV/0!</v>
      </c>
      <c r="X69" s="69" t="e">
        <f t="shared" si="247"/>
        <v>#DIV/0!</v>
      </c>
      <c r="Y69" s="69" t="e">
        <f t="shared" si="248"/>
        <v>#DIV/0!</v>
      </c>
      <c r="Z69" s="69" t="e">
        <f t="shared" si="249"/>
        <v>#DIV/0!</v>
      </c>
      <c r="AA69" s="69" t="e">
        <f t="shared" si="250"/>
        <v>#DIV/0!</v>
      </c>
      <c r="AB69" s="69" t="e">
        <f t="shared" si="251"/>
        <v>#DIV/0!</v>
      </c>
      <c r="AC69" s="69" t="e">
        <f t="shared" si="252"/>
        <v>#DIV/0!</v>
      </c>
      <c r="AD69" s="69" t="e">
        <f t="shared" si="253"/>
        <v>#DIV/0!</v>
      </c>
      <c r="AE69" s="69" t="e">
        <f t="shared" si="254"/>
        <v>#DIV/0!</v>
      </c>
      <c r="AF69" s="69" t="e">
        <f t="shared" si="255"/>
        <v>#DIV/0!</v>
      </c>
      <c r="AG69" s="69" t="e">
        <f t="shared" si="256"/>
        <v>#DIV/0!</v>
      </c>
      <c r="AK69" s="175" t="s">
        <v>149</v>
      </c>
      <c r="AL69" s="65" t="s">
        <v>26</v>
      </c>
      <c r="AM69" s="69" t="e">
        <f t="shared" ref="AM69:AX69" si="267">AM8/AM41</f>
        <v>#DIV/0!</v>
      </c>
      <c r="AN69" s="69" t="e">
        <f t="shared" si="267"/>
        <v>#DIV/0!</v>
      </c>
      <c r="AO69" s="69" t="e">
        <f t="shared" si="267"/>
        <v>#DIV/0!</v>
      </c>
      <c r="AP69" s="69" t="e">
        <f t="shared" si="267"/>
        <v>#DIV/0!</v>
      </c>
      <c r="AQ69" s="69" t="e">
        <f t="shared" si="267"/>
        <v>#DIV/0!</v>
      </c>
      <c r="AR69" s="69" t="e">
        <f t="shared" si="267"/>
        <v>#DIV/0!</v>
      </c>
      <c r="AS69" s="69" t="e">
        <f t="shared" si="267"/>
        <v>#DIV/0!</v>
      </c>
      <c r="AT69" s="69" t="e">
        <f t="shared" si="267"/>
        <v>#DIV/0!</v>
      </c>
      <c r="AU69" s="69" t="e">
        <f t="shared" si="267"/>
        <v>#DIV/0!</v>
      </c>
      <c r="AV69" s="69" t="e">
        <f t="shared" si="267"/>
        <v>#DIV/0!</v>
      </c>
      <c r="AW69" s="69" t="e">
        <f t="shared" si="267"/>
        <v>#DIV/0!</v>
      </c>
      <c r="AX69" s="69" t="e">
        <f t="shared" si="267"/>
        <v>#DIV/0!</v>
      </c>
      <c r="AY69" s="69" t="e">
        <f t="shared" si="261"/>
        <v>#DIV/0!</v>
      </c>
      <c r="BC69" s="175" t="s">
        <v>149</v>
      </c>
      <c r="BD69" s="65" t="s">
        <v>26</v>
      </c>
      <c r="BE69" s="69">
        <f>客単価!F14/12</f>
        <v>55.393000000000001</v>
      </c>
      <c r="BF69" s="69">
        <f t="shared" si="262"/>
        <v>55.393000000000001</v>
      </c>
      <c r="BG69" s="69">
        <f t="shared" si="262"/>
        <v>55.393000000000001</v>
      </c>
      <c r="BH69" s="69">
        <f t="shared" si="262"/>
        <v>55.393000000000001</v>
      </c>
      <c r="BI69" s="69">
        <f t="shared" si="262"/>
        <v>55.393000000000001</v>
      </c>
      <c r="BJ69" s="69">
        <f t="shared" si="262"/>
        <v>55.393000000000001</v>
      </c>
      <c r="BK69" s="69">
        <f t="shared" si="262"/>
        <v>55.393000000000001</v>
      </c>
      <c r="BL69" s="69">
        <f t="shared" si="262"/>
        <v>55.393000000000001</v>
      </c>
      <c r="BM69" s="69">
        <f t="shared" si="262"/>
        <v>55.393000000000001</v>
      </c>
      <c r="BN69" s="69">
        <f t="shared" si="262"/>
        <v>55.393000000000001</v>
      </c>
      <c r="BO69" s="69">
        <f t="shared" si="262"/>
        <v>55.393000000000001</v>
      </c>
      <c r="BP69" s="69">
        <f t="shared" si="262"/>
        <v>55.393000000000001</v>
      </c>
      <c r="BQ69" s="69">
        <f t="shared" si="263"/>
        <v>664.71600000000024</v>
      </c>
      <c r="BX69" s="196" t="s">
        <v>149</v>
      </c>
      <c r="BY69" s="65" t="s">
        <v>26</v>
      </c>
      <c r="BZ69" s="189">
        <f t="shared" ref="BZ69:CK69" si="268">BZ8/BZ41</f>
        <v>60.825454545454498</v>
      </c>
      <c r="CA69" s="189">
        <f t="shared" si="268"/>
        <v>43.982727272727253</v>
      </c>
      <c r="CB69" s="189">
        <f t="shared" si="268"/>
        <v>71.001363636363749</v>
      </c>
      <c r="CC69" s="189">
        <f t="shared" si="268"/>
        <v>61.479545454545502</v>
      </c>
      <c r="CD69" s="189">
        <f t="shared" si="268"/>
        <v>51.800909090909002</v>
      </c>
      <c r="CE69" s="189">
        <f t="shared" si="268"/>
        <v>67.345454545454501</v>
      </c>
      <c r="CF69" s="189">
        <f t="shared" si="268"/>
        <v>58.991363636363751</v>
      </c>
      <c r="CG69" s="189">
        <f t="shared" si="268"/>
        <v>55.410454545454499</v>
      </c>
      <c r="CH69" s="189">
        <f t="shared" si="268"/>
        <v>57.406818181818252</v>
      </c>
      <c r="CI69" s="189">
        <f t="shared" si="268"/>
        <v>55.936818181818253</v>
      </c>
      <c r="CJ69" s="189">
        <f t="shared" si="268"/>
        <v>48.455454545454501</v>
      </c>
      <c r="CK69" s="189">
        <f t="shared" si="268"/>
        <v>57.392727272727249</v>
      </c>
      <c r="CL69" s="189">
        <f>SUM(BZ69:CK69)</f>
        <v>690.029090909091</v>
      </c>
      <c r="CM69" s="189"/>
      <c r="CN69" s="189"/>
    </row>
    <row r="70" spans="1:92">
      <c r="A70" s="172" t="s">
        <v>149</v>
      </c>
      <c r="B70" s="172" t="s">
        <v>162</v>
      </c>
      <c r="C70" s="173" t="e">
        <f t="shared" si="231"/>
        <v>#DIV/0!</v>
      </c>
      <c r="D70" s="173" t="e">
        <f t="shared" si="232"/>
        <v>#DIV/0!</v>
      </c>
      <c r="E70" s="173" t="e">
        <f t="shared" si="233"/>
        <v>#DIV/0!</v>
      </c>
      <c r="F70" s="173" t="e">
        <f t="shared" si="234"/>
        <v>#DIV/0!</v>
      </c>
      <c r="G70" s="173" t="e">
        <f t="shared" si="235"/>
        <v>#DIV/0!</v>
      </c>
      <c r="H70" s="173" t="e">
        <f t="shared" si="236"/>
        <v>#DIV/0!</v>
      </c>
      <c r="I70" s="173" t="e">
        <f t="shared" si="237"/>
        <v>#DIV/0!</v>
      </c>
      <c r="J70" s="173" t="e">
        <f t="shared" si="238"/>
        <v>#DIV/0!</v>
      </c>
      <c r="K70" s="173" t="e">
        <f t="shared" si="239"/>
        <v>#DIV/0!</v>
      </c>
      <c r="L70" s="173" t="e">
        <f t="shared" si="240"/>
        <v>#DIV/0!</v>
      </c>
      <c r="M70" s="173" t="e">
        <f t="shared" si="241"/>
        <v>#DIV/0!</v>
      </c>
      <c r="N70" s="173" t="e">
        <f t="shared" si="242"/>
        <v>#DIV/0!</v>
      </c>
      <c r="O70" s="173" t="e">
        <f t="shared" si="243"/>
        <v>#DIV/0!</v>
      </c>
      <c r="P70" s="173"/>
      <c r="Q70" s="173"/>
      <c r="S70" s="172" t="s">
        <v>149</v>
      </c>
      <c r="T70" s="172" t="s">
        <v>162</v>
      </c>
      <c r="U70" s="173" t="e">
        <f t="shared" si="244"/>
        <v>#DIV/0!</v>
      </c>
      <c r="V70" s="173" t="e">
        <f t="shared" si="245"/>
        <v>#DIV/0!</v>
      </c>
      <c r="W70" s="173" t="e">
        <f t="shared" si="246"/>
        <v>#DIV/0!</v>
      </c>
      <c r="X70" s="173" t="e">
        <f t="shared" si="247"/>
        <v>#DIV/0!</v>
      </c>
      <c r="Y70" s="173" t="e">
        <f t="shared" si="248"/>
        <v>#DIV/0!</v>
      </c>
      <c r="Z70" s="173" t="e">
        <f t="shared" si="249"/>
        <v>#DIV/0!</v>
      </c>
      <c r="AA70" s="173" t="e">
        <f t="shared" si="250"/>
        <v>#DIV/0!</v>
      </c>
      <c r="AB70" s="173" t="e">
        <f t="shared" si="251"/>
        <v>#DIV/0!</v>
      </c>
      <c r="AC70" s="173" t="e">
        <f t="shared" si="252"/>
        <v>#DIV/0!</v>
      </c>
      <c r="AD70" s="173" t="e">
        <f t="shared" si="253"/>
        <v>#DIV/0!</v>
      </c>
      <c r="AE70" s="173" t="e">
        <f t="shared" si="254"/>
        <v>#DIV/0!</v>
      </c>
      <c r="AF70" s="173" t="e">
        <f t="shared" si="255"/>
        <v>#DIV/0!</v>
      </c>
      <c r="AG70" s="173" t="e">
        <f t="shared" si="256"/>
        <v>#DIV/0!</v>
      </c>
      <c r="AH70" s="173"/>
      <c r="AI70" s="173"/>
      <c r="AK70" s="172" t="s">
        <v>149</v>
      </c>
      <c r="AL70" s="172" t="s">
        <v>162</v>
      </c>
      <c r="AM70" s="173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  <c r="BC70" s="172" t="s">
        <v>149</v>
      </c>
      <c r="BD70" s="172" t="s">
        <v>162</v>
      </c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73"/>
      <c r="BS70" s="173"/>
      <c r="BX70" s="190" t="s">
        <v>149</v>
      </c>
      <c r="BY70" s="190" t="s">
        <v>162</v>
      </c>
      <c r="BZ70" s="191"/>
      <c r="CA70" s="191"/>
      <c r="CB70" s="191"/>
      <c r="CC70" s="191"/>
      <c r="CD70" s="191"/>
      <c r="CE70" s="191"/>
      <c r="CF70" s="191"/>
      <c r="CG70" s="191"/>
      <c r="CH70" s="191"/>
      <c r="CI70" s="191"/>
      <c r="CJ70" s="191"/>
      <c r="CK70" s="191"/>
      <c r="CL70" s="191"/>
      <c r="CM70" s="191"/>
      <c r="CN70" s="191"/>
    </row>
    <row r="71" spans="1:92">
      <c r="A71" s="65" t="s">
        <v>150</v>
      </c>
      <c r="B71" s="65" t="s">
        <v>260</v>
      </c>
      <c r="C71" s="69" t="e">
        <f t="shared" si="231"/>
        <v>#DIV/0!</v>
      </c>
      <c r="D71" s="69" t="e">
        <f t="shared" si="232"/>
        <v>#DIV/0!</v>
      </c>
      <c r="E71" s="69" t="e">
        <f t="shared" si="233"/>
        <v>#DIV/0!</v>
      </c>
      <c r="F71" s="69" t="e">
        <f t="shared" si="234"/>
        <v>#DIV/0!</v>
      </c>
      <c r="G71" s="69" t="e">
        <f t="shared" si="235"/>
        <v>#DIV/0!</v>
      </c>
      <c r="H71" s="69" t="e">
        <f t="shared" si="236"/>
        <v>#DIV/0!</v>
      </c>
      <c r="I71" s="69" t="e">
        <f t="shared" si="237"/>
        <v>#DIV/0!</v>
      </c>
      <c r="J71" s="69" t="e">
        <f t="shared" si="238"/>
        <v>#DIV/0!</v>
      </c>
      <c r="K71" s="69" t="e">
        <f t="shared" si="239"/>
        <v>#DIV/0!</v>
      </c>
      <c r="L71" s="69" t="e">
        <f t="shared" si="240"/>
        <v>#DIV/0!</v>
      </c>
      <c r="M71" s="69" t="e">
        <f t="shared" si="241"/>
        <v>#DIV/0!</v>
      </c>
      <c r="N71" s="69" t="e">
        <f t="shared" si="242"/>
        <v>#DIV/0!</v>
      </c>
      <c r="O71" s="69" t="e">
        <f t="shared" si="243"/>
        <v>#DIV/0!</v>
      </c>
      <c r="S71" s="65" t="s">
        <v>150</v>
      </c>
      <c r="T71" s="65" t="s">
        <v>260</v>
      </c>
      <c r="U71" s="69" t="e">
        <f t="shared" si="244"/>
        <v>#DIV/0!</v>
      </c>
      <c r="V71" s="69" t="e">
        <f t="shared" si="245"/>
        <v>#DIV/0!</v>
      </c>
      <c r="W71" s="69" t="e">
        <f t="shared" si="246"/>
        <v>#DIV/0!</v>
      </c>
      <c r="X71" s="69" t="e">
        <f t="shared" si="247"/>
        <v>#DIV/0!</v>
      </c>
      <c r="Y71" s="69" t="e">
        <f t="shared" si="248"/>
        <v>#DIV/0!</v>
      </c>
      <c r="Z71" s="69" t="e">
        <f t="shared" si="249"/>
        <v>#DIV/0!</v>
      </c>
      <c r="AA71" s="69" t="e">
        <f t="shared" si="250"/>
        <v>#DIV/0!</v>
      </c>
      <c r="AB71" s="69" t="e">
        <f t="shared" si="251"/>
        <v>#DIV/0!</v>
      </c>
      <c r="AC71" s="69" t="e">
        <f t="shared" si="252"/>
        <v>#DIV/0!</v>
      </c>
      <c r="AD71" s="69" t="e">
        <f t="shared" si="253"/>
        <v>#DIV/0!</v>
      </c>
      <c r="AE71" s="69" t="e">
        <f t="shared" si="254"/>
        <v>#DIV/0!</v>
      </c>
      <c r="AF71" s="69" t="e">
        <f t="shared" si="255"/>
        <v>#DIV/0!</v>
      </c>
      <c r="AG71" s="69" t="e">
        <f t="shared" si="256"/>
        <v>#DIV/0!</v>
      </c>
      <c r="AK71" s="65" t="s">
        <v>150</v>
      </c>
      <c r="AL71" s="65" t="s">
        <v>260</v>
      </c>
      <c r="AM71" s="69" t="e">
        <f t="shared" ref="AM71:AX71" si="269">AM10/AM43</f>
        <v>#DIV/0!</v>
      </c>
      <c r="AN71" s="69" t="e">
        <f t="shared" si="269"/>
        <v>#DIV/0!</v>
      </c>
      <c r="AO71" s="69" t="e">
        <f t="shared" si="269"/>
        <v>#DIV/0!</v>
      </c>
      <c r="AP71" s="69" t="e">
        <f t="shared" si="269"/>
        <v>#DIV/0!</v>
      </c>
      <c r="AQ71" s="69" t="e">
        <f t="shared" si="269"/>
        <v>#DIV/0!</v>
      </c>
      <c r="AR71" s="69" t="e">
        <f t="shared" si="269"/>
        <v>#DIV/0!</v>
      </c>
      <c r="AS71" s="69" t="e">
        <f t="shared" si="269"/>
        <v>#DIV/0!</v>
      </c>
      <c r="AT71" s="69" t="e">
        <f t="shared" si="269"/>
        <v>#DIV/0!</v>
      </c>
      <c r="AU71" s="69" t="e">
        <f t="shared" si="269"/>
        <v>#DIV/0!</v>
      </c>
      <c r="AV71" s="69" t="e">
        <f t="shared" si="269"/>
        <v>#DIV/0!</v>
      </c>
      <c r="AW71" s="69" t="e">
        <f t="shared" si="269"/>
        <v>#DIV/0!</v>
      </c>
      <c r="AX71" s="69" t="e">
        <f t="shared" si="269"/>
        <v>#DIV/0!</v>
      </c>
      <c r="AY71" s="69" t="e">
        <f t="shared" ref="AY71:AY74" si="270">SUM(AM71:AX71)</f>
        <v>#DIV/0!</v>
      </c>
      <c r="BC71" s="65" t="s">
        <v>150</v>
      </c>
      <c r="BD71" s="65" t="s">
        <v>260</v>
      </c>
      <c r="BE71" s="69">
        <f>客単価!F16/12</f>
        <v>420</v>
      </c>
      <c r="BF71" s="69">
        <f t="shared" si="262"/>
        <v>420</v>
      </c>
      <c r="BG71" s="69">
        <f t="shared" si="262"/>
        <v>420</v>
      </c>
      <c r="BH71" s="69">
        <f t="shared" si="262"/>
        <v>420</v>
      </c>
      <c r="BI71" s="69">
        <f t="shared" si="262"/>
        <v>420</v>
      </c>
      <c r="BJ71" s="69">
        <f t="shared" si="262"/>
        <v>420</v>
      </c>
      <c r="BK71" s="69">
        <f t="shared" si="262"/>
        <v>420</v>
      </c>
      <c r="BL71" s="69">
        <f t="shared" si="262"/>
        <v>420</v>
      </c>
      <c r="BM71" s="69">
        <f t="shared" si="262"/>
        <v>420</v>
      </c>
      <c r="BN71" s="69">
        <f t="shared" si="262"/>
        <v>420</v>
      </c>
      <c r="BO71" s="69">
        <f t="shared" si="262"/>
        <v>420</v>
      </c>
      <c r="BP71" s="69">
        <f t="shared" si="262"/>
        <v>420</v>
      </c>
      <c r="BQ71" s="69">
        <f t="shared" si="263"/>
        <v>5040</v>
      </c>
      <c r="BT71" s="69" t="s">
        <v>53</v>
      </c>
      <c r="BU71" s="65">
        <v>2100</v>
      </c>
      <c r="BV71" s="65" t="s">
        <v>54</v>
      </c>
      <c r="BX71" s="65" t="s">
        <v>150</v>
      </c>
      <c r="BY71" s="65" t="s">
        <v>260</v>
      </c>
      <c r="BZ71" s="189" t="e">
        <f t="shared" ref="BZ71:CK71" si="271">BZ10/BZ43</f>
        <v>#DIV/0!</v>
      </c>
      <c r="CA71" s="189" t="e">
        <f t="shared" si="271"/>
        <v>#DIV/0!</v>
      </c>
      <c r="CB71" s="189" t="e">
        <f t="shared" si="271"/>
        <v>#DIV/0!</v>
      </c>
      <c r="CC71" s="189" t="e">
        <f t="shared" si="271"/>
        <v>#DIV/0!</v>
      </c>
      <c r="CD71" s="189" t="e">
        <f t="shared" si="271"/>
        <v>#DIV/0!</v>
      </c>
      <c r="CE71" s="189" t="e">
        <f t="shared" si="271"/>
        <v>#DIV/0!</v>
      </c>
      <c r="CF71" s="189" t="e">
        <f t="shared" si="271"/>
        <v>#DIV/0!</v>
      </c>
      <c r="CG71" s="189" t="e">
        <f t="shared" si="271"/>
        <v>#DIV/0!</v>
      </c>
      <c r="CH71" s="189">
        <f t="shared" si="271"/>
        <v>0</v>
      </c>
      <c r="CI71" s="189">
        <f t="shared" si="271"/>
        <v>0</v>
      </c>
      <c r="CJ71" s="189">
        <f t="shared" si="271"/>
        <v>0</v>
      </c>
      <c r="CK71" s="189">
        <f t="shared" si="271"/>
        <v>0</v>
      </c>
      <c r="CL71" s="189" t="e">
        <f>SUM(BZ71:CK71)</f>
        <v>#DIV/0!</v>
      </c>
      <c r="CM71" s="189"/>
      <c r="CN71" s="189"/>
    </row>
    <row r="72" spans="1:92">
      <c r="A72" s="175" t="s">
        <v>150</v>
      </c>
      <c r="B72" s="65" t="s">
        <v>24</v>
      </c>
      <c r="C72" s="69" t="e">
        <f t="shared" si="231"/>
        <v>#DIV/0!</v>
      </c>
      <c r="D72" s="69" t="e">
        <f t="shared" si="232"/>
        <v>#DIV/0!</v>
      </c>
      <c r="E72" s="69">
        <f t="shared" si="233"/>
        <v>2.7884669008978864E-2</v>
      </c>
      <c r="F72" s="69" t="e">
        <f t="shared" si="234"/>
        <v>#DIV/0!</v>
      </c>
      <c r="G72" s="69">
        <f t="shared" si="235"/>
        <v>2.7884669008978864E-2</v>
      </c>
      <c r="H72" s="69">
        <f t="shared" si="236"/>
        <v>2.7884669008978864E-2</v>
      </c>
      <c r="I72" s="69" t="e">
        <f t="shared" si="237"/>
        <v>#DIV/0!</v>
      </c>
      <c r="J72" s="69" t="e">
        <f t="shared" si="238"/>
        <v>#DIV/0!</v>
      </c>
      <c r="K72" s="69" t="e">
        <f t="shared" si="239"/>
        <v>#DIV/0!</v>
      </c>
      <c r="L72" s="69" t="e">
        <f t="shared" si="240"/>
        <v>#DIV/0!</v>
      </c>
      <c r="M72" s="69" t="e">
        <f t="shared" si="241"/>
        <v>#DIV/0!</v>
      </c>
      <c r="N72" s="69" t="e">
        <f t="shared" si="242"/>
        <v>#DIV/0!</v>
      </c>
      <c r="O72" s="69" t="e">
        <f t="shared" si="243"/>
        <v>#DIV/0!</v>
      </c>
      <c r="S72" s="175" t="s">
        <v>150</v>
      </c>
      <c r="T72" s="65" t="s">
        <v>24</v>
      </c>
      <c r="U72" s="69" t="e">
        <f t="shared" si="244"/>
        <v>#DIV/0!</v>
      </c>
      <c r="V72" s="69" t="e">
        <f t="shared" si="245"/>
        <v>#DIV/0!</v>
      </c>
      <c r="W72" s="69">
        <f t="shared" si="246"/>
        <v>0.9855963009719062</v>
      </c>
      <c r="X72" s="69">
        <f t="shared" si="247"/>
        <v>0</v>
      </c>
      <c r="Y72" s="69">
        <f t="shared" si="248"/>
        <v>0.9855963009719062</v>
      </c>
      <c r="Z72" s="69">
        <f t="shared" si="249"/>
        <v>0.9855963009719062</v>
      </c>
      <c r="AA72" s="69">
        <f t="shared" si="250"/>
        <v>0</v>
      </c>
      <c r="AB72" s="69" t="e">
        <f t="shared" si="251"/>
        <v>#DIV/0!</v>
      </c>
      <c r="AC72" s="69" t="e">
        <f t="shared" si="252"/>
        <v>#DIV/0!</v>
      </c>
      <c r="AD72" s="69" t="e">
        <f t="shared" si="253"/>
        <v>#DIV/0!</v>
      </c>
      <c r="AE72" s="69" t="e">
        <f t="shared" si="254"/>
        <v>#DIV/0!</v>
      </c>
      <c r="AF72" s="69" t="e">
        <f t="shared" si="255"/>
        <v>#DIV/0!</v>
      </c>
      <c r="AG72" s="69" t="e">
        <f t="shared" si="256"/>
        <v>#DIV/0!</v>
      </c>
      <c r="AK72" s="175" t="s">
        <v>150</v>
      </c>
      <c r="AL72" s="65" t="s">
        <v>24</v>
      </c>
      <c r="AM72" s="69" t="e">
        <f t="shared" ref="AM72:AX72" si="272">AM11/AM44</f>
        <v>#DIV/0!</v>
      </c>
      <c r="AN72" s="69" t="e">
        <f t="shared" si="272"/>
        <v>#DIV/0!</v>
      </c>
      <c r="AO72" s="69">
        <f t="shared" si="272"/>
        <v>35.345454545454501</v>
      </c>
      <c r="AP72" s="69">
        <f t="shared" si="272"/>
        <v>0</v>
      </c>
      <c r="AQ72" s="69">
        <f t="shared" si="272"/>
        <v>35.345454545454501</v>
      </c>
      <c r="AR72" s="69">
        <f t="shared" si="272"/>
        <v>35.345454545454501</v>
      </c>
      <c r="AS72" s="69">
        <f t="shared" si="272"/>
        <v>0</v>
      </c>
      <c r="AT72" s="69" t="e">
        <f t="shared" si="272"/>
        <v>#DIV/0!</v>
      </c>
      <c r="AU72" s="69" t="e">
        <f t="shared" si="272"/>
        <v>#DIV/0!</v>
      </c>
      <c r="AV72" s="69" t="e">
        <f t="shared" si="272"/>
        <v>#DIV/0!</v>
      </c>
      <c r="AW72" s="69" t="e">
        <f t="shared" si="272"/>
        <v>#DIV/0!</v>
      </c>
      <c r="AX72" s="69" t="e">
        <f t="shared" si="272"/>
        <v>#DIV/0!</v>
      </c>
      <c r="AY72" s="69" t="e">
        <f t="shared" si="270"/>
        <v>#DIV/0!</v>
      </c>
      <c r="BC72" s="175" t="s">
        <v>150</v>
      </c>
      <c r="BD72" s="65" t="s">
        <v>24</v>
      </c>
      <c r="BE72" s="69">
        <f>客単価!F17/12</f>
        <v>35.862000000000002</v>
      </c>
      <c r="BF72" s="69">
        <f t="shared" si="262"/>
        <v>35.862000000000002</v>
      </c>
      <c r="BG72" s="69">
        <f t="shared" si="262"/>
        <v>35.862000000000002</v>
      </c>
      <c r="BH72" s="69">
        <f t="shared" si="262"/>
        <v>35.862000000000002</v>
      </c>
      <c r="BI72" s="69">
        <f t="shared" si="262"/>
        <v>35.862000000000002</v>
      </c>
      <c r="BJ72" s="69">
        <f t="shared" si="262"/>
        <v>35.862000000000002</v>
      </c>
      <c r="BK72" s="69">
        <f>BJ72</f>
        <v>35.862000000000002</v>
      </c>
      <c r="BL72" s="69">
        <f t="shared" si="262"/>
        <v>35.862000000000002</v>
      </c>
      <c r="BM72" s="69">
        <f t="shared" si="262"/>
        <v>35.862000000000002</v>
      </c>
      <c r="BN72" s="69">
        <f t="shared" si="262"/>
        <v>35.862000000000002</v>
      </c>
      <c r="BO72" s="69">
        <f t="shared" si="262"/>
        <v>35.862000000000002</v>
      </c>
      <c r="BP72" s="69">
        <f t="shared" si="262"/>
        <v>35.862000000000002</v>
      </c>
      <c r="BQ72" s="69">
        <f t="shared" si="263"/>
        <v>430.34400000000011</v>
      </c>
      <c r="BT72" s="69" t="s">
        <v>55</v>
      </c>
      <c r="BU72" s="65">
        <v>200</v>
      </c>
      <c r="BV72" s="65" t="s">
        <v>56</v>
      </c>
      <c r="BW72" s="65" t="s">
        <v>289</v>
      </c>
      <c r="BX72" s="196" t="s">
        <v>150</v>
      </c>
      <c r="BY72" s="65" t="s">
        <v>24</v>
      </c>
      <c r="BZ72" s="189">
        <f t="shared" ref="BZ72:CK72" si="273">BZ11/BZ44</f>
        <v>59.511272727272797</v>
      </c>
      <c r="CA72" s="189">
        <f t="shared" si="273"/>
        <v>39.895252525252559</v>
      </c>
      <c r="CB72" s="189">
        <f t="shared" si="273"/>
        <v>35.131818181818197</v>
      </c>
      <c r="CC72" s="189">
        <f t="shared" si="273"/>
        <v>36.625649350649361</v>
      </c>
      <c r="CD72" s="189">
        <f t="shared" si="273"/>
        <v>33.081298701298714</v>
      </c>
      <c r="CE72" s="189">
        <f t="shared" si="273"/>
        <v>47.596590909090878</v>
      </c>
      <c r="CF72" s="189">
        <f t="shared" si="273"/>
        <v>29.347556818181811</v>
      </c>
      <c r="CG72" s="189">
        <f t="shared" si="273"/>
        <v>24.530748663101591</v>
      </c>
      <c r="CH72" s="189">
        <f t="shared" si="273"/>
        <v>30.638677685950412</v>
      </c>
      <c r="CI72" s="189">
        <f t="shared" si="273"/>
        <v>22.482438016528906</v>
      </c>
      <c r="CJ72" s="189">
        <f t="shared" si="273"/>
        <v>22.483636363636364</v>
      </c>
      <c r="CK72" s="189">
        <f t="shared" si="273"/>
        <v>15.406611570247911</v>
      </c>
      <c r="CL72" s="189">
        <f>SUM(BZ72:CK72)</f>
        <v>396.7315515130295</v>
      </c>
      <c r="CM72" s="189"/>
      <c r="CN72" s="189"/>
    </row>
    <row r="73" spans="1:92">
      <c r="A73" s="175" t="s">
        <v>150</v>
      </c>
      <c r="B73" s="65" t="s">
        <v>262</v>
      </c>
      <c r="C73" s="69" t="e">
        <f t="shared" si="231"/>
        <v>#DIV/0!</v>
      </c>
      <c r="D73" s="69">
        <f t="shared" si="232"/>
        <v>2.788466900897886E-2</v>
      </c>
      <c r="E73" s="69">
        <f t="shared" si="233"/>
        <v>2.7884669008978864E-2</v>
      </c>
      <c r="F73" s="69">
        <f t="shared" si="234"/>
        <v>2.788466900897886E-2</v>
      </c>
      <c r="G73" s="69">
        <f t="shared" si="235"/>
        <v>2.7884669008978864E-2</v>
      </c>
      <c r="H73" s="69">
        <f t="shared" si="236"/>
        <v>2.7884669008978864E-2</v>
      </c>
      <c r="I73" s="69">
        <f t="shared" si="237"/>
        <v>1.9230769230769232E-2</v>
      </c>
      <c r="J73" s="69" t="e">
        <f t="shared" si="238"/>
        <v>#DIV/0!</v>
      </c>
      <c r="K73" s="69" t="e">
        <f t="shared" si="239"/>
        <v>#DIV/0!</v>
      </c>
      <c r="L73" s="69" t="e">
        <f t="shared" si="240"/>
        <v>#DIV/0!</v>
      </c>
      <c r="M73" s="69" t="e">
        <f t="shared" si="241"/>
        <v>#DIV/0!</v>
      </c>
      <c r="N73" s="69" t="e">
        <f t="shared" si="242"/>
        <v>#DIV/0!</v>
      </c>
      <c r="O73" s="69" t="e">
        <f t="shared" si="243"/>
        <v>#DIV/0!</v>
      </c>
      <c r="S73" s="175" t="s">
        <v>150</v>
      </c>
      <c r="T73" s="65" t="s">
        <v>262</v>
      </c>
      <c r="U73" s="69" t="e">
        <f t="shared" si="244"/>
        <v>#DIV/0!</v>
      </c>
      <c r="V73" s="69">
        <f t="shared" si="245"/>
        <v>6.6679848510198259</v>
      </c>
      <c r="W73" s="69">
        <f t="shared" si="246"/>
        <v>8.6797369715221411</v>
      </c>
      <c r="X73" s="69">
        <f t="shared" si="247"/>
        <v>10.959181914510678</v>
      </c>
      <c r="Y73" s="69">
        <f t="shared" si="248"/>
        <v>7.0411324217581557</v>
      </c>
      <c r="Z73" s="69">
        <f t="shared" si="249"/>
        <v>5.2945318164073392</v>
      </c>
      <c r="AA73" s="69">
        <f t="shared" si="250"/>
        <v>3.1127596153846153</v>
      </c>
      <c r="AB73" s="69" t="e">
        <f t="shared" si="251"/>
        <v>#DIV/0!</v>
      </c>
      <c r="AC73" s="69" t="e">
        <f t="shared" si="252"/>
        <v>#DIV/0!</v>
      </c>
      <c r="AD73" s="69" t="e">
        <f t="shared" si="253"/>
        <v>#DIV/0!</v>
      </c>
      <c r="AE73" s="69" t="e">
        <f t="shared" si="254"/>
        <v>#DIV/0!</v>
      </c>
      <c r="AF73" s="69" t="e">
        <f t="shared" si="255"/>
        <v>#DIV/0!</v>
      </c>
      <c r="AG73" s="69" t="e">
        <f t="shared" si="256"/>
        <v>#DIV/0!</v>
      </c>
      <c r="AK73" s="175" t="s">
        <v>150</v>
      </c>
      <c r="AL73" s="65" t="s">
        <v>262</v>
      </c>
      <c r="AM73" s="69" t="e">
        <f t="shared" ref="AM73:AX73" si="274">AM12/AM45</f>
        <v>#DIV/0!</v>
      </c>
      <c r="AN73" s="69">
        <f t="shared" si="274"/>
        <v>239.12727272727301</v>
      </c>
      <c r="AO73" s="69">
        <f t="shared" si="274"/>
        <v>311.27272727272702</v>
      </c>
      <c r="AP73" s="69">
        <f t="shared" si="274"/>
        <v>393.01818181818197</v>
      </c>
      <c r="AQ73" s="69">
        <f>AQ12/AQ45</f>
        <v>252.50909090909099</v>
      </c>
      <c r="AR73" s="69">
        <f t="shared" si="274"/>
        <v>189.8725</v>
      </c>
      <c r="AS73" s="69">
        <f t="shared" si="274"/>
        <v>161.86349999999999</v>
      </c>
      <c r="AT73" s="69" t="e">
        <f t="shared" si="274"/>
        <v>#DIV/0!</v>
      </c>
      <c r="AU73" s="69" t="e">
        <f t="shared" si="274"/>
        <v>#DIV/0!</v>
      </c>
      <c r="AV73" s="69" t="e">
        <f t="shared" si="274"/>
        <v>#DIV/0!</v>
      </c>
      <c r="AW73" s="69" t="e">
        <f t="shared" si="274"/>
        <v>#DIV/0!</v>
      </c>
      <c r="AX73" s="69" t="e">
        <f t="shared" si="274"/>
        <v>#DIV/0!</v>
      </c>
      <c r="AY73" s="69" t="e">
        <f t="shared" si="270"/>
        <v>#DIV/0!</v>
      </c>
      <c r="BC73" s="175" t="s">
        <v>150</v>
      </c>
      <c r="BD73" s="65" t="s">
        <v>262</v>
      </c>
      <c r="BE73" s="69">
        <f>客単価!F18/12</f>
        <v>35.862000000000002</v>
      </c>
      <c r="BF73" s="69">
        <f t="shared" si="262"/>
        <v>35.862000000000002</v>
      </c>
      <c r="BG73" s="69">
        <f t="shared" si="262"/>
        <v>35.862000000000002</v>
      </c>
      <c r="BH73" s="69">
        <f t="shared" si="262"/>
        <v>35.862000000000002</v>
      </c>
      <c r="BI73" s="69">
        <f t="shared" si="262"/>
        <v>35.862000000000002</v>
      </c>
      <c r="BJ73" s="69">
        <f t="shared" si="262"/>
        <v>35.862000000000002</v>
      </c>
      <c r="BK73" s="212">
        <v>52</v>
      </c>
      <c r="BL73" s="69">
        <f t="shared" si="262"/>
        <v>52</v>
      </c>
      <c r="BM73" s="69">
        <f t="shared" si="262"/>
        <v>52</v>
      </c>
      <c r="BN73" s="69">
        <f t="shared" si="262"/>
        <v>52</v>
      </c>
      <c r="BO73" s="69">
        <f t="shared" si="262"/>
        <v>52</v>
      </c>
      <c r="BP73" s="69">
        <f t="shared" si="262"/>
        <v>52</v>
      </c>
      <c r="BQ73" s="69">
        <f t="shared" si="263"/>
        <v>527.17200000000003</v>
      </c>
      <c r="BX73" s="196" t="s">
        <v>150</v>
      </c>
      <c r="BY73" s="65" t="s">
        <v>262</v>
      </c>
      <c r="BZ73" s="189" t="e">
        <f t="shared" ref="BZ73:CK73" si="275">BZ12/BZ45</f>
        <v>#DIV/0!</v>
      </c>
      <c r="CA73" s="189" t="e">
        <f t="shared" si="275"/>
        <v>#DIV/0!</v>
      </c>
      <c r="CB73" s="189" t="e">
        <f t="shared" si="275"/>
        <v>#DIV/0!</v>
      </c>
      <c r="CC73" s="189" t="e">
        <f t="shared" si="275"/>
        <v>#DIV/0!</v>
      </c>
      <c r="CD73" s="189" t="e">
        <f t="shared" si="275"/>
        <v>#DIV/0!</v>
      </c>
      <c r="CE73" s="189" t="e">
        <f t="shared" si="275"/>
        <v>#DIV/0!</v>
      </c>
      <c r="CF73" s="189" t="e">
        <f t="shared" si="275"/>
        <v>#DIV/0!</v>
      </c>
      <c r="CG73" s="189" t="e">
        <f t="shared" si="275"/>
        <v>#DIV/0!</v>
      </c>
      <c r="CH73" s="189" t="e">
        <f t="shared" si="275"/>
        <v>#DIV/0!</v>
      </c>
      <c r="CI73" s="189">
        <f t="shared" si="275"/>
        <v>49.2</v>
      </c>
      <c r="CJ73" s="189">
        <f t="shared" si="275"/>
        <v>106.8</v>
      </c>
      <c r="CK73" s="189">
        <f t="shared" si="275"/>
        <v>26.5</v>
      </c>
      <c r="CL73" s="189" t="e">
        <f>SUM(BZ73:CK73)</f>
        <v>#DIV/0!</v>
      </c>
      <c r="CM73" s="189"/>
      <c r="CN73" s="189"/>
    </row>
    <row r="74" spans="1:92">
      <c r="A74" s="175" t="s">
        <v>150</v>
      </c>
      <c r="B74" s="65" t="s">
        <v>26</v>
      </c>
      <c r="C74" s="69" t="e">
        <f t="shared" si="231"/>
        <v>#DIV/0!</v>
      </c>
      <c r="D74" s="69" t="e">
        <f t="shared" si="232"/>
        <v>#DIV/0!</v>
      </c>
      <c r="E74" s="69" t="e">
        <f t="shared" si="233"/>
        <v>#DIV/0!</v>
      </c>
      <c r="F74" s="69" t="e">
        <f t="shared" si="234"/>
        <v>#DIV/0!</v>
      </c>
      <c r="G74" s="69" t="e">
        <f t="shared" si="235"/>
        <v>#DIV/0!</v>
      </c>
      <c r="H74" s="69" t="e">
        <f t="shared" si="236"/>
        <v>#DIV/0!</v>
      </c>
      <c r="I74" s="69" t="e">
        <f t="shared" si="237"/>
        <v>#DIV/0!</v>
      </c>
      <c r="J74" s="69" t="e">
        <f t="shared" si="238"/>
        <v>#DIV/0!</v>
      </c>
      <c r="K74" s="69" t="e">
        <f t="shared" si="239"/>
        <v>#DIV/0!</v>
      </c>
      <c r="L74" s="69" t="e">
        <f t="shared" si="240"/>
        <v>#DIV/0!</v>
      </c>
      <c r="M74" s="69" t="e">
        <f t="shared" si="241"/>
        <v>#DIV/0!</v>
      </c>
      <c r="N74" s="69" t="e">
        <f t="shared" si="242"/>
        <v>#DIV/0!</v>
      </c>
      <c r="O74" s="69" t="e">
        <f t="shared" si="243"/>
        <v>#DIV/0!</v>
      </c>
      <c r="S74" s="175" t="s">
        <v>150</v>
      </c>
      <c r="T74" s="65" t="s">
        <v>26</v>
      </c>
      <c r="U74" s="69" t="e">
        <f t="shared" si="244"/>
        <v>#DIV/0!</v>
      </c>
      <c r="V74" s="69" t="e">
        <f t="shared" si="245"/>
        <v>#DIV/0!</v>
      </c>
      <c r="W74" s="69" t="e">
        <f t="shared" si="246"/>
        <v>#DIV/0!</v>
      </c>
      <c r="X74" s="69" t="e">
        <f t="shared" si="247"/>
        <v>#DIV/0!</v>
      </c>
      <c r="Y74" s="69" t="e">
        <f t="shared" si="248"/>
        <v>#DIV/0!</v>
      </c>
      <c r="Z74" s="69" t="e">
        <f t="shared" si="249"/>
        <v>#DIV/0!</v>
      </c>
      <c r="AA74" s="69" t="e">
        <f t="shared" si="250"/>
        <v>#DIV/0!</v>
      </c>
      <c r="AB74" s="69" t="e">
        <f t="shared" si="251"/>
        <v>#DIV/0!</v>
      </c>
      <c r="AC74" s="69" t="e">
        <f t="shared" si="252"/>
        <v>#DIV/0!</v>
      </c>
      <c r="AD74" s="69" t="e">
        <f t="shared" si="253"/>
        <v>#DIV/0!</v>
      </c>
      <c r="AE74" s="69" t="e">
        <f t="shared" si="254"/>
        <v>#DIV/0!</v>
      </c>
      <c r="AF74" s="69" t="e">
        <f t="shared" si="255"/>
        <v>#DIV/0!</v>
      </c>
      <c r="AG74" s="69" t="e">
        <f t="shared" si="256"/>
        <v>#DIV/0!</v>
      </c>
      <c r="AK74" s="175" t="s">
        <v>150</v>
      </c>
      <c r="AL74" s="65" t="s">
        <v>26</v>
      </c>
      <c r="AM74" s="69" t="e">
        <f t="shared" ref="AM74:AX74" si="276">AM13/AM46</f>
        <v>#DIV/0!</v>
      </c>
      <c r="AN74" s="69" t="e">
        <f t="shared" si="276"/>
        <v>#DIV/0!</v>
      </c>
      <c r="AO74" s="69" t="e">
        <f t="shared" si="276"/>
        <v>#DIV/0!</v>
      </c>
      <c r="AP74" s="69" t="e">
        <f t="shared" si="276"/>
        <v>#DIV/0!</v>
      </c>
      <c r="AQ74" s="69" t="e">
        <f>AQ13/AQ46</f>
        <v>#DIV/0!</v>
      </c>
      <c r="AR74" s="69" t="e">
        <f t="shared" si="276"/>
        <v>#DIV/0!</v>
      </c>
      <c r="AS74" s="69" t="e">
        <f t="shared" si="276"/>
        <v>#DIV/0!</v>
      </c>
      <c r="AT74" s="69" t="e">
        <f t="shared" si="276"/>
        <v>#DIV/0!</v>
      </c>
      <c r="AU74" s="69" t="e">
        <f t="shared" si="276"/>
        <v>#DIV/0!</v>
      </c>
      <c r="AV74" s="69" t="e">
        <f t="shared" si="276"/>
        <v>#DIV/0!</v>
      </c>
      <c r="AW74" s="69" t="e">
        <f t="shared" si="276"/>
        <v>#DIV/0!</v>
      </c>
      <c r="AX74" s="69" t="e">
        <f t="shared" si="276"/>
        <v>#DIV/0!</v>
      </c>
      <c r="AY74" s="69" t="e">
        <f t="shared" si="270"/>
        <v>#DIV/0!</v>
      </c>
      <c r="BC74" s="175" t="s">
        <v>150</v>
      </c>
      <c r="BD74" s="65" t="s">
        <v>26</v>
      </c>
      <c r="BE74" s="69">
        <f>客単価!F19/12</f>
        <v>55.393000000000001</v>
      </c>
      <c r="BF74" s="69">
        <f t="shared" si="262"/>
        <v>55.393000000000001</v>
      </c>
      <c r="BG74" s="69">
        <f t="shared" si="262"/>
        <v>55.393000000000001</v>
      </c>
      <c r="BH74" s="69">
        <f t="shared" si="262"/>
        <v>55.393000000000001</v>
      </c>
      <c r="BI74" s="69">
        <f t="shared" si="262"/>
        <v>55.393000000000001</v>
      </c>
      <c r="BJ74" s="69">
        <f t="shared" si="262"/>
        <v>55.393000000000001</v>
      </c>
      <c r="BK74" s="69">
        <f t="shared" si="262"/>
        <v>55.393000000000001</v>
      </c>
      <c r="BL74" s="69">
        <f t="shared" si="262"/>
        <v>55.393000000000001</v>
      </c>
      <c r="BM74" s="69">
        <f t="shared" si="262"/>
        <v>55.393000000000001</v>
      </c>
      <c r="BN74" s="69">
        <f t="shared" si="262"/>
        <v>55.393000000000001</v>
      </c>
      <c r="BO74" s="69">
        <f t="shared" si="262"/>
        <v>55.393000000000001</v>
      </c>
      <c r="BP74" s="69">
        <f t="shared" si="262"/>
        <v>55.393000000000001</v>
      </c>
      <c r="BQ74" s="69">
        <f t="shared" si="263"/>
        <v>664.71600000000024</v>
      </c>
      <c r="BX74" s="196" t="s">
        <v>150</v>
      </c>
      <c r="BY74" s="65" t="s">
        <v>26</v>
      </c>
      <c r="BZ74" s="189">
        <f t="shared" ref="BZ74:CK74" si="277">BZ13/BZ46</f>
        <v>41.550909090909101</v>
      </c>
      <c r="CA74" s="189">
        <f t="shared" si="277"/>
        <v>17.1109090909091</v>
      </c>
      <c r="CB74" s="189">
        <f t="shared" si="277"/>
        <v>62.796363636363502</v>
      </c>
      <c r="CC74" s="189">
        <f t="shared" si="277"/>
        <v>41.830909090909103</v>
      </c>
      <c r="CD74" s="189">
        <f t="shared" si="277"/>
        <v>35.24</v>
      </c>
      <c r="CE74" s="189">
        <f t="shared" si="277"/>
        <v>33.978181818181802</v>
      </c>
      <c r="CF74" s="189">
        <f t="shared" si="277"/>
        <v>34.307272727272696</v>
      </c>
      <c r="CG74" s="189">
        <f t="shared" si="277"/>
        <v>32.003636363636353</v>
      </c>
      <c r="CH74" s="189">
        <f t="shared" si="277"/>
        <v>32.745454545454535</v>
      </c>
      <c r="CI74" s="189">
        <f t="shared" si="277"/>
        <v>32.330909090909095</v>
      </c>
      <c r="CJ74" s="189">
        <f t="shared" si="277"/>
        <v>32.421818181818168</v>
      </c>
      <c r="CK74" s="189">
        <f t="shared" si="277"/>
        <v>34.259393939394002</v>
      </c>
      <c r="CL74" s="189">
        <f>SUM(BZ74:CK74)</f>
        <v>430.57575757575745</v>
      </c>
      <c r="CM74" s="189"/>
      <c r="CN74" s="189"/>
    </row>
    <row r="75" spans="1:92">
      <c r="A75" s="172" t="s">
        <v>150</v>
      </c>
      <c r="B75" s="172"/>
      <c r="C75" s="173" t="e">
        <f t="shared" si="231"/>
        <v>#DIV/0!</v>
      </c>
      <c r="D75" s="173" t="e">
        <f t="shared" si="232"/>
        <v>#DIV/0!</v>
      </c>
      <c r="E75" s="173" t="e">
        <f t="shared" si="233"/>
        <v>#DIV/0!</v>
      </c>
      <c r="F75" s="173" t="e">
        <f t="shared" si="234"/>
        <v>#DIV/0!</v>
      </c>
      <c r="G75" s="173" t="e">
        <f t="shared" si="235"/>
        <v>#DIV/0!</v>
      </c>
      <c r="H75" s="173" t="e">
        <f t="shared" si="236"/>
        <v>#DIV/0!</v>
      </c>
      <c r="I75" s="173" t="e">
        <f t="shared" si="237"/>
        <v>#DIV/0!</v>
      </c>
      <c r="J75" s="173" t="e">
        <f t="shared" si="238"/>
        <v>#DIV/0!</v>
      </c>
      <c r="K75" s="173" t="e">
        <f t="shared" si="239"/>
        <v>#DIV/0!</v>
      </c>
      <c r="L75" s="173" t="e">
        <f t="shared" si="240"/>
        <v>#DIV/0!</v>
      </c>
      <c r="M75" s="173" t="e">
        <f t="shared" si="241"/>
        <v>#DIV/0!</v>
      </c>
      <c r="N75" s="173" t="e">
        <f t="shared" si="242"/>
        <v>#DIV/0!</v>
      </c>
      <c r="O75" s="173" t="e">
        <f t="shared" si="243"/>
        <v>#DIV/0!</v>
      </c>
      <c r="P75" s="173"/>
      <c r="Q75" s="173"/>
      <c r="S75" s="172" t="s">
        <v>150</v>
      </c>
      <c r="T75" s="172"/>
      <c r="U75" s="173" t="e">
        <f t="shared" si="244"/>
        <v>#DIV/0!</v>
      </c>
      <c r="V75" s="173" t="e">
        <f t="shared" si="245"/>
        <v>#DIV/0!</v>
      </c>
      <c r="W75" s="173" t="e">
        <f t="shared" si="246"/>
        <v>#DIV/0!</v>
      </c>
      <c r="X75" s="173" t="e">
        <f t="shared" si="247"/>
        <v>#DIV/0!</v>
      </c>
      <c r="Y75" s="173" t="e">
        <f t="shared" si="248"/>
        <v>#DIV/0!</v>
      </c>
      <c r="Z75" s="173" t="e">
        <f t="shared" si="249"/>
        <v>#DIV/0!</v>
      </c>
      <c r="AA75" s="173" t="e">
        <f t="shared" si="250"/>
        <v>#DIV/0!</v>
      </c>
      <c r="AB75" s="173" t="e">
        <f t="shared" si="251"/>
        <v>#DIV/0!</v>
      </c>
      <c r="AC75" s="173" t="e">
        <f t="shared" si="252"/>
        <v>#DIV/0!</v>
      </c>
      <c r="AD75" s="173" t="e">
        <f t="shared" si="253"/>
        <v>#DIV/0!</v>
      </c>
      <c r="AE75" s="173" t="e">
        <f t="shared" si="254"/>
        <v>#DIV/0!</v>
      </c>
      <c r="AF75" s="173" t="e">
        <f t="shared" si="255"/>
        <v>#DIV/0!</v>
      </c>
      <c r="AG75" s="173" t="e">
        <f t="shared" si="256"/>
        <v>#DIV/0!</v>
      </c>
      <c r="AH75" s="173"/>
      <c r="AI75" s="173"/>
      <c r="AK75" s="172" t="s">
        <v>150</v>
      </c>
      <c r="AL75" s="172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C75" s="172" t="s">
        <v>150</v>
      </c>
      <c r="BD75" s="172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X75" s="190" t="s">
        <v>150</v>
      </c>
      <c r="BY75" s="190"/>
      <c r="BZ75" s="191"/>
      <c r="CA75" s="191"/>
      <c r="CB75" s="191"/>
      <c r="CC75" s="191"/>
      <c r="CD75" s="191"/>
      <c r="CE75" s="191"/>
      <c r="CF75" s="191"/>
      <c r="CG75" s="191"/>
      <c r="CH75" s="191"/>
      <c r="CI75" s="191"/>
      <c r="CJ75" s="191"/>
      <c r="CK75" s="191"/>
      <c r="CL75" s="191"/>
      <c r="CM75" s="191"/>
      <c r="CN75" s="191"/>
    </row>
    <row r="76" spans="1:92">
      <c r="A76" s="65" t="s">
        <v>151</v>
      </c>
      <c r="B76" s="65" t="s">
        <v>260</v>
      </c>
      <c r="C76" s="69" t="e">
        <f t="shared" si="231"/>
        <v>#DIV/0!</v>
      </c>
      <c r="D76" s="69" t="e">
        <f t="shared" si="232"/>
        <v>#DIV/0!</v>
      </c>
      <c r="E76" s="69" t="e">
        <f t="shared" si="233"/>
        <v>#DIV/0!</v>
      </c>
      <c r="F76" s="69" t="e">
        <f t="shared" si="234"/>
        <v>#DIV/0!</v>
      </c>
      <c r="G76" s="69" t="e">
        <f t="shared" si="235"/>
        <v>#DIV/0!</v>
      </c>
      <c r="H76" s="69" t="e">
        <f t="shared" si="236"/>
        <v>#DIV/0!</v>
      </c>
      <c r="I76" s="69" t="e">
        <f t="shared" si="237"/>
        <v>#DIV/0!</v>
      </c>
      <c r="J76" s="69" t="e">
        <f t="shared" si="238"/>
        <v>#DIV/0!</v>
      </c>
      <c r="K76" s="69" t="e">
        <f t="shared" si="239"/>
        <v>#DIV/0!</v>
      </c>
      <c r="L76" s="69" t="e">
        <f t="shared" si="240"/>
        <v>#DIV/0!</v>
      </c>
      <c r="M76" s="69" t="e">
        <f t="shared" si="241"/>
        <v>#DIV/0!</v>
      </c>
      <c r="N76" s="69" t="e">
        <f t="shared" si="242"/>
        <v>#DIV/0!</v>
      </c>
      <c r="O76" s="69" t="e">
        <f t="shared" si="243"/>
        <v>#DIV/0!</v>
      </c>
      <c r="S76" s="65" t="s">
        <v>151</v>
      </c>
      <c r="T76" s="65" t="s">
        <v>260</v>
      </c>
      <c r="U76" s="69" t="e">
        <f t="shared" si="244"/>
        <v>#DIV/0!</v>
      </c>
      <c r="V76" s="69" t="e">
        <f t="shared" si="245"/>
        <v>#DIV/0!</v>
      </c>
      <c r="W76" s="69" t="e">
        <f t="shared" si="246"/>
        <v>#DIV/0!</v>
      </c>
      <c r="X76" s="69" t="e">
        <f t="shared" si="247"/>
        <v>#DIV/0!</v>
      </c>
      <c r="Y76" s="69" t="e">
        <f t="shared" si="248"/>
        <v>#DIV/0!</v>
      </c>
      <c r="Z76" s="69" t="e">
        <f t="shared" si="249"/>
        <v>#DIV/0!</v>
      </c>
      <c r="AA76" s="69" t="e">
        <f t="shared" si="250"/>
        <v>#DIV/0!</v>
      </c>
      <c r="AB76" s="69" t="e">
        <f t="shared" si="251"/>
        <v>#DIV/0!</v>
      </c>
      <c r="AC76" s="69" t="e">
        <f t="shared" si="252"/>
        <v>#DIV/0!</v>
      </c>
      <c r="AD76" s="69" t="e">
        <f t="shared" si="253"/>
        <v>#DIV/0!</v>
      </c>
      <c r="AE76" s="69" t="e">
        <f t="shared" si="254"/>
        <v>#DIV/0!</v>
      </c>
      <c r="AF76" s="69" t="e">
        <f t="shared" si="255"/>
        <v>#DIV/0!</v>
      </c>
      <c r="AG76" s="69" t="e">
        <f t="shared" si="256"/>
        <v>#DIV/0!</v>
      </c>
      <c r="AK76" s="65" t="s">
        <v>151</v>
      </c>
      <c r="AL76" s="65" t="s">
        <v>260</v>
      </c>
      <c r="AM76" s="69" t="e">
        <f t="shared" ref="AM76:AX76" si="278">AM15/AM48</f>
        <v>#DIV/0!</v>
      </c>
      <c r="AN76" s="69" t="e">
        <f t="shared" si="278"/>
        <v>#DIV/0!</v>
      </c>
      <c r="AO76" s="69" t="e">
        <f t="shared" si="278"/>
        <v>#DIV/0!</v>
      </c>
      <c r="AP76" s="69" t="e">
        <f t="shared" si="278"/>
        <v>#DIV/0!</v>
      </c>
      <c r="AQ76" s="69" t="e">
        <f t="shared" si="278"/>
        <v>#DIV/0!</v>
      </c>
      <c r="AR76" s="69" t="e">
        <f t="shared" si="278"/>
        <v>#DIV/0!</v>
      </c>
      <c r="AS76" s="69" t="e">
        <f t="shared" si="278"/>
        <v>#DIV/0!</v>
      </c>
      <c r="AT76" s="69" t="e">
        <f t="shared" si="278"/>
        <v>#DIV/0!</v>
      </c>
      <c r="AU76" s="69" t="e">
        <f t="shared" si="278"/>
        <v>#DIV/0!</v>
      </c>
      <c r="AV76" s="69" t="e">
        <f t="shared" si="278"/>
        <v>#DIV/0!</v>
      </c>
      <c r="AW76" s="69" t="e">
        <f t="shared" si="278"/>
        <v>#DIV/0!</v>
      </c>
      <c r="AX76" s="69" t="e">
        <f t="shared" si="278"/>
        <v>#DIV/0!</v>
      </c>
      <c r="AY76" s="69" t="e">
        <f t="shared" ref="AY76:AY79" si="279">SUM(AM76:AX76)</f>
        <v>#DIV/0!</v>
      </c>
      <c r="BC76" s="65" t="s">
        <v>151</v>
      </c>
      <c r="BD76" s="65" t="s">
        <v>260</v>
      </c>
      <c r="BE76" s="69">
        <f>客単価!F21/12</f>
        <v>10</v>
      </c>
      <c r="BF76" s="69">
        <f t="shared" si="262"/>
        <v>10</v>
      </c>
      <c r="BG76" s="69">
        <f t="shared" si="262"/>
        <v>10</v>
      </c>
      <c r="BH76" s="69">
        <f t="shared" si="262"/>
        <v>10</v>
      </c>
      <c r="BI76" s="69">
        <f t="shared" si="262"/>
        <v>10</v>
      </c>
      <c r="BJ76" s="69">
        <f t="shared" si="262"/>
        <v>10</v>
      </c>
      <c r="BK76" s="69">
        <f t="shared" si="262"/>
        <v>10</v>
      </c>
      <c r="BL76" s="69">
        <f t="shared" si="262"/>
        <v>10</v>
      </c>
      <c r="BM76" s="69">
        <f t="shared" si="262"/>
        <v>10</v>
      </c>
      <c r="BN76" s="69">
        <f t="shared" si="262"/>
        <v>10</v>
      </c>
      <c r="BO76" s="69">
        <f t="shared" si="262"/>
        <v>10</v>
      </c>
      <c r="BP76" s="69">
        <f t="shared" si="262"/>
        <v>10</v>
      </c>
      <c r="BQ76" s="69">
        <f t="shared" si="263"/>
        <v>120</v>
      </c>
      <c r="BT76" s="69" t="s">
        <v>53</v>
      </c>
      <c r="BU76" s="65">
        <v>80</v>
      </c>
      <c r="BV76" s="65" t="s">
        <v>54</v>
      </c>
      <c r="BX76" s="65" t="s">
        <v>151</v>
      </c>
      <c r="BY76" s="65" t="s">
        <v>260</v>
      </c>
      <c r="BZ76" s="189" t="e">
        <f t="shared" ref="BZ76:CK76" si="280">BZ15/BZ48</f>
        <v>#DIV/0!</v>
      </c>
      <c r="CA76" s="189" t="e">
        <f t="shared" si="280"/>
        <v>#DIV/0!</v>
      </c>
      <c r="CB76" s="189" t="e">
        <f t="shared" si="280"/>
        <v>#DIV/0!</v>
      </c>
      <c r="CC76" s="189" t="e">
        <f t="shared" si="280"/>
        <v>#DIV/0!</v>
      </c>
      <c r="CD76" s="189" t="e">
        <f t="shared" si="280"/>
        <v>#DIV/0!</v>
      </c>
      <c r="CE76" s="189" t="e">
        <f t="shared" si="280"/>
        <v>#DIV/0!</v>
      </c>
      <c r="CF76" s="189" t="e">
        <f t="shared" si="280"/>
        <v>#DIV/0!</v>
      </c>
      <c r="CG76" s="189" t="e">
        <f t="shared" si="280"/>
        <v>#DIV/0!</v>
      </c>
      <c r="CH76" s="189" t="e">
        <f t="shared" si="280"/>
        <v>#DIV/0!</v>
      </c>
      <c r="CI76" s="189" t="e">
        <f t="shared" si="280"/>
        <v>#DIV/0!</v>
      </c>
      <c r="CJ76" s="189" t="e">
        <f t="shared" si="280"/>
        <v>#DIV/0!</v>
      </c>
      <c r="CK76" s="189" t="e">
        <f t="shared" si="280"/>
        <v>#DIV/0!</v>
      </c>
      <c r="CL76" s="189" t="e">
        <f>SUM(BZ76:CK76)</f>
        <v>#DIV/0!</v>
      </c>
      <c r="CM76" s="189"/>
      <c r="CN76" s="189"/>
    </row>
    <row r="77" spans="1:92">
      <c r="A77" s="175" t="s">
        <v>151</v>
      </c>
      <c r="B77" s="65" t="s">
        <v>24</v>
      </c>
      <c r="C77" s="69" t="e">
        <f t="shared" si="231"/>
        <v>#DIV/0!</v>
      </c>
      <c r="D77" s="69" t="e">
        <f t="shared" si="232"/>
        <v>#DIV/0!</v>
      </c>
      <c r="E77" s="69" t="e">
        <f t="shared" si="233"/>
        <v>#DIV/0!</v>
      </c>
      <c r="F77" s="69" t="e">
        <f t="shared" si="234"/>
        <v>#DIV/0!</v>
      </c>
      <c r="G77" s="69">
        <f t="shared" si="235"/>
        <v>5.576933801795772E-2</v>
      </c>
      <c r="H77" s="69" t="e">
        <f t="shared" si="236"/>
        <v>#DIV/0!</v>
      </c>
      <c r="I77" s="69" t="e">
        <f t="shared" si="237"/>
        <v>#DIV/0!</v>
      </c>
      <c r="J77" s="69" t="e">
        <f t="shared" si="238"/>
        <v>#DIV/0!</v>
      </c>
      <c r="K77" s="69" t="e">
        <f t="shared" si="239"/>
        <v>#DIV/0!</v>
      </c>
      <c r="L77" s="69" t="e">
        <f t="shared" si="240"/>
        <v>#DIV/0!</v>
      </c>
      <c r="M77" s="69" t="e">
        <f t="shared" si="241"/>
        <v>#DIV/0!</v>
      </c>
      <c r="N77" s="69" t="e">
        <f t="shared" si="242"/>
        <v>#DIV/0!</v>
      </c>
      <c r="O77" s="69" t="e">
        <f t="shared" si="243"/>
        <v>#DIV/0!</v>
      </c>
      <c r="S77" s="175" t="s">
        <v>151</v>
      </c>
      <c r="T77" s="65" t="s">
        <v>24</v>
      </c>
      <c r="U77" s="69" t="e">
        <f t="shared" si="244"/>
        <v>#DIV/0!</v>
      </c>
      <c r="V77" s="69" t="e">
        <f t="shared" si="245"/>
        <v>#DIV/0!</v>
      </c>
      <c r="W77" s="69" t="e">
        <f t="shared" si="246"/>
        <v>#DIV/0!</v>
      </c>
      <c r="X77" s="69" t="e">
        <f t="shared" si="247"/>
        <v>#DIV/0!</v>
      </c>
      <c r="Y77" s="69">
        <f t="shared" si="248"/>
        <v>1.9711672522447157</v>
      </c>
      <c r="Z77" s="69">
        <f t="shared" si="249"/>
        <v>0</v>
      </c>
      <c r="AA77" s="69">
        <f t="shared" si="250"/>
        <v>0</v>
      </c>
      <c r="AB77" s="69" t="e">
        <f t="shared" si="251"/>
        <v>#DIV/0!</v>
      </c>
      <c r="AC77" s="69" t="e">
        <f t="shared" si="252"/>
        <v>#DIV/0!</v>
      </c>
      <c r="AD77" s="69" t="e">
        <f t="shared" si="253"/>
        <v>#DIV/0!</v>
      </c>
      <c r="AE77" s="69" t="e">
        <f t="shared" si="254"/>
        <v>#DIV/0!</v>
      </c>
      <c r="AF77" s="69" t="e">
        <f t="shared" si="255"/>
        <v>#DIV/0!</v>
      </c>
      <c r="AG77" s="69" t="e">
        <f t="shared" si="256"/>
        <v>#DIV/0!</v>
      </c>
      <c r="AK77" s="175" t="s">
        <v>151</v>
      </c>
      <c r="AL77" s="65" t="s">
        <v>24</v>
      </c>
      <c r="AM77" s="69" t="e">
        <f t="shared" ref="AM77:AX77" si="281">AM16/AM49</f>
        <v>#DIV/0!</v>
      </c>
      <c r="AN77" s="69" t="e">
        <f t="shared" si="281"/>
        <v>#DIV/0!</v>
      </c>
      <c r="AO77" s="69" t="e">
        <f t="shared" si="281"/>
        <v>#DIV/0!</v>
      </c>
      <c r="AP77" s="69" t="e">
        <f t="shared" si="281"/>
        <v>#DIV/0!</v>
      </c>
      <c r="AQ77" s="69">
        <f t="shared" si="281"/>
        <v>35.344999999999999</v>
      </c>
      <c r="AR77" s="69">
        <f t="shared" si="281"/>
        <v>0</v>
      </c>
      <c r="AS77" s="69">
        <f t="shared" si="281"/>
        <v>0</v>
      </c>
      <c r="AT77" s="69" t="e">
        <f t="shared" si="281"/>
        <v>#DIV/0!</v>
      </c>
      <c r="AU77" s="69" t="e">
        <f t="shared" si="281"/>
        <v>#DIV/0!</v>
      </c>
      <c r="AV77" s="69" t="e">
        <f t="shared" si="281"/>
        <v>#DIV/0!</v>
      </c>
      <c r="AW77" s="69" t="e">
        <f t="shared" si="281"/>
        <v>#DIV/0!</v>
      </c>
      <c r="AX77" s="69" t="e">
        <f t="shared" si="281"/>
        <v>#DIV/0!</v>
      </c>
      <c r="AY77" s="69" t="e">
        <f t="shared" si="279"/>
        <v>#DIV/0!</v>
      </c>
      <c r="BC77" s="175" t="s">
        <v>151</v>
      </c>
      <c r="BD77" s="65" t="s">
        <v>24</v>
      </c>
      <c r="BE77" s="69">
        <f>客単価!F22/12</f>
        <v>17.931000000000001</v>
      </c>
      <c r="BF77" s="69">
        <f t="shared" si="262"/>
        <v>17.931000000000001</v>
      </c>
      <c r="BG77" s="69">
        <f t="shared" si="262"/>
        <v>17.931000000000001</v>
      </c>
      <c r="BH77" s="69">
        <f t="shared" si="262"/>
        <v>17.931000000000001</v>
      </c>
      <c r="BI77" s="69">
        <f t="shared" si="262"/>
        <v>17.931000000000001</v>
      </c>
      <c r="BJ77" s="69">
        <f t="shared" si="262"/>
        <v>17.931000000000001</v>
      </c>
      <c r="BK77" s="69">
        <f t="shared" si="262"/>
        <v>17.931000000000001</v>
      </c>
      <c r="BL77" s="69">
        <f t="shared" si="262"/>
        <v>17.931000000000001</v>
      </c>
      <c r="BM77" s="69">
        <f>BL77</f>
        <v>17.931000000000001</v>
      </c>
      <c r="BN77" s="69">
        <f t="shared" si="262"/>
        <v>17.931000000000001</v>
      </c>
      <c r="BO77" s="69">
        <f t="shared" si="262"/>
        <v>17.931000000000001</v>
      </c>
      <c r="BP77" s="69">
        <f t="shared" si="262"/>
        <v>17.931000000000001</v>
      </c>
      <c r="BQ77" s="69">
        <f t="shared" si="263"/>
        <v>215.17200000000005</v>
      </c>
      <c r="BT77" s="69" t="s">
        <v>55</v>
      </c>
      <c r="BU77" s="65">
        <v>250</v>
      </c>
      <c r="BV77" s="65" t="s">
        <v>56</v>
      </c>
      <c r="BX77" s="196" t="s">
        <v>151</v>
      </c>
      <c r="BY77" s="65" t="s">
        <v>24</v>
      </c>
      <c r="BZ77" s="189" t="e">
        <f t="shared" ref="BZ77:CK77" si="282">BZ16/BZ49</f>
        <v>#DIV/0!</v>
      </c>
      <c r="CA77" s="189" t="e">
        <f t="shared" si="282"/>
        <v>#DIV/0!</v>
      </c>
      <c r="CB77" s="189" t="e">
        <f t="shared" si="282"/>
        <v>#DIV/0!</v>
      </c>
      <c r="CC77" s="189" t="e">
        <f t="shared" si="282"/>
        <v>#DIV/0!</v>
      </c>
      <c r="CD77" s="189" t="e">
        <f t="shared" si="282"/>
        <v>#DIV/0!</v>
      </c>
      <c r="CE77" s="189" t="e">
        <f t="shared" si="282"/>
        <v>#DIV/0!</v>
      </c>
      <c r="CF77" s="189" t="e">
        <f t="shared" si="282"/>
        <v>#DIV/0!</v>
      </c>
      <c r="CG77" s="189" t="e">
        <f t="shared" si="282"/>
        <v>#DIV/0!</v>
      </c>
      <c r="CH77" s="189" t="e">
        <f t="shared" si="282"/>
        <v>#DIV/0!</v>
      </c>
      <c r="CI77" s="189" t="e">
        <f t="shared" si="282"/>
        <v>#DIV/0!</v>
      </c>
      <c r="CJ77" s="189" t="e">
        <f t="shared" si="282"/>
        <v>#DIV/0!</v>
      </c>
      <c r="CK77" s="189" t="e">
        <f t="shared" si="282"/>
        <v>#DIV/0!</v>
      </c>
      <c r="CL77" s="189" t="e">
        <f>SUM(BZ77:CK77)</f>
        <v>#DIV/0!</v>
      </c>
      <c r="CM77" s="189"/>
      <c r="CN77" s="189"/>
    </row>
    <row r="78" spans="1:92">
      <c r="A78" s="175" t="s">
        <v>151</v>
      </c>
      <c r="B78" s="65" t="s">
        <v>262</v>
      </c>
      <c r="C78" s="69" t="e">
        <f t="shared" si="231"/>
        <v>#DIV/0!</v>
      </c>
      <c r="D78" s="69" t="e">
        <f t="shared" si="232"/>
        <v>#DIV/0!</v>
      </c>
      <c r="E78" s="69" t="e">
        <f t="shared" si="233"/>
        <v>#DIV/0!</v>
      </c>
      <c r="F78" s="69" t="e">
        <f t="shared" si="234"/>
        <v>#DIV/0!</v>
      </c>
      <c r="G78" s="69" t="e">
        <f t="shared" si="235"/>
        <v>#DIV/0!</v>
      </c>
      <c r="H78" s="69" t="e">
        <f t="shared" si="236"/>
        <v>#DIV/0!</v>
      </c>
      <c r="I78" s="69" t="e">
        <f t="shared" si="237"/>
        <v>#DIV/0!</v>
      </c>
      <c r="J78" s="69" t="e">
        <f t="shared" si="238"/>
        <v>#DIV/0!</v>
      </c>
      <c r="K78" s="69" t="e">
        <f t="shared" si="239"/>
        <v>#DIV/0!</v>
      </c>
      <c r="L78" s="69" t="e">
        <f t="shared" si="240"/>
        <v>#DIV/0!</v>
      </c>
      <c r="M78" s="69" t="e">
        <f t="shared" si="241"/>
        <v>#DIV/0!</v>
      </c>
      <c r="N78" s="69" t="e">
        <f t="shared" si="242"/>
        <v>#DIV/0!</v>
      </c>
      <c r="O78" s="69" t="e">
        <f t="shared" si="243"/>
        <v>#DIV/0!</v>
      </c>
      <c r="S78" s="175" t="s">
        <v>151</v>
      </c>
      <c r="T78" s="65" t="s">
        <v>262</v>
      </c>
      <c r="U78" s="69" t="e">
        <f t="shared" si="244"/>
        <v>#DIV/0!</v>
      </c>
      <c r="V78" s="69" t="e">
        <f t="shared" si="245"/>
        <v>#DIV/0!</v>
      </c>
      <c r="W78" s="69" t="e">
        <f t="shared" si="246"/>
        <v>#DIV/0!</v>
      </c>
      <c r="X78" s="69" t="e">
        <f t="shared" si="247"/>
        <v>#DIV/0!</v>
      </c>
      <c r="Y78" s="69" t="e">
        <f t="shared" si="248"/>
        <v>#DIV/0!</v>
      </c>
      <c r="Z78" s="69" t="e">
        <f t="shared" si="249"/>
        <v>#DIV/0!</v>
      </c>
      <c r="AA78" s="69" t="e">
        <f t="shared" si="250"/>
        <v>#DIV/0!</v>
      </c>
      <c r="AB78" s="69" t="e">
        <f t="shared" si="251"/>
        <v>#DIV/0!</v>
      </c>
      <c r="AC78" s="69" t="e">
        <f t="shared" si="252"/>
        <v>#DIV/0!</v>
      </c>
      <c r="AD78" s="69" t="e">
        <f t="shared" si="253"/>
        <v>#DIV/0!</v>
      </c>
      <c r="AE78" s="69" t="e">
        <f t="shared" si="254"/>
        <v>#DIV/0!</v>
      </c>
      <c r="AF78" s="69" t="e">
        <f t="shared" si="255"/>
        <v>#DIV/0!</v>
      </c>
      <c r="AG78" s="69" t="e">
        <f t="shared" si="256"/>
        <v>#DIV/0!</v>
      </c>
      <c r="AK78" s="175" t="s">
        <v>151</v>
      </c>
      <c r="AL78" s="65" t="s">
        <v>262</v>
      </c>
      <c r="AM78" s="69" t="e">
        <f t="shared" ref="AM78:AX78" si="283">AM17/AM50</f>
        <v>#DIV/0!</v>
      </c>
      <c r="AN78" s="69" t="e">
        <f t="shared" si="283"/>
        <v>#DIV/0!</v>
      </c>
      <c r="AO78" s="69" t="e">
        <f t="shared" si="283"/>
        <v>#DIV/0!</v>
      </c>
      <c r="AP78" s="69" t="e">
        <f t="shared" si="283"/>
        <v>#DIV/0!</v>
      </c>
      <c r="AQ78" s="69" t="e">
        <f t="shared" si="283"/>
        <v>#DIV/0!</v>
      </c>
      <c r="AR78" s="69" t="e">
        <f t="shared" si="283"/>
        <v>#DIV/0!</v>
      </c>
      <c r="AS78" s="69" t="e">
        <f t="shared" si="283"/>
        <v>#DIV/0!</v>
      </c>
      <c r="AT78" s="69" t="e">
        <f t="shared" si="283"/>
        <v>#DIV/0!</v>
      </c>
      <c r="AU78" s="69" t="e">
        <f t="shared" si="283"/>
        <v>#DIV/0!</v>
      </c>
      <c r="AV78" s="69" t="e">
        <f t="shared" si="283"/>
        <v>#DIV/0!</v>
      </c>
      <c r="AW78" s="69" t="e">
        <f t="shared" si="283"/>
        <v>#DIV/0!</v>
      </c>
      <c r="AX78" s="69" t="e">
        <f t="shared" si="283"/>
        <v>#DIV/0!</v>
      </c>
      <c r="AY78" s="69" t="e">
        <f t="shared" si="279"/>
        <v>#DIV/0!</v>
      </c>
      <c r="BC78" s="175" t="s">
        <v>151</v>
      </c>
      <c r="BD78" s="65" t="s">
        <v>262</v>
      </c>
      <c r="BE78" s="69">
        <f>客単価!F23/12</f>
        <v>17.931000000000001</v>
      </c>
      <c r="BF78" s="69">
        <f t="shared" si="262"/>
        <v>17.931000000000001</v>
      </c>
      <c r="BG78" s="69">
        <f t="shared" si="262"/>
        <v>17.931000000000001</v>
      </c>
      <c r="BH78" s="69">
        <f t="shared" si="262"/>
        <v>17.931000000000001</v>
      </c>
      <c r="BI78" s="69">
        <f t="shared" si="262"/>
        <v>17.931000000000001</v>
      </c>
      <c r="BJ78" s="69">
        <f t="shared" si="262"/>
        <v>17.931000000000001</v>
      </c>
      <c r="BK78" s="212">
        <f>BK73/2</f>
        <v>26</v>
      </c>
      <c r="BL78" s="69">
        <f t="shared" si="262"/>
        <v>26</v>
      </c>
      <c r="BM78" s="69">
        <f t="shared" si="262"/>
        <v>26</v>
      </c>
      <c r="BN78" s="69">
        <f t="shared" si="262"/>
        <v>26</v>
      </c>
      <c r="BO78" s="69">
        <f t="shared" si="262"/>
        <v>26</v>
      </c>
      <c r="BP78" s="69">
        <f t="shared" si="262"/>
        <v>26</v>
      </c>
      <c r="BQ78" s="69">
        <f t="shared" si="263"/>
        <v>263.58600000000001</v>
      </c>
      <c r="BT78" s="69" t="s">
        <v>58</v>
      </c>
      <c r="BX78" s="196" t="s">
        <v>151</v>
      </c>
      <c r="BY78" s="65" t="s">
        <v>262</v>
      </c>
      <c r="BZ78" s="189" t="e">
        <f t="shared" ref="BZ78:CK78" si="284">BZ17/BZ50</f>
        <v>#DIV/0!</v>
      </c>
      <c r="CA78" s="189" t="e">
        <f t="shared" si="284"/>
        <v>#DIV/0!</v>
      </c>
      <c r="CB78" s="189" t="e">
        <f t="shared" si="284"/>
        <v>#DIV/0!</v>
      </c>
      <c r="CC78" s="189" t="e">
        <f t="shared" si="284"/>
        <v>#DIV/0!</v>
      </c>
      <c r="CD78" s="189" t="e">
        <f t="shared" si="284"/>
        <v>#DIV/0!</v>
      </c>
      <c r="CE78" s="189" t="e">
        <f t="shared" si="284"/>
        <v>#DIV/0!</v>
      </c>
      <c r="CF78" s="189" t="e">
        <f t="shared" si="284"/>
        <v>#DIV/0!</v>
      </c>
      <c r="CG78" s="189" t="e">
        <f t="shared" si="284"/>
        <v>#DIV/0!</v>
      </c>
      <c r="CH78" s="189" t="e">
        <f t="shared" si="284"/>
        <v>#DIV/0!</v>
      </c>
      <c r="CI78" s="189" t="e">
        <f t="shared" si="284"/>
        <v>#DIV/0!</v>
      </c>
      <c r="CJ78" s="189" t="e">
        <f t="shared" si="284"/>
        <v>#DIV/0!</v>
      </c>
      <c r="CK78" s="189" t="e">
        <f t="shared" si="284"/>
        <v>#DIV/0!</v>
      </c>
      <c r="CL78" s="189" t="e">
        <f>SUM(BZ78:CK78)</f>
        <v>#DIV/0!</v>
      </c>
      <c r="CM78" s="189"/>
      <c r="CN78" s="189"/>
    </row>
    <row r="79" spans="1:92">
      <c r="A79" s="175" t="s">
        <v>151</v>
      </c>
      <c r="B79" s="65" t="s">
        <v>26</v>
      </c>
      <c r="C79" s="69" t="e">
        <f t="shared" si="231"/>
        <v>#DIV/0!</v>
      </c>
      <c r="D79" s="69" t="e">
        <f t="shared" si="232"/>
        <v>#DIV/0!</v>
      </c>
      <c r="E79" s="69" t="e">
        <f t="shared" si="233"/>
        <v>#DIV/0!</v>
      </c>
      <c r="F79" s="69" t="e">
        <f t="shared" si="234"/>
        <v>#DIV/0!</v>
      </c>
      <c r="G79" s="69" t="e">
        <f t="shared" si="235"/>
        <v>#DIV/0!</v>
      </c>
      <c r="H79" s="69" t="e">
        <f t="shared" si="236"/>
        <v>#DIV/0!</v>
      </c>
      <c r="I79" s="69" t="e">
        <f t="shared" si="237"/>
        <v>#DIV/0!</v>
      </c>
      <c r="J79" s="69" t="e">
        <f t="shared" si="238"/>
        <v>#DIV/0!</v>
      </c>
      <c r="K79" s="69" t="e">
        <f t="shared" si="239"/>
        <v>#DIV/0!</v>
      </c>
      <c r="L79" s="69" t="e">
        <f t="shared" si="240"/>
        <v>#DIV/0!</v>
      </c>
      <c r="M79" s="69" t="e">
        <f t="shared" si="241"/>
        <v>#DIV/0!</v>
      </c>
      <c r="N79" s="69" t="e">
        <f t="shared" si="242"/>
        <v>#DIV/0!</v>
      </c>
      <c r="O79" s="69" t="e">
        <f t="shared" si="243"/>
        <v>#DIV/0!</v>
      </c>
      <c r="S79" s="175" t="s">
        <v>151</v>
      </c>
      <c r="T79" s="65" t="s">
        <v>26</v>
      </c>
      <c r="U79" s="69" t="e">
        <f t="shared" si="244"/>
        <v>#DIV/0!</v>
      </c>
      <c r="V79" s="69" t="e">
        <f t="shared" si="245"/>
        <v>#DIV/0!</v>
      </c>
      <c r="W79" s="69" t="e">
        <f t="shared" si="246"/>
        <v>#DIV/0!</v>
      </c>
      <c r="X79" s="69" t="e">
        <f t="shared" si="247"/>
        <v>#DIV/0!</v>
      </c>
      <c r="Y79" s="69" t="e">
        <f t="shared" si="248"/>
        <v>#DIV/0!</v>
      </c>
      <c r="Z79" s="69" t="e">
        <f t="shared" si="249"/>
        <v>#DIV/0!</v>
      </c>
      <c r="AA79" s="69" t="e">
        <f t="shared" si="250"/>
        <v>#DIV/0!</v>
      </c>
      <c r="AB79" s="69" t="e">
        <f t="shared" si="251"/>
        <v>#DIV/0!</v>
      </c>
      <c r="AC79" s="69" t="e">
        <f t="shared" si="252"/>
        <v>#DIV/0!</v>
      </c>
      <c r="AD79" s="69" t="e">
        <f t="shared" si="253"/>
        <v>#DIV/0!</v>
      </c>
      <c r="AE79" s="69" t="e">
        <f t="shared" si="254"/>
        <v>#DIV/0!</v>
      </c>
      <c r="AF79" s="69" t="e">
        <f t="shared" si="255"/>
        <v>#DIV/0!</v>
      </c>
      <c r="AG79" s="69" t="e">
        <f t="shared" si="256"/>
        <v>#DIV/0!</v>
      </c>
      <c r="AK79" s="175" t="s">
        <v>151</v>
      </c>
      <c r="AL79" s="65" t="s">
        <v>26</v>
      </c>
      <c r="AM79" s="69" t="e">
        <f t="shared" ref="AM79:AX79" si="285">AM18/AM51</f>
        <v>#DIV/0!</v>
      </c>
      <c r="AN79" s="69" t="e">
        <f t="shared" si="285"/>
        <v>#DIV/0!</v>
      </c>
      <c r="AO79" s="69" t="e">
        <f t="shared" si="285"/>
        <v>#DIV/0!</v>
      </c>
      <c r="AP79" s="69" t="e">
        <f t="shared" si="285"/>
        <v>#DIV/0!</v>
      </c>
      <c r="AQ79" s="69" t="e">
        <f t="shared" si="285"/>
        <v>#DIV/0!</v>
      </c>
      <c r="AR79" s="69" t="e">
        <f t="shared" si="285"/>
        <v>#DIV/0!</v>
      </c>
      <c r="AS79" s="69" t="e">
        <f t="shared" si="285"/>
        <v>#DIV/0!</v>
      </c>
      <c r="AT79" s="69" t="e">
        <f t="shared" si="285"/>
        <v>#DIV/0!</v>
      </c>
      <c r="AU79" s="69" t="e">
        <f t="shared" si="285"/>
        <v>#DIV/0!</v>
      </c>
      <c r="AV79" s="69" t="e">
        <f t="shared" si="285"/>
        <v>#DIV/0!</v>
      </c>
      <c r="AW79" s="69" t="e">
        <f t="shared" si="285"/>
        <v>#DIV/0!</v>
      </c>
      <c r="AX79" s="69" t="e">
        <f t="shared" si="285"/>
        <v>#DIV/0!</v>
      </c>
      <c r="AY79" s="69" t="e">
        <f t="shared" si="279"/>
        <v>#DIV/0!</v>
      </c>
      <c r="BC79" s="175" t="s">
        <v>151</v>
      </c>
      <c r="BD79" s="65" t="s">
        <v>26</v>
      </c>
      <c r="BE79" s="69">
        <f>客単価!F24/12</f>
        <v>27.6965</v>
      </c>
      <c r="BF79" s="69">
        <f t="shared" si="262"/>
        <v>27.6965</v>
      </c>
      <c r="BG79" s="69">
        <f t="shared" si="262"/>
        <v>27.6965</v>
      </c>
      <c r="BH79" s="69">
        <f t="shared" si="262"/>
        <v>27.6965</v>
      </c>
      <c r="BI79" s="69">
        <f t="shared" si="262"/>
        <v>27.6965</v>
      </c>
      <c r="BJ79" s="69">
        <f t="shared" si="262"/>
        <v>27.6965</v>
      </c>
      <c r="BK79" s="69">
        <f t="shared" si="262"/>
        <v>27.6965</v>
      </c>
      <c r="BL79" s="69">
        <f t="shared" si="262"/>
        <v>27.6965</v>
      </c>
      <c r="BM79" s="69">
        <f t="shared" si="262"/>
        <v>27.6965</v>
      </c>
      <c r="BN79" s="69">
        <f t="shared" si="262"/>
        <v>27.6965</v>
      </c>
      <c r="BO79" s="69">
        <f t="shared" si="262"/>
        <v>27.6965</v>
      </c>
      <c r="BP79" s="69">
        <f t="shared" si="262"/>
        <v>27.6965</v>
      </c>
      <c r="BQ79" s="69">
        <f t="shared" si="263"/>
        <v>332.35800000000012</v>
      </c>
      <c r="BX79" s="196" t="s">
        <v>151</v>
      </c>
      <c r="BY79" s="65" t="s">
        <v>26</v>
      </c>
      <c r="BZ79" s="189" t="e">
        <f t="shared" ref="BZ79:CK79" si="286">BZ18/BZ51</f>
        <v>#DIV/0!</v>
      </c>
      <c r="CA79" s="189" t="e">
        <f t="shared" si="286"/>
        <v>#DIV/0!</v>
      </c>
      <c r="CB79" s="189" t="e">
        <f t="shared" si="286"/>
        <v>#DIV/0!</v>
      </c>
      <c r="CC79" s="189" t="e">
        <f t="shared" si="286"/>
        <v>#DIV/0!</v>
      </c>
      <c r="CD79" s="189" t="e">
        <f t="shared" si="286"/>
        <v>#DIV/0!</v>
      </c>
      <c r="CE79" s="189" t="e">
        <f t="shared" si="286"/>
        <v>#DIV/0!</v>
      </c>
      <c r="CF79" s="189" t="e">
        <f t="shared" si="286"/>
        <v>#DIV/0!</v>
      </c>
      <c r="CG79" s="189" t="e">
        <f t="shared" si="286"/>
        <v>#DIV/0!</v>
      </c>
      <c r="CH79" s="189" t="e">
        <f t="shared" si="286"/>
        <v>#DIV/0!</v>
      </c>
      <c r="CI79" s="189" t="e">
        <f t="shared" si="286"/>
        <v>#DIV/0!</v>
      </c>
      <c r="CJ79" s="189" t="e">
        <f t="shared" si="286"/>
        <v>#DIV/0!</v>
      </c>
      <c r="CK79" s="189" t="e">
        <f t="shared" si="286"/>
        <v>#DIV/0!</v>
      </c>
      <c r="CL79" s="189" t="e">
        <f>SUM(BZ79:CK79)</f>
        <v>#DIV/0!</v>
      </c>
      <c r="CM79" s="189"/>
      <c r="CN79" s="189"/>
    </row>
    <row r="80" spans="1:92">
      <c r="A80" s="172" t="s">
        <v>151</v>
      </c>
      <c r="B80" s="172" t="s">
        <v>162</v>
      </c>
      <c r="C80" s="173" t="e">
        <f t="shared" si="231"/>
        <v>#DIV/0!</v>
      </c>
      <c r="D80" s="173" t="e">
        <f t="shared" si="232"/>
        <v>#DIV/0!</v>
      </c>
      <c r="E80" s="173" t="e">
        <f t="shared" si="233"/>
        <v>#DIV/0!</v>
      </c>
      <c r="F80" s="173" t="e">
        <f t="shared" si="234"/>
        <v>#DIV/0!</v>
      </c>
      <c r="G80" s="173" t="e">
        <f t="shared" si="235"/>
        <v>#DIV/0!</v>
      </c>
      <c r="H80" s="173" t="e">
        <f t="shared" si="236"/>
        <v>#DIV/0!</v>
      </c>
      <c r="I80" s="173" t="e">
        <f t="shared" si="237"/>
        <v>#DIV/0!</v>
      </c>
      <c r="J80" s="173" t="e">
        <f t="shared" si="238"/>
        <v>#DIV/0!</v>
      </c>
      <c r="K80" s="173" t="e">
        <f t="shared" si="239"/>
        <v>#DIV/0!</v>
      </c>
      <c r="L80" s="173" t="e">
        <f t="shared" si="240"/>
        <v>#DIV/0!</v>
      </c>
      <c r="M80" s="173" t="e">
        <f t="shared" si="241"/>
        <v>#DIV/0!</v>
      </c>
      <c r="N80" s="173" t="e">
        <f t="shared" si="242"/>
        <v>#DIV/0!</v>
      </c>
      <c r="O80" s="173" t="e">
        <f t="shared" si="243"/>
        <v>#DIV/0!</v>
      </c>
      <c r="P80" s="173"/>
      <c r="Q80" s="173"/>
      <c r="S80" s="172" t="s">
        <v>151</v>
      </c>
      <c r="T80" s="172" t="s">
        <v>162</v>
      </c>
      <c r="U80" s="173" t="e">
        <f t="shared" si="244"/>
        <v>#DIV/0!</v>
      </c>
      <c r="V80" s="173" t="e">
        <f t="shared" si="245"/>
        <v>#DIV/0!</v>
      </c>
      <c r="W80" s="173" t="e">
        <f t="shared" si="246"/>
        <v>#DIV/0!</v>
      </c>
      <c r="X80" s="173" t="e">
        <f t="shared" si="247"/>
        <v>#DIV/0!</v>
      </c>
      <c r="Y80" s="173" t="e">
        <f t="shared" si="248"/>
        <v>#DIV/0!</v>
      </c>
      <c r="Z80" s="173" t="e">
        <f t="shared" si="249"/>
        <v>#DIV/0!</v>
      </c>
      <c r="AA80" s="173" t="e">
        <f t="shared" si="250"/>
        <v>#DIV/0!</v>
      </c>
      <c r="AB80" s="173" t="e">
        <f t="shared" si="251"/>
        <v>#DIV/0!</v>
      </c>
      <c r="AC80" s="173" t="e">
        <f t="shared" si="252"/>
        <v>#DIV/0!</v>
      </c>
      <c r="AD80" s="173" t="e">
        <f t="shared" si="253"/>
        <v>#DIV/0!</v>
      </c>
      <c r="AE80" s="173" t="e">
        <f t="shared" si="254"/>
        <v>#DIV/0!</v>
      </c>
      <c r="AF80" s="173" t="e">
        <f t="shared" si="255"/>
        <v>#DIV/0!</v>
      </c>
      <c r="AG80" s="173" t="e">
        <f t="shared" si="256"/>
        <v>#DIV/0!</v>
      </c>
      <c r="AH80" s="173"/>
      <c r="AI80" s="173"/>
      <c r="AK80" s="172" t="s">
        <v>151</v>
      </c>
      <c r="AL80" s="172" t="s">
        <v>162</v>
      </c>
      <c r="AM80" s="173"/>
      <c r="AN80" s="173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  <c r="AY80" s="173"/>
      <c r="AZ80" s="173"/>
      <c r="BA80" s="173"/>
      <c r="BC80" s="172" t="s">
        <v>151</v>
      </c>
      <c r="BD80" s="172" t="s">
        <v>162</v>
      </c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X80" s="190" t="s">
        <v>151</v>
      </c>
      <c r="BY80" s="190" t="s">
        <v>162</v>
      </c>
      <c r="BZ80" s="191"/>
      <c r="CA80" s="191"/>
      <c r="CB80" s="191"/>
      <c r="CC80" s="191"/>
      <c r="CD80" s="191"/>
      <c r="CE80" s="191"/>
      <c r="CF80" s="191"/>
      <c r="CG80" s="191"/>
      <c r="CH80" s="191"/>
      <c r="CI80" s="191"/>
      <c r="CJ80" s="191"/>
      <c r="CK80" s="191"/>
      <c r="CL80" s="191"/>
      <c r="CM80" s="191"/>
      <c r="CN80" s="191"/>
    </row>
    <row r="81" spans="1:92">
      <c r="A81" s="65" t="s">
        <v>266</v>
      </c>
      <c r="B81" s="65" t="s">
        <v>260</v>
      </c>
      <c r="C81" s="180" t="e">
        <f t="shared" si="231"/>
        <v>#DIV/0!</v>
      </c>
      <c r="D81" s="180" t="e">
        <f t="shared" si="232"/>
        <v>#DIV/0!</v>
      </c>
      <c r="E81" s="180" t="e">
        <f t="shared" si="233"/>
        <v>#DIV/0!</v>
      </c>
      <c r="F81" s="180" t="e">
        <f t="shared" si="234"/>
        <v>#DIV/0!</v>
      </c>
      <c r="G81" s="180" t="e">
        <f t="shared" si="235"/>
        <v>#DIV/0!</v>
      </c>
      <c r="H81" s="180" t="e">
        <f t="shared" si="236"/>
        <v>#DIV/0!</v>
      </c>
      <c r="I81" s="180" t="e">
        <f t="shared" si="237"/>
        <v>#DIV/0!</v>
      </c>
      <c r="J81" s="180" t="e">
        <f t="shared" si="238"/>
        <v>#DIV/0!</v>
      </c>
      <c r="K81" s="180" t="e">
        <f t="shared" si="239"/>
        <v>#DIV/0!</v>
      </c>
      <c r="L81" s="180" t="e">
        <f t="shared" si="240"/>
        <v>#DIV/0!</v>
      </c>
      <c r="M81" s="180" t="e">
        <f t="shared" si="241"/>
        <v>#DIV/0!</v>
      </c>
      <c r="N81" s="180" t="e">
        <f t="shared" si="242"/>
        <v>#DIV/0!</v>
      </c>
      <c r="O81" s="69" t="e">
        <f t="shared" si="243"/>
        <v>#DIV/0!</v>
      </c>
      <c r="S81" s="65" t="s">
        <v>266</v>
      </c>
      <c r="T81" s="65" t="s">
        <v>260</v>
      </c>
      <c r="U81" s="180" t="e">
        <f t="shared" si="244"/>
        <v>#DIV/0!</v>
      </c>
      <c r="V81" s="180" t="e">
        <f t="shared" si="245"/>
        <v>#DIV/0!</v>
      </c>
      <c r="W81" s="180" t="e">
        <f t="shared" si="246"/>
        <v>#DIV/0!</v>
      </c>
      <c r="X81" s="180" t="e">
        <f t="shared" si="247"/>
        <v>#DIV/0!</v>
      </c>
      <c r="Y81" s="180" t="e">
        <f t="shared" si="248"/>
        <v>#DIV/0!</v>
      </c>
      <c r="Z81" s="180" t="e">
        <f t="shared" si="249"/>
        <v>#DIV/0!</v>
      </c>
      <c r="AA81" s="180" t="e">
        <f t="shared" si="250"/>
        <v>#DIV/0!</v>
      </c>
      <c r="AB81" s="180" t="e">
        <f t="shared" si="251"/>
        <v>#DIV/0!</v>
      </c>
      <c r="AC81" s="180" t="e">
        <f t="shared" si="252"/>
        <v>#DIV/0!</v>
      </c>
      <c r="AD81" s="180" t="e">
        <f t="shared" si="253"/>
        <v>#DIV/0!</v>
      </c>
      <c r="AE81" s="180" t="e">
        <f t="shared" si="254"/>
        <v>#DIV/0!</v>
      </c>
      <c r="AF81" s="180" t="e">
        <f t="shared" si="255"/>
        <v>#DIV/0!</v>
      </c>
      <c r="AG81" s="69" t="e">
        <f t="shared" si="256"/>
        <v>#DIV/0!</v>
      </c>
      <c r="AK81" s="65" t="s">
        <v>266</v>
      </c>
      <c r="AL81" s="65" t="s">
        <v>260</v>
      </c>
      <c r="AM81" s="180" t="e">
        <f t="shared" ref="AM81:AX81" si="287">AM20/AM53</f>
        <v>#DIV/0!</v>
      </c>
      <c r="AN81" s="180" t="e">
        <f t="shared" si="287"/>
        <v>#DIV/0!</v>
      </c>
      <c r="AO81" s="180" t="e">
        <f t="shared" si="287"/>
        <v>#DIV/0!</v>
      </c>
      <c r="AP81" s="180" t="e">
        <f t="shared" si="287"/>
        <v>#DIV/0!</v>
      </c>
      <c r="AQ81" s="180" t="e">
        <f t="shared" si="287"/>
        <v>#DIV/0!</v>
      </c>
      <c r="AR81" s="180" t="e">
        <f t="shared" si="287"/>
        <v>#DIV/0!</v>
      </c>
      <c r="AS81" s="180" t="e">
        <f t="shared" si="287"/>
        <v>#DIV/0!</v>
      </c>
      <c r="AT81" s="180" t="e">
        <f t="shared" si="287"/>
        <v>#DIV/0!</v>
      </c>
      <c r="AU81" s="180" t="e">
        <f t="shared" si="287"/>
        <v>#DIV/0!</v>
      </c>
      <c r="AV81" s="180" t="e">
        <f t="shared" si="287"/>
        <v>#DIV/0!</v>
      </c>
      <c r="AW81" s="180" t="e">
        <f t="shared" si="287"/>
        <v>#DIV/0!</v>
      </c>
      <c r="AX81" s="180" t="e">
        <f t="shared" si="287"/>
        <v>#DIV/0!</v>
      </c>
      <c r="AY81" s="69" t="e">
        <f t="shared" ref="AY81:AY83" si="288">SUM(AM81:AX81)</f>
        <v>#DIV/0!</v>
      </c>
      <c r="BC81" s="65" t="s">
        <v>266</v>
      </c>
      <c r="BD81" s="65" t="s">
        <v>260</v>
      </c>
      <c r="BE81" s="69">
        <f t="shared" ref="BE81:BP81" si="289">800*250/1000</f>
        <v>200</v>
      </c>
      <c r="BF81" s="69">
        <f t="shared" si="289"/>
        <v>200</v>
      </c>
      <c r="BG81" s="69">
        <f t="shared" si="289"/>
        <v>200</v>
      </c>
      <c r="BH81" s="69">
        <f t="shared" si="289"/>
        <v>200</v>
      </c>
      <c r="BI81" s="69">
        <f t="shared" si="289"/>
        <v>200</v>
      </c>
      <c r="BJ81" s="69">
        <f t="shared" si="289"/>
        <v>200</v>
      </c>
      <c r="BK81" s="69">
        <f t="shared" si="289"/>
        <v>200</v>
      </c>
      <c r="BL81" s="69">
        <f t="shared" si="289"/>
        <v>200</v>
      </c>
      <c r="BM81" s="69">
        <f t="shared" si="289"/>
        <v>200</v>
      </c>
      <c r="BN81" s="69">
        <f t="shared" si="289"/>
        <v>200</v>
      </c>
      <c r="BO81" s="69">
        <f t="shared" si="289"/>
        <v>200</v>
      </c>
      <c r="BP81" s="69">
        <f t="shared" si="289"/>
        <v>200</v>
      </c>
      <c r="BQ81" s="69">
        <f t="shared" si="263"/>
        <v>2400</v>
      </c>
      <c r="BU81" s="65" t="s">
        <v>290</v>
      </c>
      <c r="BX81" s="65" t="s">
        <v>266</v>
      </c>
      <c r="BY81" s="65" t="s">
        <v>260</v>
      </c>
      <c r="BZ81" s="189">
        <f t="shared" ref="BZ81:CK81" si="290">800*250/1000</f>
        <v>200</v>
      </c>
      <c r="CA81" s="189">
        <f t="shared" si="290"/>
        <v>200</v>
      </c>
      <c r="CB81" s="189">
        <f t="shared" si="290"/>
        <v>200</v>
      </c>
      <c r="CC81" s="189">
        <f t="shared" si="290"/>
        <v>200</v>
      </c>
      <c r="CD81" s="189">
        <f t="shared" si="290"/>
        <v>200</v>
      </c>
      <c r="CE81" s="189">
        <f t="shared" si="290"/>
        <v>200</v>
      </c>
      <c r="CF81" s="189">
        <f t="shared" si="290"/>
        <v>200</v>
      </c>
      <c r="CG81" s="189">
        <f t="shared" si="290"/>
        <v>200</v>
      </c>
      <c r="CH81" s="189">
        <f t="shared" si="290"/>
        <v>200</v>
      </c>
      <c r="CI81" s="189">
        <f t="shared" si="290"/>
        <v>200</v>
      </c>
      <c r="CJ81" s="189">
        <f t="shared" si="290"/>
        <v>200</v>
      </c>
      <c r="CK81" s="189">
        <f t="shared" si="290"/>
        <v>200</v>
      </c>
      <c r="CL81" s="189">
        <f>SUM(BZ81:CK81)</f>
        <v>2400</v>
      </c>
      <c r="CM81" s="189"/>
      <c r="CN81" s="189"/>
    </row>
    <row r="82" spans="1:92">
      <c r="A82" s="175" t="s">
        <v>266</v>
      </c>
      <c r="B82" s="65" t="s">
        <v>267</v>
      </c>
      <c r="C82" s="180" t="e">
        <f t="shared" si="231"/>
        <v>#DIV/0!</v>
      </c>
      <c r="D82" s="180" t="e">
        <f t="shared" si="232"/>
        <v>#DIV/0!</v>
      </c>
      <c r="E82" s="180" t="e">
        <f t="shared" si="233"/>
        <v>#DIV/0!</v>
      </c>
      <c r="F82" s="180" t="e">
        <f t="shared" si="234"/>
        <v>#DIV/0!</v>
      </c>
      <c r="G82" s="180" t="e">
        <f t="shared" si="235"/>
        <v>#DIV/0!</v>
      </c>
      <c r="H82" s="180" t="e">
        <f t="shared" si="236"/>
        <v>#DIV/0!</v>
      </c>
      <c r="I82" s="180" t="e">
        <f t="shared" si="237"/>
        <v>#DIV/0!</v>
      </c>
      <c r="J82" s="180" t="e">
        <f t="shared" si="238"/>
        <v>#DIV/0!</v>
      </c>
      <c r="K82" s="180" t="e">
        <f t="shared" si="239"/>
        <v>#DIV/0!</v>
      </c>
      <c r="L82" s="180" t="e">
        <f t="shared" si="240"/>
        <v>#DIV/0!</v>
      </c>
      <c r="M82" s="180" t="e">
        <f t="shared" si="241"/>
        <v>#DIV/0!</v>
      </c>
      <c r="N82" s="180" t="e">
        <f t="shared" si="242"/>
        <v>#DIV/0!</v>
      </c>
      <c r="O82" s="69" t="e">
        <f t="shared" si="243"/>
        <v>#DIV/0!</v>
      </c>
      <c r="S82" s="175" t="s">
        <v>266</v>
      </c>
      <c r="T82" s="65" t="s">
        <v>267</v>
      </c>
      <c r="U82" s="180" t="e">
        <f t="shared" si="244"/>
        <v>#DIV/0!</v>
      </c>
      <c r="V82" s="180" t="e">
        <f t="shared" si="245"/>
        <v>#DIV/0!</v>
      </c>
      <c r="W82" s="180" t="e">
        <f t="shared" si="246"/>
        <v>#DIV/0!</v>
      </c>
      <c r="X82" s="180" t="e">
        <f t="shared" si="247"/>
        <v>#DIV/0!</v>
      </c>
      <c r="Y82" s="180" t="e">
        <f t="shared" si="248"/>
        <v>#DIV/0!</v>
      </c>
      <c r="Z82" s="180" t="e">
        <f t="shared" si="249"/>
        <v>#DIV/0!</v>
      </c>
      <c r="AA82" s="180" t="e">
        <f t="shared" si="250"/>
        <v>#DIV/0!</v>
      </c>
      <c r="AB82" s="180" t="e">
        <f t="shared" si="251"/>
        <v>#DIV/0!</v>
      </c>
      <c r="AC82" s="180" t="e">
        <f t="shared" si="252"/>
        <v>#DIV/0!</v>
      </c>
      <c r="AD82" s="180" t="e">
        <f t="shared" si="253"/>
        <v>#DIV/0!</v>
      </c>
      <c r="AE82" s="180" t="e">
        <f t="shared" si="254"/>
        <v>#DIV/0!</v>
      </c>
      <c r="AF82" s="180" t="e">
        <f t="shared" si="255"/>
        <v>#DIV/0!</v>
      </c>
      <c r="AG82" s="69" t="e">
        <f t="shared" si="256"/>
        <v>#DIV/0!</v>
      </c>
      <c r="AK82" s="175" t="s">
        <v>266</v>
      </c>
      <c r="AL82" s="65" t="s">
        <v>267</v>
      </c>
      <c r="AM82" s="180" t="e">
        <f t="shared" ref="AM82:AX82" si="291">AM21/AM54</f>
        <v>#DIV/0!</v>
      </c>
      <c r="AN82" s="180" t="e">
        <f t="shared" si="291"/>
        <v>#DIV/0!</v>
      </c>
      <c r="AO82" s="180" t="e">
        <f t="shared" si="291"/>
        <v>#DIV/0!</v>
      </c>
      <c r="AP82" s="180" t="e">
        <f t="shared" si="291"/>
        <v>#DIV/0!</v>
      </c>
      <c r="AQ82" s="180" t="e">
        <f t="shared" si="291"/>
        <v>#DIV/0!</v>
      </c>
      <c r="AR82" s="180" t="e">
        <f t="shared" si="291"/>
        <v>#DIV/0!</v>
      </c>
      <c r="AS82" s="180" t="e">
        <f t="shared" si="291"/>
        <v>#DIV/0!</v>
      </c>
      <c r="AT82" s="180" t="e">
        <f t="shared" si="291"/>
        <v>#DIV/0!</v>
      </c>
      <c r="AU82" s="180" t="e">
        <f t="shared" si="291"/>
        <v>#DIV/0!</v>
      </c>
      <c r="AV82" s="180" t="e">
        <f t="shared" si="291"/>
        <v>#DIV/0!</v>
      </c>
      <c r="AW82" s="180" t="e">
        <f t="shared" si="291"/>
        <v>#DIV/0!</v>
      </c>
      <c r="AX82" s="180" t="e">
        <f t="shared" si="291"/>
        <v>#DIV/0!</v>
      </c>
      <c r="AY82" s="69" t="e">
        <f t="shared" si="288"/>
        <v>#DIV/0!</v>
      </c>
      <c r="BC82" s="175" t="s">
        <v>266</v>
      </c>
      <c r="BD82" s="65" t="s">
        <v>267</v>
      </c>
      <c r="BE82" s="174">
        <v>500</v>
      </c>
      <c r="BF82" s="180">
        <f>BE82</f>
        <v>500</v>
      </c>
      <c r="BG82" s="180">
        <f t="shared" ref="BG82:BP82" si="292">BF82</f>
        <v>500</v>
      </c>
      <c r="BH82" s="180">
        <f t="shared" si="292"/>
        <v>500</v>
      </c>
      <c r="BI82" s="180">
        <f t="shared" si="292"/>
        <v>500</v>
      </c>
      <c r="BJ82" s="180">
        <f t="shared" si="292"/>
        <v>500</v>
      </c>
      <c r="BK82" s="180">
        <f t="shared" si="292"/>
        <v>500</v>
      </c>
      <c r="BL82" s="180">
        <f t="shared" si="292"/>
        <v>500</v>
      </c>
      <c r="BM82" s="180">
        <f t="shared" si="292"/>
        <v>500</v>
      </c>
      <c r="BN82" s="180">
        <f t="shared" si="292"/>
        <v>500</v>
      </c>
      <c r="BO82" s="180">
        <f t="shared" si="292"/>
        <v>500</v>
      </c>
      <c r="BP82" s="180">
        <f t="shared" si="292"/>
        <v>500</v>
      </c>
      <c r="BQ82" s="69">
        <f t="shared" si="263"/>
        <v>6000</v>
      </c>
      <c r="BU82" s="65" t="s">
        <v>291</v>
      </c>
      <c r="BX82" s="196" t="s">
        <v>266</v>
      </c>
      <c r="BY82" s="65" t="s">
        <v>267</v>
      </c>
      <c r="BZ82" s="192">
        <v>500</v>
      </c>
      <c r="CA82" s="189">
        <f t="shared" ref="CA82:CK82" si="293">BZ82</f>
        <v>500</v>
      </c>
      <c r="CB82" s="189">
        <f t="shared" si="293"/>
        <v>500</v>
      </c>
      <c r="CC82" s="189">
        <f t="shared" si="293"/>
        <v>500</v>
      </c>
      <c r="CD82" s="189">
        <f t="shared" si="293"/>
        <v>500</v>
      </c>
      <c r="CE82" s="189">
        <f t="shared" si="293"/>
        <v>500</v>
      </c>
      <c r="CF82" s="189">
        <f t="shared" si="293"/>
        <v>500</v>
      </c>
      <c r="CG82" s="189">
        <f t="shared" si="293"/>
        <v>500</v>
      </c>
      <c r="CH82" s="189">
        <f t="shared" si="293"/>
        <v>500</v>
      </c>
      <c r="CI82" s="189">
        <f t="shared" si="293"/>
        <v>500</v>
      </c>
      <c r="CJ82" s="189">
        <f t="shared" si="293"/>
        <v>500</v>
      </c>
      <c r="CK82" s="189">
        <f t="shared" si="293"/>
        <v>500</v>
      </c>
      <c r="CL82" s="189">
        <f>SUM(BZ82:CK82)</f>
        <v>6000</v>
      </c>
      <c r="CM82" s="189"/>
      <c r="CN82" s="189"/>
    </row>
    <row r="83" spans="1:92">
      <c r="A83" s="175" t="s">
        <v>266</v>
      </c>
      <c r="B83" s="65" t="s">
        <v>268</v>
      </c>
      <c r="C83" s="180" t="e">
        <f t="shared" si="231"/>
        <v>#DIV/0!</v>
      </c>
      <c r="D83" s="180" t="e">
        <f t="shared" si="232"/>
        <v>#DIV/0!</v>
      </c>
      <c r="E83" s="180" t="e">
        <f t="shared" si="233"/>
        <v>#DIV/0!</v>
      </c>
      <c r="F83" s="180" t="e">
        <f t="shared" si="234"/>
        <v>#DIV/0!</v>
      </c>
      <c r="G83" s="180" t="e">
        <f t="shared" si="235"/>
        <v>#DIV/0!</v>
      </c>
      <c r="H83" s="180" t="e">
        <f t="shared" si="236"/>
        <v>#DIV/0!</v>
      </c>
      <c r="I83" s="180" t="e">
        <f t="shared" si="237"/>
        <v>#DIV/0!</v>
      </c>
      <c r="J83" s="180" t="e">
        <f t="shared" si="238"/>
        <v>#DIV/0!</v>
      </c>
      <c r="K83" s="180" t="e">
        <f t="shared" si="239"/>
        <v>#DIV/0!</v>
      </c>
      <c r="L83" s="180" t="e">
        <f t="shared" si="240"/>
        <v>#DIV/0!</v>
      </c>
      <c r="M83" s="180" t="e">
        <f t="shared" si="241"/>
        <v>#DIV/0!</v>
      </c>
      <c r="N83" s="180" t="e">
        <f t="shared" si="242"/>
        <v>#DIV/0!</v>
      </c>
      <c r="O83" s="69" t="e">
        <f t="shared" si="243"/>
        <v>#DIV/0!</v>
      </c>
      <c r="S83" s="175" t="s">
        <v>266</v>
      </c>
      <c r="T83" s="65" t="s">
        <v>268</v>
      </c>
      <c r="U83" s="180" t="e">
        <f t="shared" si="244"/>
        <v>#DIV/0!</v>
      </c>
      <c r="V83" s="180" t="e">
        <f t="shared" si="245"/>
        <v>#DIV/0!</v>
      </c>
      <c r="W83" s="180" t="e">
        <f t="shared" si="246"/>
        <v>#DIV/0!</v>
      </c>
      <c r="X83" s="180" t="e">
        <f t="shared" si="247"/>
        <v>#DIV/0!</v>
      </c>
      <c r="Y83" s="180" t="e">
        <f t="shared" si="248"/>
        <v>#DIV/0!</v>
      </c>
      <c r="Z83" s="180" t="e">
        <f t="shared" si="249"/>
        <v>#DIV/0!</v>
      </c>
      <c r="AA83" s="180" t="e">
        <f t="shared" si="250"/>
        <v>#DIV/0!</v>
      </c>
      <c r="AB83" s="180" t="e">
        <f t="shared" si="251"/>
        <v>#DIV/0!</v>
      </c>
      <c r="AC83" s="180" t="e">
        <f t="shared" si="252"/>
        <v>#DIV/0!</v>
      </c>
      <c r="AD83" s="180" t="e">
        <f t="shared" si="253"/>
        <v>#DIV/0!</v>
      </c>
      <c r="AE83" s="180" t="e">
        <f t="shared" si="254"/>
        <v>#DIV/0!</v>
      </c>
      <c r="AF83" s="180" t="e">
        <f t="shared" si="255"/>
        <v>#DIV/0!</v>
      </c>
      <c r="AG83" s="69" t="e">
        <f t="shared" si="256"/>
        <v>#DIV/0!</v>
      </c>
      <c r="AK83" s="175" t="s">
        <v>266</v>
      </c>
      <c r="AL83" s="65" t="s">
        <v>268</v>
      </c>
      <c r="AM83" s="180" t="e">
        <f t="shared" ref="AM83:AX83" si="294">AM22/AM55</f>
        <v>#DIV/0!</v>
      </c>
      <c r="AN83" s="180" t="e">
        <f t="shared" si="294"/>
        <v>#DIV/0!</v>
      </c>
      <c r="AO83" s="180" t="e">
        <f t="shared" si="294"/>
        <v>#DIV/0!</v>
      </c>
      <c r="AP83" s="180" t="e">
        <f t="shared" si="294"/>
        <v>#DIV/0!</v>
      </c>
      <c r="AQ83" s="180" t="e">
        <f t="shared" si="294"/>
        <v>#DIV/0!</v>
      </c>
      <c r="AR83" s="180" t="e">
        <f t="shared" si="294"/>
        <v>#DIV/0!</v>
      </c>
      <c r="AS83" s="180" t="e">
        <f t="shared" si="294"/>
        <v>#DIV/0!</v>
      </c>
      <c r="AT83" s="180" t="e">
        <f t="shared" si="294"/>
        <v>#DIV/0!</v>
      </c>
      <c r="AU83" s="180" t="e">
        <f t="shared" si="294"/>
        <v>#DIV/0!</v>
      </c>
      <c r="AV83" s="180" t="e">
        <f t="shared" si="294"/>
        <v>#DIV/0!</v>
      </c>
      <c r="AW83" s="180" t="e">
        <f t="shared" si="294"/>
        <v>#DIV/0!</v>
      </c>
      <c r="AX83" s="180" t="e">
        <f t="shared" si="294"/>
        <v>#DIV/0!</v>
      </c>
      <c r="AY83" s="69" t="e">
        <f t="shared" si="288"/>
        <v>#DIV/0!</v>
      </c>
      <c r="BC83" s="175" t="s">
        <v>266</v>
      </c>
      <c r="BD83" s="65" t="s">
        <v>268</v>
      </c>
      <c r="BE83" s="174">
        <v>400</v>
      </c>
      <c r="BF83" s="180">
        <f>BE83</f>
        <v>400</v>
      </c>
      <c r="BG83" s="180">
        <f t="shared" ref="BG83:BP83" si="295">BF83</f>
        <v>400</v>
      </c>
      <c r="BH83" s="180">
        <f t="shared" si="295"/>
        <v>400</v>
      </c>
      <c r="BI83" s="180">
        <f t="shared" si="295"/>
        <v>400</v>
      </c>
      <c r="BJ83" s="180">
        <f t="shared" si="295"/>
        <v>400</v>
      </c>
      <c r="BK83" s="180">
        <f t="shared" si="295"/>
        <v>400</v>
      </c>
      <c r="BL83" s="180">
        <f t="shared" si="295"/>
        <v>400</v>
      </c>
      <c r="BM83" s="180">
        <f t="shared" si="295"/>
        <v>400</v>
      </c>
      <c r="BN83" s="180">
        <f t="shared" si="295"/>
        <v>400</v>
      </c>
      <c r="BO83" s="180">
        <f t="shared" si="295"/>
        <v>400</v>
      </c>
      <c r="BP83" s="180">
        <f t="shared" si="295"/>
        <v>400</v>
      </c>
      <c r="BQ83" s="69">
        <f t="shared" ref="BQ83" si="296">SUM(BE83:BP83)</f>
        <v>4800</v>
      </c>
      <c r="BU83" s="65" t="s">
        <v>292</v>
      </c>
      <c r="BX83" s="196" t="s">
        <v>266</v>
      </c>
      <c r="BY83" s="65" t="s">
        <v>268</v>
      </c>
      <c r="BZ83" s="192">
        <v>400</v>
      </c>
      <c r="CA83" s="189">
        <f t="shared" ref="CA83:CK83" si="297">BZ83</f>
        <v>400</v>
      </c>
      <c r="CB83" s="189">
        <f t="shared" si="297"/>
        <v>400</v>
      </c>
      <c r="CC83" s="189">
        <f t="shared" si="297"/>
        <v>400</v>
      </c>
      <c r="CD83" s="189">
        <f t="shared" si="297"/>
        <v>400</v>
      </c>
      <c r="CE83" s="189">
        <f t="shared" si="297"/>
        <v>400</v>
      </c>
      <c r="CF83" s="189">
        <f t="shared" si="297"/>
        <v>400</v>
      </c>
      <c r="CG83" s="189">
        <f t="shared" si="297"/>
        <v>400</v>
      </c>
      <c r="CH83" s="189">
        <f t="shared" si="297"/>
        <v>400</v>
      </c>
      <c r="CI83" s="189">
        <f t="shared" si="297"/>
        <v>400</v>
      </c>
      <c r="CJ83" s="189">
        <f t="shared" si="297"/>
        <v>400</v>
      </c>
      <c r="CK83" s="189">
        <f t="shared" si="297"/>
        <v>400</v>
      </c>
      <c r="CL83" s="189">
        <f>SUM(BZ83:CK83)</f>
        <v>4800</v>
      </c>
      <c r="CM83" s="189"/>
      <c r="CN83" s="189"/>
    </row>
    <row r="84" spans="1:92">
      <c r="A84" s="172" t="s">
        <v>153</v>
      </c>
      <c r="B84" s="190" t="s">
        <v>162</v>
      </c>
      <c r="C84" s="191" t="e">
        <f t="shared" si="231"/>
        <v>#DIV/0!</v>
      </c>
      <c r="D84" s="191" t="e">
        <f t="shared" si="232"/>
        <v>#DIV/0!</v>
      </c>
      <c r="E84" s="191" t="e">
        <f t="shared" si="233"/>
        <v>#DIV/0!</v>
      </c>
      <c r="F84" s="191" t="e">
        <f t="shared" si="234"/>
        <v>#DIV/0!</v>
      </c>
      <c r="G84" s="191" t="e">
        <f t="shared" si="235"/>
        <v>#DIV/0!</v>
      </c>
      <c r="H84" s="191" t="e">
        <f t="shared" si="236"/>
        <v>#DIV/0!</v>
      </c>
      <c r="I84" s="191" t="e">
        <f t="shared" si="237"/>
        <v>#DIV/0!</v>
      </c>
      <c r="J84" s="191" t="e">
        <f t="shared" si="238"/>
        <v>#DIV/0!</v>
      </c>
      <c r="K84" s="191" t="e">
        <f t="shared" si="239"/>
        <v>#DIV/0!</v>
      </c>
      <c r="L84" s="191" t="e">
        <f t="shared" si="240"/>
        <v>#DIV/0!</v>
      </c>
      <c r="M84" s="191" t="e">
        <f t="shared" si="241"/>
        <v>#DIV/0!</v>
      </c>
      <c r="N84" s="191" t="e">
        <f t="shared" si="242"/>
        <v>#DIV/0!</v>
      </c>
      <c r="O84" s="191" t="e">
        <f t="shared" si="243"/>
        <v>#DIV/0!</v>
      </c>
      <c r="P84" s="191"/>
      <c r="Q84" s="191"/>
      <c r="S84" s="172" t="s">
        <v>153</v>
      </c>
      <c r="T84" s="190" t="s">
        <v>162</v>
      </c>
      <c r="U84" s="191" t="e">
        <f t="shared" ref="U84:AG89" si="298">AM84/BE84</f>
        <v>#DIV/0!</v>
      </c>
      <c r="V84" s="191" t="e">
        <f t="shared" si="298"/>
        <v>#DIV/0!</v>
      </c>
      <c r="W84" s="191" t="e">
        <f t="shared" si="298"/>
        <v>#DIV/0!</v>
      </c>
      <c r="X84" s="191" t="e">
        <f t="shared" si="298"/>
        <v>#DIV/0!</v>
      </c>
      <c r="Y84" s="191" t="e">
        <f t="shared" si="298"/>
        <v>#DIV/0!</v>
      </c>
      <c r="Z84" s="191" t="e">
        <f t="shared" si="298"/>
        <v>#DIV/0!</v>
      </c>
      <c r="AA84" s="191" t="e">
        <f t="shared" si="298"/>
        <v>#DIV/0!</v>
      </c>
      <c r="AB84" s="191" t="e">
        <f t="shared" si="298"/>
        <v>#DIV/0!</v>
      </c>
      <c r="AC84" s="191" t="e">
        <f t="shared" si="298"/>
        <v>#DIV/0!</v>
      </c>
      <c r="AD84" s="191" t="e">
        <f t="shared" si="298"/>
        <v>#DIV/0!</v>
      </c>
      <c r="AE84" s="191" t="e">
        <f t="shared" si="298"/>
        <v>#DIV/0!</v>
      </c>
      <c r="AF84" s="191" t="e">
        <f t="shared" si="298"/>
        <v>#DIV/0!</v>
      </c>
      <c r="AG84" s="191" t="e">
        <f t="shared" si="298"/>
        <v>#DIV/0!</v>
      </c>
      <c r="AH84" s="191"/>
      <c r="AI84" s="191"/>
      <c r="AK84" s="172" t="s">
        <v>153</v>
      </c>
      <c r="AL84" s="190" t="s">
        <v>162</v>
      </c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C84" s="172" t="s">
        <v>153</v>
      </c>
      <c r="BD84" s="190" t="s">
        <v>162</v>
      </c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X84" s="190" t="s">
        <v>153</v>
      </c>
      <c r="BY84" s="190" t="s">
        <v>162</v>
      </c>
      <c r="BZ84" s="191"/>
      <c r="CA84" s="191"/>
      <c r="CB84" s="191"/>
      <c r="CC84" s="191"/>
      <c r="CD84" s="191"/>
      <c r="CE84" s="191"/>
      <c r="CF84" s="191"/>
      <c r="CG84" s="191"/>
      <c r="CH84" s="191"/>
      <c r="CI84" s="191"/>
      <c r="CJ84" s="191"/>
      <c r="CK84" s="191"/>
      <c r="CL84" s="191"/>
      <c r="CM84" s="191"/>
      <c r="CN84" s="191"/>
    </row>
    <row r="85" spans="1:92">
      <c r="A85" s="188" t="s">
        <v>269</v>
      </c>
      <c r="B85" s="188" t="s">
        <v>260</v>
      </c>
      <c r="C85" s="189">
        <f t="shared" si="231"/>
        <v>6.4512799339388931E-3</v>
      </c>
      <c r="D85" s="189">
        <f t="shared" si="232"/>
        <v>6.451279933938894E-3</v>
      </c>
      <c r="E85" s="189">
        <f t="shared" si="233"/>
        <v>6.4512799339388931E-3</v>
      </c>
      <c r="F85" s="189">
        <f t="shared" si="234"/>
        <v>6.4512799339388931E-3</v>
      </c>
      <c r="G85" s="189">
        <f t="shared" si="235"/>
        <v>6.4512799339388931E-3</v>
      </c>
      <c r="H85" s="189">
        <f t="shared" si="236"/>
        <v>6.4512799339388931E-3</v>
      </c>
      <c r="I85" s="189">
        <f t="shared" si="237"/>
        <v>6.4512799339388931E-3</v>
      </c>
      <c r="J85" s="189" t="e">
        <f t="shared" si="238"/>
        <v>#DIV/0!</v>
      </c>
      <c r="K85" s="189" t="e">
        <f t="shared" si="239"/>
        <v>#DIV/0!</v>
      </c>
      <c r="L85" s="189" t="e">
        <f t="shared" si="240"/>
        <v>#DIV/0!</v>
      </c>
      <c r="M85" s="189" t="e">
        <f t="shared" si="241"/>
        <v>#DIV/0!</v>
      </c>
      <c r="N85" s="189" t="e">
        <f t="shared" si="242"/>
        <v>#DIV/0!</v>
      </c>
      <c r="O85" s="189" t="e">
        <f t="shared" si="243"/>
        <v>#DIV/0!</v>
      </c>
      <c r="P85" s="189"/>
      <c r="Q85" s="189"/>
      <c r="R85" s="188"/>
      <c r="S85" s="188" t="s">
        <v>269</v>
      </c>
      <c r="T85" s="188" t="s">
        <v>260</v>
      </c>
      <c r="U85" s="189">
        <f t="shared" si="298"/>
        <v>1.5010264703183778</v>
      </c>
      <c r="V85" s="189">
        <f t="shared" si="298"/>
        <v>1.070425038994403</v>
      </c>
      <c r="W85" s="189">
        <f t="shared" si="298"/>
        <v>1.0964308652169921</v>
      </c>
      <c r="X85" s="189">
        <f t="shared" si="298"/>
        <v>0.95858851729516437</v>
      </c>
      <c r="Y85" s="189">
        <f t="shared" si="298"/>
        <v>0.9408403293880172</v>
      </c>
      <c r="Z85" s="189">
        <f t="shared" si="298"/>
        <v>2.0336298054867417</v>
      </c>
      <c r="AA85" s="189">
        <f t="shared" si="298"/>
        <v>0.95721224424259066</v>
      </c>
      <c r="AB85" s="189" t="e">
        <f t="shared" si="298"/>
        <v>#DIV/0!</v>
      </c>
      <c r="AC85" s="189" t="e">
        <f t="shared" si="298"/>
        <v>#DIV/0!</v>
      </c>
      <c r="AD85" s="189" t="e">
        <f t="shared" si="298"/>
        <v>#DIV/0!</v>
      </c>
      <c r="AE85" s="189" t="e">
        <f t="shared" si="298"/>
        <v>#DIV/0!</v>
      </c>
      <c r="AF85" s="189" t="e">
        <f t="shared" si="298"/>
        <v>#DIV/0!</v>
      </c>
      <c r="AG85" s="189" t="e">
        <f t="shared" si="298"/>
        <v>#DIV/0!</v>
      </c>
      <c r="AH85" s="189"/>
      <c r="AI85" s="189"/>
      <c r="AJ85" s="188"/>
      <c r="AK85" s="188" t="s">
        <v>269</v>
      </c>
      <c r="AL85" s="188" t="s">
        <v>260</v>
      </c>
      <c r="AM85" s="189">
        <f>AM24/AM57</f>
        <v>232.67111111111112</v>
      </c>
      <c r="AN85" s="189">
        <f t="shared" ref="AN85:AX85" si="299">AN24/AN57</f>
        <v>165.92444444444442</v>
      </c>
      <c r="AO85" s="189">
        <f t="shared" si="299"/>
        <v>169.95555555555552</v>
      </c>
      <c r="AP85" s="189">
        <f t="shared" si="299"/>
        <v>148.58888888888885</v>
      </c>
      <c r="AQ85" s="189">
        <f t="shared" si="299"/>
        <v>145.83777777777777</v>
      </c>
      <c r="AR85" s="189">
        <f t="shared" si="299"/>
        <v>315.22888888888889</v>
      </c>
      <c r="AS85" s="189">
        <f t="shared" si="299"/>
        <v>148.37555555555551</v>
      </c>
      <c r="AT85" s="189" t="e">
        <f t="shared" si="299"/>
        <v>#DIV/0!</v>
      </c>
      <c r="AU85" s="189" t="e">
        <f t="shared" si="299"/>
        <v>#DIV/0!</v>
      </c>
      <c r="AV85" s="189" t="e">
        <f t="shared" si="299"/>
        <v>#DIV/0!</v>
      </c>
      <c r="AW85" s="189" t="e">
        <f t="shared" si="299"/>
        <v>#DIV/0!</v>
      </c>
      <c r="AX85" s="189" t="e">
        <f t="shared" si="299"/>
        <v>#DIV/0!</v>
      </c>
      <c r="AY85" s="189" t="e">
        <f>SUM(AM85:AX85)</f>
        <v>#DIV/0!</v>
      </c>
      <c r="AZ85" s="189"/>
      <c r="BA85" s="189"/>
      <c r="BB85" s="188"/>
      <c r="BC85" s="188" t="s">
        <v>269</v>
      </c>
      <c r="BD85" s="188" t="s">
        <v>260</v>
      </c>
      <c r="BE85" s="189">
        <f>客単価!E5/12</f>
        <v>155.00800000000001</v>
      </c>
      <c r="BF85" s="189">
        <f t="shared" ref="BF85:BP85" si="300">BE85</f>
        <v>155.00800000000001</v>
      </c>
      <c r="BG85" s="189">
        <f t="shared" si="300"/>
        <v>155.00800000000001</v>
      </c>
      <c r="BH85" s="189">
        <f t="shared" si="300"/>
        <v>155.00800000000001</v>
      </c>
      <c r="BI85" s="189">
        <f t="shared" si="300"/>
        <v>155.00800000000001</v>
      </c>
      <c r="BJ85" s="189">
        <f t="shared" si="300"/>
        <v>155.00800000000001</v>
      </c>
      <c r="BK85" s="189">
        <f t="shared" si="300"/>
        <v>155.00800000000001</v>
      </c>
      <c r="BL85" s="189">
        <f t="shared" si="300"/>
        <v>155.00800000000001</v>
      </c>
      <c r="BM85" s="189">
        <f t="shared" si="300"/>
        <v>155.00800000000001</v>
      </c>
      <c r="BN85" s="189">
        <f t="shared" si="300"/>
        <v>155.00800000000001</v>
      </c>
      <c r="BO85" s="189">
        <f t="shared" si="300"/>
        <v>155.00800000000001</v>
      </c>
      <c r="BP85" s="189">
        <f t="shared" si="300"/>
        <v>155.00800000000001</v>
      </c>
      <c r="BQ85" s="189">
        <f>SUM(BE85:BP85)</f>
        <v>1860.0960000000002</v>
      </c>
      <c r="BR85" s="189"/>
      <c r="BS85" s="189"/>
      <c r="BT85" s="189" t="s">
        <v>53</v>
      </c>
      <c r="BU85" s="188">
        <v>2100</v>
      </c>
      <c r="BV85" s="188" t="s">
        <v>54</v>
      </c>
      <c r="BW85" s="188"/>
      <c r="BX85" s="188" t="s">
        <v>269</v>
      </c>
      <c r="BY85" s="188" t="s">
        <v>260</v>
      </c>
      <c r="BZ85" s="189">
        <f t="shared" ref="BZ85:CK85" si="301">BZ24/BZ57</f>
        <v>137.75666666666663</v>
      </c>
      <c r="CA85" s="189">
        <f t="shared" si="301"/>
        <v>149.63666666666666</v>
      </c>
      <c r="CB85" s="189">
        <f t="shared" si="301"/>
        <v>141.79666666666665</v>
      </c>
      <c r="CC85" s="189">
        <f t="shared" si="301"/>
        <v>138.59666666666666</v>
      </c>
      <c r="CD85" s="189">
        <f t="shared" si="301"/>
        <v>388.55666666666662</v>
      </c>
      <c r="CE85" s="189">
        <f t="shared" si="301"/>
        <v>138.67666666666665</v>
      </c>
      <c r="CF85" s="189">
        <f t="shared" si="301"/>
        <v>271.08999999999997</v>
      </c>
      <c r="CG85" s="189">
        <f t="shared" si="301"/>
        <v>141.91666666666666</v>
      </c>
      <c r="CH85" s="189">
        <f t="shared" si="301"/>
        <v>257.42333333333329</v>
      </c>
      <c r="CI85" s="189">
        <f t="shared" si="301"/>
        <v>202.20000000000002</v>
      </c>
      <c r="CJ85" s="189">
        <f t="shared" si="301"/>
        <v>237.12666666666664</v>
      </c>
      <c r="CK85" s="189">
        <f t="shared" si="301"/>
        <v>262.44</v>
      </c>
      <c r="CL85" s="189">
        <f>SUM(BZ85:CK85)</f>
        <v>2467.2166666666667</v>
      </c>
      <c r="CM85" s="189"/>
      <c r="CN85" s="189"/>
    </row>
    <row r="86" spans="1:92">
      <c r="A86" s="196" t="s">
        <v>269</v>
      </c>
      <c r="B86" s="188" t="s">
        <v>24</v>
      </c>
      <c r="C86" s="189">
        <f t="shared" si="231"/>
        <v>2.788466900897886E-2</v>
      </c>
      <c r="D86" s="189">
        <f t="shared" si="232"/>
        <v>2.788466900897886E-2</v>
      </c>
      <c r="E86" s="189">
        <f t="shared" si="233"/>
        <v>2.7884669008978864E-2</v>
      </c>
      <c r="F86" s="189">
        <f t="shared" si="234"/>
        <v>2.7884669008978864E-2</v>
      </c>
      <c r="G86" s="189">
        <f t="shared" si="235"/>
        <v>2.788466900897886E-2</v>
      </c>
      <c r="H86" s="189">
        <f t="shared" si="236"/>
        <v>2.7884669008978864E-2</v>
      </c>
      <c r="I86" s="189">
        <f t="shared" si="237"/>
        <v>2.7884669008978864E-2</v>
      </c>
      <c r="J86" s="189" t="e">
        <f t="shared" si="238"/>
        <v>#DIV/0!</v>
      </c>
      <c r="K86" s="189" t="e">
        <f t="shared" si="239"/>
        <v>#DIV/0!</v>
      </c>
      <c r="L86" s="189" t="e">
        <f t="shared" si="240"/>
        <v>#DIV/0!</v>
      </c>
      <c r="M86" s="189" t="e">
        <f t="shared" si="241"/>
        <v>#DIV/0!</v>
      </c>
      <c r="N86" s="189" t="e">
        <f t="shared" si="242"/>
        <v>#DIV/0!</v>
      </c>
      <c r="O86" s="189" t="e">
        <f t="shared" si="243"/>
        <v>#DIV/0!</v>
      </c>
      <c r="P86" s="189"/>
      <c r="Q86" s="189"/>
      <c r="R86" s="188"/>
      <c r="S86" s="196" t="s">
        <v>269</v>
      </c>
      <c r="T86" s="188" t="s">
        <v>24</v>
      </c>
      <c r="U86" s="189">
        <f t="shared" si="298"/>
        <v>0.8497023237025354</v>
      </c>
      <c r="V86" s="189">
        <f t="shared" si="298"/>
        <v>0.70867301460687204</v>
      </c>
      <c r="W86" s="189">
        <f t="shared" si="298"/>
        <v>0.85850266837031919</v>
      </c>
      <c r="X86" s="189">
        <f t="shared" si="298"/>
        <v>0.91674546858285055</v>
      </c>
      <c r="Y86" s="189">
        <f t="shared" si="298"/>
        <v>0.81361382236455859</v>
      </c>
      <c r="Z86" s="189">
        <f t="shared" si="298"/>
        <v>0.92450845636021362</v>
      </c>
      <c r="AA86" s="189">
        <f t="shared" si="298"/>
        <v>0.90976156073027492</v>
      </c>
      <c r="AB86" s="189" t="e">
        <f t="shared" si="298"/>
        <v>#DIV/0!</v>
      </c>
      <c r="AC86" s="189" t="e">
        <f t="shared" si="298"/>
        <v>#DIV/0!</v>
      </c>
      <c r="AD86" s="189" t="e">
        <f t="shared" si="298"/>
        <v>#DIV/0!</v>
      </c>
      <c r="AE86" s="189" t="e">
        <f t="shared" si="298"/>
        <v>#DIV/0!</v>
      </c>
      <c r="AF86" s="189" t="e">
        <f t="shared" si="298"/>
        <v>#DIV/0!</v>
      </c>
      <c r="AG86" s="189" t="e">
        <f t="shared" si="298"/>
        <v>#DIV/0!</v>
      </c>
      <c r="AH86" s="189"/>
      <c r="AI86" s="189"/>
      <c r="AJ86" s="188"/>
      <c r="AK86" s="196" t="s">
        <v>269</v>
      </c>
      <c r="AL86" s="188" t="s">
        <v>24</v>
      </c>
      <c r="AM86" s="189">
        <f>AM25/AM58</f>
        <v>30.472024732620326</v>
      </c>
      <c r="AN86" s="189">
        <f t="shared" ref="AN86:AX86" si="302">AN25/AN58</f>
        <v>25.414431649831648</v>
      </c>
      <c r="AO86" s="189">
        <f t="shared" si="302"/>
        <v>30.787622693096388</v>
      </c>
      <c r="AP86" s="189">
        <f t="shared" si="302"/>
        <v>32.876325994318186</v>
      </c>
      <c r="AQ86" s="189">
        <f t="shared" si="302"/>
        <v>29.177818897637803</v>
      </c>
      <c r="AR86" s="189">
        <f t="shared" si="302"/>
        <v>33.154722261989981</v>
      </c>
      <c r="AS86" s="189">
        <f t="shared" si="302"/>
        <v>32.62586909090912</v>
      </c>
      <c r="AT86" s="189" t="e">
        <f t="shared" si="302"/>
        <v>#DIV/0!</v>
      </c>
      <c r="AU86" s="189" t="e">
        <f t="shared" si="302"/>
        <v>#DIV/0!</v>
      </c>
      <c r="AV86" s="189" t="e">
        <f t="shared" si="302"/>
        <v>#DIV/0!</v>
      </c>
      <c r="AW86" s="189" t="e">
        <f t="shared" si="302"/>
        <v>#DIV/0!</v>
      </c>
      <c r="AX86" s="189" t="e">
        <f t="shared" si="302"/>
        <v>#DIV/0!</v>
      </c>
      <c r="AY86" s="189" t="e">
        <f>SUM(AM86:AX86)</f>
        <v>#DIV/0!</v>
      </c>
      <c r="AZ86" s="189"/>
      <c r="BA86" s="189"/>
      <c r="BB86" s="188"/>
      <c r="BC86" s="196" t="s">
        <v>269</v>
      </c>
      <c r="BD86" s="188" t="s">
        <v>24</v>
      </c>
      <c r="BE86" s="189">
        <f>客単価!E6/12</f>
        <v>35.862000000000002</v>
      </c>
      <c r="BF86" s="189">
        <f t="shared" ref="BF86:BP86" si="303">BE86</f>
        <v>35.862000000000002</v>
      </c>
      <c r="BG86" s="189">
        <f t="shared" si="303"/>
        <v>35.862000000000002</v>
      </c>
      <c r="BH86" s="189">
        <f t="shared" si="303"/>
        <v>35.862000000000002</v>
      </c>
      <c r="BI86" s="189">
        <f t="shared" si="303"/>
        <v>35.862000000000002</v>
      </c>
      <c r="BJ86" s="189">
        <f t="shared" si="303"/>
        <v>35.862000000000002</v>
      </c>
      <c r="BK86" s="189">
        <f t="shared" si="303"/>
        <v>35.862000000000002</v>
      </c>
      <c r="BL86" s="189">
        <f t="shared" si="303"/>
        <v>35.862000000000002</v>
      </c>
      <c r="BM86" s="189">
        <f t="shared" si="303"/>
        <v>35.862000000000002</v>
      </c>
      <c r="BN86" s="189">
        <f t="shared" si="303"/>
        <v>35.862000000000002</v>
      </c>
      <c r="BO86" s="189">
        <f t="shared" si="303"/>
        <v>35.862000000000002</v>
      </c>
      <c r="BP86" s="189">
        <f t="shared" si="303"/>
        <v>35.862000000000002</v>
      </c>
      <c r="BQ86" s="189">
        <f>SUM(BE86:BP86)</f>
        <v>430.34400000000011</v>
      </c>
      <c r="BR86" s="189"/>
      <c r="BS86" s="189"/>
      <c r="BT86" s="189" t="s">
        <v>55</v>
      </c>
      <c r="BU86" s="188">
        <v>200</v>
      </c>
      <c r="BV86" s="188" t="s">
        <v>56</v>
      </c>
      <c r="BW86" s="188" t="s">
        <v>289</v>
      </c>
      <c r="BX86" s="196" t="s">
        <v>269</v>
      </c>
      <c r="BY86" s="188" t="s">
        <v>24</v>
      </c>
      <c r="BZ86" s="189">
        <f t="shared" ref="BZ86:CK86" si="304">BZ25/BZ58</f>
        <v>42.3115025252525</v>
      </c>
      <c r="CA86" s="189">
        <f t="shared" si="304"/>
        <v>46.905285714285711</v>
      </c>
      <c r="CB86" s="189">
        <f t="shared" si="304"/>
        <v>41.836246753246719</v>
      </c>
      <c r="CC86" s="189">
        <f t="shared" si="304"/>
        <v>46.465597402597432</v>
      </c>
      <c r="CD86" s="189">
        <f t="shared" si="304"/>
        <v>45.345961038961001</v>
      </c>
      <c r="CE86" s="189">
        <f t="shared" si="304"/>
        <v>43.173162055335936</v>
      </c>
      <c r="CF86" s="189">
        <f t="shared" si="304"/>
        <v>49.302621870882753</v>
      </c>
      <c r="CG86" s="189">
        <f t="shared" si="304"/>
        <v>41.758089591567824</v>
      </c>
      <c r="CH86" s="189">
        <f t="shared" si="304"/>
        <v>43.729328063241162</v>
      </c>
      <c r="CI86" s="189">
        <f t="shared" si="304"/>
        <v>36.548115942028986</v>
      </c>
      <c r="CJ86" s="189">
        <f t="shared" si="304"/>
        <v>36.025718050065947</v>
      </c>
      <c r="CK86" s="189">
        <f t="shared" si="304"/>
        <v>38.049459815546811</v>
      </c>
      <c r="CL86" s="189">
        <f>SUM(BZ86:CK86)</f>
        <v>511.45108882301281</v>
      </c>
      <c r="CM86" s="189"/>
      <c r="CN86" s="189"/>
    </row>
    <row r="87" spans="1:92">
      <c r="A87" s="196" t="s">
        <v>269</v>
      </c>
      <c r="B87" s="188" t="s">
        <v>262</v>
      </c>
      <c r="C87" s="189">
        <f t="shared" si="231"/>
        <v>2.7884669008978864E-2</v>
      </c>
      <c r="D87" s="189">
        <f t="shared" si="232"/>
        <v>2.7884669008978864E-2</v>
      </c>
      <c r="E87" s="189">
        <f t="shared" si="233"/>
        <v>2.7884669008978864E-2</v>
      </c>
      <c r="F87" s="189">
        <f t="shared" si="234"/>
        <v>2.7884669008978864E-2</v>
      </c>
      <c r="G87" s="189">
        <f t="shared" si="235"/>
        <v>2.7884669008978864E-2</v>
      </c>
      <c r="H87" s="189">
        <f t="shared" si="236"/>
        <v>2.788466900897886E-2</v>
      </c>
      <c r="I87" s="189">
        <f t="shared" si="237"/>
        <v>1.9230769230769232E-2</v>
      </c>
      <c r="J87" s="189" t="e">
        <f t="shared" si="238"/>
        <v>#DIV/0!</v>
      </c>
      <c r="K87" s="189" t="e">
        <f t="shared" si="239"/>
        <v>#DIV/0!</v>
      </c>
      <c r="L87" s="189" t="e">
        <f t="shared" si="240"/>
        <v>#DIV/0!</v>
      </c>
      <c r="M87" s="189" t="e">
        <f t="shared" si="241"/>
        <v>#DIV/0!</v>
      </c>
      <c r="N87" s="189" t="e">
        <f t="shared" si="242"/>
        <v>#DIV/0!</v>
      </c>
      <c r="O87" s="189" t="e">
        <f t="shared" si="243"/>
        <v>#DIV/0!</v>
      </c>
      <c r="P87" s="189"/>
      <c r="Q87" s="189"/>
      <c r="R87" s="188"/>
      <c r="S87" s="196" t="s">
        <v>269</v>
      </c>
      <c r="T87" s="188" t="s">
        <v>262</v>
      </c>
      <c r="U87" s="189">
        <f t="shared" si="298"/>
        <v>0.48461799758436869</v>
      </c>
      <c r="V87" s="189">
        <f t="shared" si="298"/>
        <v>0.51681211544018901</v>
      </c>
      <c r="W87" s="189">
        <f t="shared" si="298"/>
        <v>0.5060384933230847</v>
      </c>
      <c r="X87" s="189">
        <f t="shared" si="298"/>
        <v>0.54936697901395848</v>
      </c>
      <c r="Y87" s="189">
        <f t="shared" si="298"/>
        <v>0.39297883534122424</v>
      </c>
      <c r="Z87" s="189">
        <f t="shared" si="298"/>
        <v>0.33719097254315572</v>
      </c>
      <c r="AA87" s="189">
        <f t="shared" si="298"/>
        <v>0.23164335664335653</v>
      </c>
      <c r="AB87" s="189" t="e">
        <f t="shared" si="298"/>
        <v>#DIV/0!</v>
      </c>
      <c r="AC87" s="189" t="e">
        <f t="shared" si="298"/>
        <v>#DIV/0!</v>
      </c>
      <c r="AD87" s="189" t="e">
        <f t="shared" si="298"/>
        <v>#DIV/0!</v>
      </c>
      <c r="AE87" s="189" t="e">
        <f t="shared" si="298"/>
        <v>#DIV/0!</v>
      </c>
      <c r="AF87" s="189" t="e">
        <f t="shared" si="298"/>
        <v>#DIV/0!</v>
      </c>
      <c r="AG87" s="189" t="e">
        <f t="shared" si="298"/>
        <v>#DIV/0!</v>
      </c>
      <c r="AH87" s="189"/>
      <c r="AI87" s="189"/>
      <c r="AJ87" s="188"/>
      <c r="AK87" s="196" t="s">
        <v>269</v>
      </c>
      <c r="AL87" s="188" t="s">
        <v>262</v>
      </c>
      <c r="AM87" s="189">
        <f>AM26/AM59</f>
        <v>17.37937062937063</v>
      </c>
      <c r="AN87" s="189">
        <f t="shared" ref="AN87:AX87" si="305">AN26/AN59</f>
        <v>18.533916083916058</v>
      </c>
      <c r="AO87" s="189">
        <f t="shared" si="305"/>
        <v>18.147552447552464</v>
      </c>
      <c r="AP87" s="189">
        <f t="shared" si="305"/>
        <v>19.70139860139858</v>
      </c>
      <c r="AQ87" s="189">
        <f t="shared" si="305"/>
        <v>14.093006993006984</v>
      </c>
      <c r="AR87" s="189">
        <f t="shared" si="305"/>
        <v>12.092342657342652</v>
      </c>
      <c r="AS87" s="189">
        <f t="shared" si="305"/>
        <v>12.04545454545454</v>
      </c>
      <c r="AT87" s="189" t="e">
        <f t="shared" si="305"/>
        <v>#DIV/0!</v>
      </c>
      <c r="AU87" s="189" t="e">
        <f t="shared" si="305"/>
        <v>#DIV/0!</v>
      </c>
      <c r="AV87" s="189" t="e">
        <f t="shared" si="305"/>
        <v>#DIV/0!</v>
      </c>
      <c r="AW87" s="189" t="e">
        <f t="shared" si="305"/>
        <v>#DIV/0!</v>
      </c>
      <c r="AX87" s="189" t="e">
        <f t="shared" si="305"/>
        <v>#DIV/0!</v>
      </c>
      <c r="AY87" s="189" t="e">
        <f>SUM(AM87:AX87)</f>
        <v>#DIV/0!</v>
      </c>
      <c r="AZ87" s="189"/>
      <c r="BA87" s="189"/>
      <c r="BB87" s="188"/>
      <c r="BC87" s="196" t="s">
        <v>269</v>
      </c>
      <c r="BD87" s="188" t="s">
        <v>262</v>
      </c>
      <c r="BE87" s="189">
        <f>客単価!E7/12</f>
        <v>35.862000000000002</v>
      </c>
      <c r="BF87" s="189">
        <f t="shared" ref="BF87:BJ88" si="306">BE87</f>
        <v>35.862000000000002</v>
      </c>
      <c r="BG87" s="189">
        <f t="shared" si="306"/>
        <v>35.862000000000002</v>
      </c>
      <c r="BH87" s="189">
        <f t="shared" si="306"/>
        <v>35.862000000000002</v>
      </c>
      <c r="BI87" s="189">
        <f t="shared" si="306"/>
        <v>35.862000000000002</v>
      </c>
      <c r="BJ87" s="189">
        <f t="shared" si="306"/>
        <v>35.862000000000002</v>
      </c>
      <c r="BK87" s="213">
        <v>52</v>
      </c>
      <c r="BL87" s="189">
        <f t="shared" ref="BL87:BP88" si="307">BK87</f>
        <v>52</v>
      </c>
      <c r="BM87" s="189">
        <f t="shared" si="307"/>
        <v>52</v>
      </c>
      <c r="BN87" s="189">
        <f t="shared" si="307"/>
        <v>52</v>
      </c>
      <c r="BO87" s="189">
        <f t="shared" si="307"/>
        <v>52</v>
      </c>
      <c r="BP87" s="189">
        <f t="shared" si="307"/>
        <v>52</v>
      </c>
      <c r="BQ87" s="189">
        <f>SUM(BE87:BP87)</f>
        <v>527.17200000000003</v>
      </c>
      <c r="BR87" s="189"/>
      <c r="BS87" s="189"/>
      <c r="BT87" s="189"/>
      <c r="BU87" s="188"/>
      <c r="BV87" s="188"/>
      <c r="BW87" s="188"/>
      <c r="BX87" s="196" t="s">
        <v>269</v>
      </c>
      <c r="BY87" s="188" t="s">
        <v>262</v>
      </c>
      <c r="BZ87" s="189" t="e">
        <f t="shared" ref="BZ87:CK87" si="308">BZ26/BZ59</f>
        <v>#DIV/0!</v>
      </c>
      <c r="CA87" s="189" t="e">
        <f t="shared" si="308"/>
        <v>#DIV/0!</v>
      </c>
      <c r="CB87" s="189" t="e">
        <f t="shared" si="308"/>
        <v>#DIV/0!</v>
      </c>
      <c r="CC87" s="189" t="e">
        <f t="shared" si="308"/>
        <v>#DIV/0!</v>
      </c>
      <c r="CD87" s="189" t="e">
        <f t="shared" si="308"/>
        <v>#DIV/0!</v>
      </c>
      <c r="CE87" s="189" t="e">
        <f t="shared" si="308"/>
        <v>#DIV/0!</v>
      </c>
      <c r="CF87" s="189" t="e">
        <f t="shared" si="308"/>
        <v>#DIV/0!</v>
      </c>
      <c r="CG87" s="189" t="e">
        <f t="shared" si="308"/>
        <v>#DIV/0!</v>
      </c>
      <c r="CH87" s="189" t="e">
        <f t="shared" si="308"/>
        <v>#DIV/0!</v>
      </c>
      <c r="CI87" s="189" t="e">
        <f t="shared" si="308"/>
        <v>#DIV/0!</v>
      </c>
      <c r="CJ87" s="189" t="e">
        <f t="shared" si="308"/>
        <v>#DIV/0!</v>
      </c>
      <c r="CK87" s="189" t="e">
        <f t="shared" si="308"/>
        <v>#DIV/0!</v>
      </c>
      <c r="CL87" s="189" t="e">
        <f>SUM(BZ87:CK87)</f>
        <v>#DIV/0!</v>
      </c>
      <c r="CM87" s="189"/>
      <c r="CN87" s="189"/>
    </row>
    <row r="88" spans="1:92">
      <c r="A88" s="196" t="s">
        <v>269</v>
      </c>
      <c r="B88" s="188" t="s">
        <v>26</v>
      </c>
      <c r="C88" s="189">
        <f t="shared" si="231"/>
        <v>1.805282255880707E-2</v>
      </c>
      <c r="D88" s="189">
        <f t="shared" si="232"/>
        <v>1.805282255880707E-2</v>
      </c>
      <c r="E88" s="189">
        <f t="shared" si="233"/>
        <v>1.805282255880707E-2</v>
      </c>
      <c r="F88" s="189">
        <f t="shared" si="234"/>
        <v>1.805282255880707E-2</v>
      </c>
      <c r="G88" s="189">
        <f t="shared" si="235"/>
        <v>1.805282255880707E-2</v>
      </c>
      <c r="H88" s="189">
        <f t="shared" si="236"/>
        <v>1.805282255880707E-2</v>
      </c>
      <c r="I88" s="189">
        <f t="shared" si="237"/>
        <v>1.805282255880707E-2</v>
      </c>
      <c r="J88" s="189" t="e">
        <f t="shared" si="238"/>
        <v>#DIV/0!</v>
      </c>
      <c r="K88" s="189" t="e">
        <f t="shared" si="239"/>
        <v>#DIV/0!</v>
      </c>
      <c r="L88" s="189" t="e">
        <f t="shared" si="240"/>
        <v>#DIV/0!</v>
      </c>
      <c r="M88" s="189" t="e">
        <f t="shared" si="241"/>
        <v>#DIV/0!</v>
      </c>
      <c r="N88" s="189" t="e">
        <f t="shared" si="242"/>
        <v>#DIV/0!</v>
      </c>
      <c r="O88" s="189" t="e">
        <f t="shared" si="243"/>
        <v>#DIV/0!</v>
      </c>
      <c r="P88" s="189"/>
      <c r="Q88" s="189"/>
      <c r="R88" s="188"/>
      <c r="S88" s="196" t="s">
        <v>269</v>
      </c>
      <c r="T88" s="188" t="s">
        <v>26</v>
      </c>
      <c r="U88" s="189">
        <f t="shared" si="298"/>
        <v>0.96409184182007468</v>
      </c>
      <c r="V88" s="189">
        <f t="shared" si="298"/>
        <v>0.89116937978707522</v>
      </c>
      <c r="W88" s="189">
        <f t="shared" si="298"/>
        <v>0.35303662151819853</v>
      </c>
      <c r="X88" s="189">
        <f t="shared" si="298"/>
        <v>1.0748595845990823</v>
      </c>
      <c r="Y88" s="189">
        <f t="shared" si="298"/>
        <v>0.89633905170164263</v>
      </c>
      <c r="Z88" s="189">
        <f t="shared" si="298"/>
        <v>0.88881157174984893</v>
      </c>
      <c r="AA88" s="189">
        <f t="shared" si="298"/>
        <v>0.88334101945930121</v>
      </c>
      <c r="AB88" s="189" t="e">
        <f t="shared" si="298"/>
        <v>#DIV/0!</v>
      </c>
      <c r="AC88" s="189" t="e">
        <f t="shared" si="298"/>
        <v>#DIV/0!</v>
      </c>
      <c r="AD88" s="189" t="e">
        <f t="shared" si="298"/>
        <v>#DIV/0!</v>
      </c>
      <c r="AE88" s="189" t="e">
        <f t="shared" si="298"/>
        <v>#DIV/0!</v>
      </c>
      <c r="AF88" s="189" t="e">
        <f t="shared" si="298"/>
        <v>#DIV/0!</v>
      </c>
      <c r="AG88" s="189" t="e">
        <f t="shared" si="298"/>
        <v>#DIV/0!</v>
      </c>
      <c r="AH88" s="189"/>
      <c r="AI88" s="189"/>
      <c r="AJ88" s="188"/>
      <c r="AK88" s="196" t="s">
        <v>269</v>
      </c>
      <c r="AL88" s="188" t="s">
        <v>26</v>
      </c>
      <c r="AM88" s="189">
        <f>AM27/AM60</f>
        <v>53.403939393939396</v>
      </c>
      <c r="AN88" s="189">
        <f t="shared" ref="AN88:AX88" si="309">AN27/AN60</f>
        <v>49.364545454545457</v>
      </c>
      <c r="AO88" s="189">
        <f t="shared" si="309"/>
        <v>19.555757575757571</v>
      </c>
      <c r="AP88" s="189">
        <f t="shared" si="309"/>
        <v>59.539696969696962</v>
      </c>
      <c r="AQ88" s="189">
        <f t="shared" si="309"/>
        <v>49.650909090909089</v>
      </c>
      <c r="AR88" s="189">
        <f t="shared" si="309"/>
        <v>49.23393939393938</v>
      </c>
      <c r="AS88" s="189">
        <f t="shared" si="309"/>
        <v>48.930909090909076</v>
      </c>
      <c r="AT88" s="189" t="e">
        <f t="shared" si="309"/>
        <v>#DIV/0!</v>
      </c>
      <c r="AU88" s="189" t="e">
        <f t="shared" si="309"/>
        <v>#DIV/0!</v>
      </c>
      <c r="AV88" s="189" t="e">
        <f t="shared" si="309"/>
        <v>#DIV/0!</v>
      </c>
      <c r="AW88" s="189" t="e">
        <f t="shared" si="309"/>
        <v>#DIV/0!</v>
      </c>
      <c r="AX88" s="189" t="e">
        <f t="shared" si="309"/>
        <v>#DIV/0!</v>
      </c>
      <c r="AY88" s="189" t="e">
        <f>SUM(AM88:AX88)</f>
        <v>#DIV/0!</v>
      </c>
      <c r="AZ88" s="189"/>
      <c r="BA88" s="189"/>
      <c r="BB88" s="188"/>
      <c r="BC88" s="196" t="s">
        <v>269</v>
      </c>
      <c r="BD88" s="188" t="s">
        <v>26</v>
      </c>
      <c r="BE88" s="189">
        <f>客単価!E8/12</f>
        <v>55.393000000000001</v>
      </c>
      <c r="BF88" s="189">
        <f t="shared" si="306"/>
        <v>55.393000000000001</v>
      </c>
      <c r="BG88" s="189">
        <f t="shared" si="306"/>
        <v>55.393000000000001</v>
      </c>
      <c r="BH88" s="189">
        <f t="shared" si="306"/>
        <v>55.393000000000001</v>
      </c>
      <c r="BI88" s="189">
        <f t="shared" si="306"/>
        <v>55.393000000000001</v>
      </c>
      <c r="BJ88" s="189">
        <f t="shared" si="306"/>
        <v>55.393000000000001</v>
      </c>
      <c r="BK88" s="189">
        <f>BJ88</f>
        <v>55.393000000000001</v>
      </c>
      <c r="BL88" s="189">
        <f t="shared" si="307"/>
        <v>55.393000000000001</v>
      </c>
      <c r="BM88" s="189">
        <f t="shared" si="307"/>
        <v>55.393000000000001</v>
      </c>
      <c r="BN88" s="189">
        <f t="shared" si="307"/>
        <v>55.393000000000001</v>
      </c>
      <c r="BO88" s="189">
        <f t="shared" si="307"/>
        <v>55.393000000000001</v>
      </c>
      <c r="BP88" s="189">
        <f t="shared" si="307"/>
        <v>55.393000000000001</v>
      </c>
      <c r="BQ88" s="189">
        <f>SUM(BE88:BP88)</f>
        <v>664.71600000000024</v>
      </c>
      <c r="BR88" s="189"/>
      <c r="BS88" s="189"/>
      <c r="BT88" s="189"/>
      <c r="BU88" s="188"/>
      <c r="BV88" s="188"/>
      <c r="BW88" s="188"/>
      <c r="BX88" s="196" t="s">
        <v>269</v>
      </c>
      <c r="BY88" s="188" t="s">
        <v>26</v>
      </c>
      <c r="BZ88" s="189" t="e">
        <f t="shared" ref="BZ88:CK88" si="310">BZ27/BZ60</f>
        <v>#DIV/0!</v>
      </c>
      <c r="CA88" s="189" t="e">
        <f t="shared" si="310"/>
        <v>#DIV/0!</v>
      </c>
      <c r="CB88" s="189" t="e">
        <f t="shared" si="310"/>
        <v>#DIV/0!</v>
      </c>
      <c r="CC88" s="189" t="e">
        <f t="shared" si="310"/>
        <v>#DIV/0!</v>
      </c>
      <c r="CD88" s="189" t="e">
        <f t="shared" si="310"/>
        <v>#DIV/0!</v>
      </c>
      <c r="CE88" s="189" t="e">
        <f t="shared" si="310"/>
        <v>#DIV/0!</v>
      </c>
      <c r="CF88" s="189" t="e">
        <f t="shared" si="310"/>
        <v>#DIV/0!</v>
      </c>
      <c r="CG88" s="189" t="e">
        <f t="shared" si="310"/>
        <v>#DIV/0!</v>
      </c>
      <c r="CH88" s="189" t="e">
        <f t="shared" si="310"/>
        <v>#DIV/0!</v>
      </c>
      <c r="CI88" s="189" t="e">
        <f t="shared" si="310"/>
        <v>#DIV/0!</v>
      </c>
      <c r="CJ88" s="189" t="e">
        <f t="shared" si="310"/>
        <v>#DIV/0!</v>
      </c>
      <c r="CK88" s="189" t="e">
        <f t="shared" si="310"/>
        <v>#DIV/0!</v>
      </c>
      <c r="CL88" s="189" t="e">
        <f>SUM(BZ88:CK88)</f>
        <v>#DIV/0!</v>
      </c>
      <c r="CM88" s="189"/>
      <c r="CN88" s="189"/>
    </row>
    <row r="89" spans="1:92">
      <c r="A89" s="188"/>
      <c r="B89" s="190"/>
      <c r="C89" s="191" t="e">
        <f t="shared" si="231"/>
        <v>#DIV/0!</v>
      </c>
      <c r="D89" s="191" t="e">
        <f t="shared" si="232"/>
        <v>#DIV/0!</v>
      </c>
      <c r="E89" s="191" t="e">
        <f t="shared" si="233"/>
        <v>#DIV/0!</v>
      </c>
      <c r="F89" s="191" t="e">
        <f t="shared" si="234"/>
        <v>#DIV/0!</v>
      </c>
      <c r="G89" s="191" t="e">
        <f t="shared" si="235"/>
        <v>#DIV/0!</v>
      </c>
      <c r="H89" s="191" t="e">
        <f t="shared" si="236"/>
        <v>#DIV/0!</v>
      </c>
      <c r="I89" s="191" t="e">
        <f t="shared" si="237"/>
        <v>#DIV/0!</v>
      </c>
      <c r="J89" s="191" t="e">
        <f t="shared" si="238"/>
        <v>#DIV/0!</v>
      </c>
      <c r="K89" s="191" t="e">
        <f t="shared" si="239"/>
        <v>#DIV/0!</v>
      </c>
      <c r="L89" s="191" t="e">
        <f t="shared" si="240"/>
        <v>#DIV/0!</v>
      </c>
      <c r="M89" s="191" t="e">
        <f t="shared" si="241"/>
        <v>#DIV/0!</v>
      </c>
      <c r="N89" s="191" t="e">
        <f t="shared" si="242"/>
        <v>#DIV/0!</v>
      </c>
      <c r="O89" s="191" t="e">
        <f t="shared" si="243"/>
        <v>#DIV/0!</v>
      </c>
      <c r="P89" s="191"/>
      <c r="Q89" s="191"/>
      <c r="R89" s="188"/>
      <c r="S89" s="197"/>
      <c r="T89" s="190"/>
      <c r="U89" s="191" t="e">
        <f t="shared" si="298"/>
        <v>#DIV/0!</v>
      </c>
      <c r="V89" s="191" t="e">
        <f t="shared" si="298"/>
        <v>#DIV/0!</v>
      </c>
      <c r="W89" s="191" t="e">
        <f t="shared" si="298"/>
        <v>#DIV/0!</v>
      </c>
      <c r="X89" s="191" t="e">
        <f t="shared" si="298"/>
        <v>#DIV/0!</v>
      </c>
      <c r="Y89" s="191" t="e">
        <f t="shared" si="298"/>
        <v>#DIV/0!</v>
      </c>
      <c r="Z89" s="191" t="e">
        <f t="shared" si="298"/>
        <v>#DIV/0!</v>
      </c>
      <c r="AA89" s="191" t="e">
        <f t="shared" si="298"/>
        <v>#DIV/0!</v>
      </c>
      <c r="AB89" s="191" t="e">
        <f t="shared" si="298"/>
        <v>#DIV/0!</v>
      </c>
      <c r="AC89" s="191" t="e">
        <f t="shared" si="298"/>
        <v>#DIV/0!</v>
      </c>
      <c r="AD89" s="191" t="e">
        <f t="shared" si="298"/>
        <v>#DIV/0!</v>
      </c>
      <c r="AE89" s="191" t="e">
        <f t="shared" si="298"/>
        <v>#DIV/0!</v>
      </c>
      <c r="AF89" s="191" t="e">
        <f t="shared" si="298"/>
        <v>#DIV/0!</v>
      </c>
      <c r="AG89" s="191" t="e">
        <f t="shared" si="298"/>
        <v>#DIV/0!</v>
      </c>
      <c r="AH89" s="191"/>
      <c r="AI89" s="191"/>
      <c r="AJ89" s="188"/>
      <c r="AK89" s="188"/>
      <c r="AL89" s="190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88"/>
      <c r="BC89" s="188"/>
      <c r="BD89" s="190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89"/>
      <c r="BU89" s="188"/>
      <c r="BV89" s="188"/>
      <c r="BW89" s="188"/>
      <c r="BX89" s="188"/>
      <c r="BY89" s="190"/>
      <c r="BZ89" s="191"/>
      <c r="CA89" s="191"/>
      <c r="CB89" s="191"/>
      <c r="CC89" s="191"/>
      <c r="CD89" s="191"/>
      <c r="CE89" s="191"/>
      <c r="CF89" s="191"/>
      <c r="CG89" s="191"/>
      <c r="CH89" s="191"/>
      <c r="CI89" s="191"/>
      <c r="CJ89" s="191"/>
      <c r="CK89" s="191"/>
      <c r="CL89" s="191"/>
      <c r="CM89" s="191"/>
      <c r="CN89" s="191"/>
    </row>
    <row r="90" spans="1:92">
      <c r="B90" s="172" t="s">
        <v>162</v>
      </c>
      <c r="C90" s="173" t="e">
        <f t="shared" si="231"/>
        <v>#DIV/0!</v>
      </c>
      <c r="D90" s="173" t="e">
        <f t="shared" si="232"/>
        <v>#DIV/0!</v>
      </c>
      <c r="E90" s="173" t="e">
        <f t="shared" si="233"/>
        <v>#DIV/0!</v>
      </c>
      <c r="F90" s="173" t="e">
        <f t="shared" si="234"/>
        <v>#DIV/0!</v>
      </c>
      <c r="G90" s="173" t="e">
        <f t="shared" si="235"/>
        <v>#DIV/0!</v>
      </c>
      <c r="H90" s="173" t="e">
        <f t="shared" si="236"/>
        <v>#DIV/0!</v>
      </c>
      <c r="I90" s="173" t="e">
        <f t="shared" si="237"/>
        <v>#DIV/0!</v>
      </c>
      <c r="J90" s="173" t="e">
        <f t="shared" si="238"/>
        <v>#DIV/0!</v>
      </c>
      <c r="K90" s="173" t="e">
        <f t="shared" si="239"/>
        <v>#DIV/0!</v>
      </c>
      <c r="L90" s="173" t="e">
        <f t="shared" si="240"/>
        <v>#DIV/0!</v>
      </c>
      <c r="M90" s="173" t="e">
        <f t="shared" si="241"/>
        <v>#DIV/0!</v>
      </c>
      <c r="N90" s="173" t="e">
        <f t="shared" si="242"/>
        <v>#DIV/0!</v>
      </c>
      <c r="O90" s="173" t="e">
        <f t="shared" si="243"/>
        <v>#DIV/0!</v>
      </c>
      <c r="P90" s="173"/>
      <c r="Q90" s="173"/>
      <c r="T90" s="172" t="s">
        <v>162</v>
      </c>
      <c r="U90" s="173" t="e">
        <f t="shared" si="244"/>
        <v>#DIV/0!</v>
      </c>
      <c r="V90" s="173" t="e">
        <f t="shared" si="245"/>
        <v>#DIV/0!</v>
      </c>
      <c r="W90" s="173" t="e">
        <f t="shared" si="246"/>
        <v>#DIV/0!</v>
      </c>
      <c r="X90" s="173" t="e">
        <f t="shared" si="247"/>
        <v>#DIV/0!</v>
      </c>
      <c r="Y90" s="173" t="e">
        <f t="shared" si="248"/>
        <v>#DIV/0!</v>
      </c>
      <c r="Z90" s="173" t="e">
        <f t="shared" si="249"/>
        <v>#DIV/0!</v>
      </c>
      <c r="AA90" s="173" t="e">
        <f t="shared" si="250"/>
        <v>#DIV/0!</v>
      </c>
      <c r="AB90" s="173" t="e">
        <f t="shared" si="251"/>
        <v>#DIV/0!</v>
      </c>
      <c r="AC90" s="173" t="e">
        <f t="shared" si="252"/>
        <v>#DIV/0!</v>
      </c>
      <c r="AD90" s="173" t="e">
        <f t="shared" si="253"/>
        <v>#DIV/0!</v>
      </c>
      <c r="AE90" s="173" t="e">
        <f t="shared" si="254"/>
        <v>#DIV/0!</v>
      </c>
      <c r="AF90" s="173" t="e">
        <f t="shared" si="255"/>
        <v>#DIV/0!</v>
      </c>
      <c r="AG90" s="173" t="e">
        <f t="shared" si="256"/>
        <v>#DIV/0!</v>
      </c>
      <c r="AH90" s="173"/>
      <c r="AI90" s="173"/>
      <c r="AL90" s="172" t="s">
        <v>162</v>
      </c>
      <c r="AM90" s="173"/>
      <c r="AN90" s="173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  <c r="AY90" s="173"/>
      <c r="AZ90" s="173"/>
      <c r="BA90" s="173"/>
      <c r="BD90" s="172" t="s">
        <v>162</v>
      </c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3"/>
      <c r="BS90" s="173"/>
      <c r="BY90" s="190" t="s">
        <v>162</v>
      </c>
      <c r="BZ90" s="191"/>
      <c r="CA90" s="191"/>
      <c r="CB90" s="191"/>
      <c r="CC90" s="191"/>
      <c r="CD90" s="191"/>
      <c r="CE90" s="191"/>
      <c r="CF90" s="191"/>
      <c r="CG90" s="191"/>
      <c r="CH90" s="191"/>
      <c r="CI90" s="191"/>
      <c r="CJ90" s="191"/>
      <c r="CK90" s="191"/>
      <c r="CL90" s="191"/>
      <c r="CM90" s="191"/>
      <c r="CN90" s="191"/>
    </row>
    <row r="91" spans="1:92">
      <c r="A91" s="65" t="s">
        <v>287</v>
      </c>
      <c r="B91" s="65" t="s">
        <v>272</v>
      </c>
      <c r="C91" s="69">
        <f t="shared" si="231"/>
        <v>6.3291139240506328E-3</v>
      </c>
      <c r="D91" s="69">
        <f t="shared" si="232"/>
        <v>6.3291139240506337E-3</v>
      </c>
      <c r="E91" s="69">
        <f t="shared" si="233"/>
        <v>6.3291139240506337E-3</v>
      </c>
      <c r="F91" s="69">
        <f t="shared" si="234"/>
        <v>6.3291139240506328E-3</v>
      </c>
      <c r="G91" s="69">
        <f t="shared" si="235"/>
        <v>6.3291139240506328E-3</v>
      </c>
      <c r="H91" s="69">
        <f t="shared" si="236"/>
        <v>6.3291139240506328E-3</v>
      </c>
      <c r="I91" s="69">
        <f t="shared" si="237"/>
        <v>6.3291139240506328E-3</v>
      </c>
      <c r="J91" s="69" t="e">
        <f t="shared" si="238"/>
        <v>#DIV/0!</v>
      </c>
      <c r="K91" s="69" t="e">
        <f t="shared" si="239"/>
        <v>#DIV/0!</v>
      </c>
      <c r="L91" s="69" t="e">
        <f t="shared" si="240"/>
        <v>#DIV/0!</v>
      </c>
      <c r="M91" s="69" t="e">
        <f t="shared" si="241"/>
        <v>#DIV/0!</v>
      </c>
      <c r="N91" s="69" t="e">
        <f t="shared" si="242"/>
        <v>#DIV/0!</v>
      </c>
      <c r="O91" s="69" t="e">
        <f t="shared" si="243"/>
        <v>#DIV/0!</v>
      </c>
      <c r="S91" s="65" t="s">
        <v>287</v>
      </c>
      <c r="T91" s="65" t="s">
        <v>272</v>
      </c>
      <c r="U91" s="69">
        <f t="shared" si="244"/>
        <v>5.5901419255849625</v>
      </c>
      <c r="V91" s="69">
        <f t="shared" si="245"/>
        <v>3.229886843114691</v>
      </c>
      <c r="W91" s="69">
        <f t="shared" si="246"/>
        <v>2.0311241369390105</v>
      </c>
      <c r="X91" s="69">
        <f t="shared" si="247"/>
        <v>1.3471806674338318</v>
      </c>
      <c r="Y91" s="69">
        <f t="shared" si="248"/>
        <v>0.97962744533947044</v>
      </c>
      <c r="Z91" s="69">
        <f t="shared" si="249"/>
        <v>1.0991465285769082</v>
      </c>
      <c r="AA91" s="69">
        <f t="shared" si="250"/>
        <v>0.83886001707561519</v>
      </c>
      <c r="AB91" s="69" t="e">
        <f t="shared" si="251"/>
        <v>#DIV/0!</v>
      </c>
      <c r="AC91" s="69" t="e">
        <f t="shared" si="252"/>
        <v>#DIV/0!</v>
      </c>
      <c r="AD91" s="69" t="e">
        <f t="shared" si="253"/>
        <v>#DIV/0!</v>
      </c>
      <c r="AE91" s="69" t="e">
        <f t="shared" si="254"/>
        <v>#DIV/0!</v>
      </c>
      <c r="AF91" s="69" t="e">
        <f t="shared" si="255"/>
        <v>#DIV/0!</v>
      </c>
      <c r="AG91" s="69" t="e">
        <f t="shared" si="256"/>
        <v>#DIV/0!</v>
      </c>
      <c r="AK91" s="65" t="s">
        <v>287</v>
      </c>
      <c r="AL91" s="65" t="s">
        <v>272</v>
      </c>
      <c r="AM91" s="69">
        <f>AM29/AM62</f>
        <v>883.24242424242414</v>
      </c>
      <c r="AN91" s="69">
        <f>AN29/AN62</f>
        <v>510.32212121212115</v>
      </c>
      <c r="AO91" s="69">
        <f>AO29/AO62</f>
        <v>320.91761363636363</v>
      </c>
      <c r="AP91" s="69">
        <f>AP29/AP62</f>
        <v>212.85454545454542</v>
      </c>
      <c r="AQ91" s="69">
        <f t="shared" ref="AQ91:AX91" si="311">AQ29/AQ62</f>
        <v>154.78113636363634</v>
      </c>
      <c r="AR91" s="69">
        <f t="shared" si="311"/>
        <v>173.66515151515151</v>
      </c>
      <c r="AS91" s="69">
        <f t="shared" si="311"/>
        <v>132.53988269794721</v>
      </c>
      <c r="AT91" s="69" t="e">
        <f t="shared" si="311"/>
        <v>#DIV/0!</v>
      </c>
      <c r="AU91" s="69" t="e">
        <f t="shared" si="311"/>
        <v>#DIV/0!</v>
      </c>
      <c r="AV91" s="69" t="e">
        <f t="shared" si="311"/>
        <v>#DIV/0!</v>
      </c>
      <c r="AW91" s="69" t="e">
        <f t="shared" si="311"/>
        <v>#DIV/0!</v>
      </c>
      <c r="AX91" s="69" t="e">
        <f t="shared" si="311"/>
        <v>#DIV/0!</v>
      </c>
      <c r="AY91" s="69" t="e">
        <f t="shared" ref="AY91" si="312">SUM(AM91:AX91)</f>
        <v>#DIV/0!</v>
      </c>
      <c r="BC91" s="65" t="s">
        <v>287</v>
      </c>
      <c r="BD91" s="65" t="s">
        <v>272</v>
      </c>
      <c r="BE91" s="69">
        <v>158</v>
      </c>
      <c r="BF91" s="69">
        <f>BE91</f>
        <v>158</v>
      </c>
      <c r="BG91" s="69">
        <f t="shared" ref="BG91:BP91" si="313">BF91</f>
        <v>158</v>
      </c>
      <c r="BH91" s="69">
        <f t="shared" si="313"/>
        <v>158</v>
      </c>
      <c r="BI91" s="69">
        <f t="shared" si="313"/>
        <v>158</v>
      </c>
      <c r="BJ91" s="69">
        <f t="shared" si="313"/>
        <v>158</v>
      </c>
      <c r="BK91" s="69">
        <f t="shared" si="313"/>
        <v>158</v>
      </c>
      <c r="BL91" s="69">
        <f t="shared" si="313"/>
        <v>158</v>
      </c>
      <c r="BM91" s="69">
        <f t="shared" si="313"/>
        <v>158</v>
      </c>
      <c r="BN91" s="69">
        <f t="shared" si="313"/>
        <v>158</v>
      </c>
      <c r="BO91" s="69">
        <f t="shared" si="313"/>
        <v>158</v>
      </c>
      <c r="BP91" s="69">
        <f t="shared" si="313"/>
        <v>158</v>
      </c>
      <c r="BQ91" s="69">
        <f t="shared" si="263"/>
        <v>1896</v>
      </c>
      <c r="BX91" s="65" t="s">
        <v>287</v>
      </c>
      <c r="BY91" s="65" t="s">
        <v>272</v>
      </c>
      <c r="BZ91" s="189">
        <v>158</v>
      </c>
      <c r="CA91" s="189">
        <f t="shared" ref="CA91:CK91" si="314">BZ91</f>
        <v>158</v>
      </c>
      <c r="CB91" s="189">
        <f t="shared" si="314"/>
        <v>158</v>
      </c>
      <c r="CC91" s="189">
        <f t="shared" si="314"/>
        <v>158</v>
      </c>
      <c r="CD91" s="189">
        <f t="shared" si="314"/>
        <v>158</v>
      </c>
      <c r="CE91" s="189">
        <f t="shared" si="314"/>
        <v>158</v>
      </c>
      <c r="CF91" s="189">
        <f t="shared" si="314"/>
        <v>158</v>
      </c>
      <c r="CG91" s="189">
        <f t="shared" si="314"/>
        <v>158</v>
      </c>
      <c r="CH91" s="189">
        <f t="shared" si="314"/>
        <v>158</v>
      </c>
      <c r="CI91" s="189">
        <f t="shared" si="314"/>
        <v>158</v>
      </c>
      <c r="CJ91" s="189">
        <f t="shared" si="314"/>
        <v>158</v>
      </c>
      <c r="CK91" s="189">
        <f t="shared" si="314"/>
        <v>158</v>
      </c>
      <c r="CL91" s="189">
        <f>SUM(BZ91:CK91)</f>
        <v>1896</v>
      </c>
      <c r="CM91" s="189"/>
      <c r="CN91" s="189"/>
    </row>
    <row r="92" spans="1:92">
      <c r="BZ92" s="189"/>
      <c r="CA92" s="189"/>
      <c r="CB92" s="189"/>
      <c r="CC92" s="189"/>
      <c r="CD92" s="189"/>
      <c r="CE92" s="189"/>
      <c r="CF92" s="189"/>
      <c r="CG92" s="189"/>
      <c r="CH92" s="189"/>
      <c r="CI92" s="189"/>
      <c r="CJ92" s="189"/>
      <c r="CK92" s="189"/>
      <c r="CL92" s="189"/>
      <c r="CM92" s="189"/>
      <c r="CN92" s="189"/>
    </row>
    <row r="93" spans="1:92" s="199" customFormat="1">
      <c r="A93" s="199" t="s">
        <v>51</v>
      </c>
      <c r="C93" s="429">
        <v>1</v>
      </c>
      <c r="D93" s="429">
        <v>2</v>
      </c>
      <c r="E93" s="429">
        <v>3</v>
      </c>
      <c r="F93" s="429">
        <v>4</v>
      </c>
      <c r="G93" s="429">
        <v>5</v>
      </c>
      <c r="H93" s="429">
        <v>6</v>
      </c>
      <c r="I93" s="429">
        <v>7</v>
      </c>
      <c r="J93" s="429">
        <v>8</v>
      </c>
      <c r="K93" s="429">
        <v>9</v>
      </c>
      <c r="L93" s="429">
        <v>10</v>
      </c>
      <c r="M93" s="429">
        <v>11</v>
      </c>
      <c r="N93" s="429">
        <v>12</v>
      </c>
      <c r="O93" s="430" t="s">
        <v>38</v>
      </c>
      <c r="P93" s="439">
        <f>サマリ!$A$1</f>
        <v>7</v>
      </c>
      <c r="Q93" s="531">
        <f>サマリ!$A$1</f>
        <v>7</v>
      </c>
      <c r="R93" s="431"/>
      <c r="S93" s="199" t="s">
        <v>51</v>
      </c>
      <c r="T93" s="431"/>
      <c r="U93" s="429">
        <v>1</v>
      </c>
      <c r="V93" s="429">
        <v>2</v>
      </c>
      <c r="W93" s="429">
        <v>3</v>
      </c>
      <c r="X93" s="429">
        <v>4</v>
      </c>
      <c r="Y93" s="429">
        <v>5</v>
      </c>
      <c r="Z93" s="429">
        <v>6</v>
      </c>
      <c r="AA93" s="429">
        <v>7</v>
      </c>
      <c r="AB93" s="429">
        <v>8</v>
      </c>
      <c r="AC93" s="429">
        <v>9</v>
      </c>
      <c r="AD93" s="429">
        <v>10</v>
      </c>
      <c r="AE93" s="429">
        <v>11</v>
      </c>
      <c r="AF93" s="429">
        <v>12</v>
      </c>
      <c r="AG93" s="430" t="s">
        <v>38</v>
      </c>
      <c r="AH93" s="439">
        <f>サマリ!$A$1</f>
        <v>7</v>
      </c>
      <c r="AI93" s="531">
        <f>サマリ!$A$1</f>
        <v>7</v>
      </c>
      <c r="AJ93" s="431"/>
      <c r="AK93" s="199" t="s">
        <v>51</v>
      </c>
      <c r="AL93" s="431"/>
      <c r="AM93" s="429">
        <v>1</v>
      </c>
      <c r="AN93" s="429">
        <v>2</v>
      </c>
      <c r="AO93" s="429">
        <v>3</v>
      </c>
      <c r="AP93" s="429">
        <v>4</v>
      </c>
      <c r="AQ93" s="429">
        <v>5</v>
      </c>
      <c r="AR93" s="429">
        <v>6</v>
      </c>
      <c r="AS93" s="429">
        <v>7</v>
      </c>
      <c r="AT93" s="429">
        <v>8</v>
      </c>
      <c r="AU93" s="429">
        <v>9</v>
      </c>
      <c r="AV93" s="429">
        <v>10</v>
      </c>
      <c r="AW93" s="429">
        <v>11</v>
      </c>
      <c r="AX93" s="429">
        <v>12</v>
      </c>
      <c r="AY93" s="430" t="s">
        <v>38</v>
      </c>
      <c r="AZ93" s="439">
        <f>サマリ!$A$1</f>
        <v>7</v>
      </c>
      <c r="BA93" s="531">
        <f>サマリ!$A$1</f>
        <v>7</v>
      </c>
      <c r="BB93" s="431"/>
      <c r="BC93" s="199" t="s">
        <v>51</v>
      </c>
      <c r="BD93" s="431"/>
      <c r="BE93" s="429">
        <v>1</v>
      </c>
      <c r="BF93" s="429">
        <v>2</v>
      </c>
      <c r="BG93" s="429">
        <v>3</v>
      </c>
      <c r="BH93" s="429">
        <v>4</v>
      </c>
      <c r="BI93" s="429">
        <v>5</v>
      </c>
      <c r="BJ93" s="429">
        <v>6</v>
      </c>
      <c r="BK93" s="429">
        <v>7</v>
      </c>
      <c r="BL93" s="429">
        <v>8</v>
      </c>
      <c r="BM93" s="429">
        <v>9</v>
      </c>
      <c r="BN93" s="429">
        <v>10</v>
      </c>
      <c r="BO93" s="429">
        <v>11</v>
      </c>
      <c r="BP93" s="429">
        <v>12</v>
      </c>
      <c r="BQ93" s="430" t="s">
        <v>38</v>
      </c>
      <c r="BR93" s="439">
        <f>サマリ!$A$1</f>
        <v>7</v>
      </c>
      <c r="BS93" s="531">
        <f>サマリ!$A$1</f>
        <v>7</v>
      </c>
      <c r="BT93" s="200"/>
      <c r="BX93" s="199" t="s">
        <v>51</v>
      </c>
      <c r="BZ93" s="571">
        <v>1</v>
      </c>
      <c r="CA93" s="571">
        <v>2</v>
      </c>
      <c r="CB93" s="571">
        <v>3</v>
      </c>
      <c r="CC93" s="571">
        <v>4</v>
      </c>
      <c r="CD93" s="571">
        <v>5</v>
      </c>
      <c r="CE93" s="571">
        <v>6</v>
      </c>
      <c r="CF93" s="571">
        <v>7</v>
      </c>
      <c r="CG93" s="571">
        <v>8</v>
      </c>
      <c r="CH93" s="571">
        <v>9</v>
      </c>
      <c r="CI93" s="571">
        <v>10</v>
      </c>
      <c r="CJ93" s="571">
        <v>11</v>
      </c>
      <c r="CK93" s="571">
        <v>12</v>
      </c>
      <c r="CL93" s="572" t="s">
        <v>38</v>
      </c>
      <c r="CM93" s="573">
        <f>サマリ!$A$1</f>
        <v>7</v>
      </c>
      <c r="CN93" s="574">
        <f>サマリ!$A$1</f>
        <v>7</v>
      </c>
    </row>
    <row r="94" spans="1:92">
      <c r="A94" s="188"/>
      <c r="B94" s="188" t="s">
        <v>260</v>
      </c>
      <c r="C94" s="189" t="e">
        <f t="shared" ref="C94:O97" si="315">U94/AM94</f>
        <v>#REF!</v>
      </c>
      <c r="D94" s="189" t="e">
        <f t="shared" si="315"/>
        <v>#REF!</v>
      </c>
      <c r="E94" s="189" t="e">
        <f t="shared" si="315"/>
        <v>#REF!</v>
      </c>
      <c r="F94" s="189" t="e">
        <f t="shared" si="315"/>
        <v>#REF!</v>
      </c>
      <c r="G94" s="189" t="e">
        <f t="shared" si="315"/>
        <v>#REF!</v>
      </c>
      <c r="H94" s="189" t="e">
        <f t="shared" si="315"/>
        <v>#REF!</v>
      </c>
      <c r="I94" s="189" t="e">
        <f t="shared" si="315"/>
        <v>#REF!</v>
      </c>
      <c r="J94" s="189" t="e">
        <f t="shared" si="315"/>
        <v>#REF!</v>
      </c>
      <c r="K94" s="189" t="e">
        <f t="shared" si="315"/>
        <v>#REF!</v>
      </c>
      <c r="L94" s="189" t="e">
        <f t="shared" si="315"/>
        <v>#REF!</v>
      </c>
      <c r="M94" s="189" t="e">
        <f t="shared" si="315"/>
        <v>#REF!</v>
      </c>
      <c r="N94" s="189" t="e">
        <f t="shared" si="315"/>
        <v>#REF!</v>
      </c>
      <c r="O94" s="189" t="e">
        <f t="shared" si="315"/>
        <v>#REF!</v>
      </c>
      <c r="P94" s="189"/>
      <c r="Q94" s="189"/>
      <c r="R94" s="188"/>
      <c r="S94" s="188"/>
      <c r="T94" s="188" t="s">
        <v>260</v>
      </c>
      <c r="U94" s="189" t="e">
        <f t="shared" ref="U94:AG97" si="316">AM94/BE94</f>
        <v>#REF!</v>
      </c>
      <c r="V94" s="189" t="e">
        <f t="shared" si="316"/>
        <v>#REF!</v>
      </c>
      <c r="W94" s="189" t="e">
        <f t="shared" si="316"/>
        <v>#REF!</v>
      </c>
      <c r="X94" s="189" t="e">
        <f t="shared" si="316"/>
        <v>#REF!</v>
      </c>
      <c r="Y94" s="189" t="e">
        <f t="shared" si="316"/>
        <v>#REF!</v>
      </c>
      <c r="Z94" s="189" t="e">
        <f t="shared" si="316"/>
        <v>#REF!</v>
      </c>
      <c r="AA94" s="189" t="e">
        <f t="shared" si="316"/>
        <v>#REF!</v>
      </c>
      <c r="AB94" s="189" t="e">
        <f t="shared" si="316"/>
        <v>#REF!</v>
      </c>
      <c r="AC94" s="189" t="e">
        <f t="shared" si="316"/>
        <v>#REF!</v>
      </c>
      <c r="AD94" s="189" t="e">
        <f t="shared" si="316"/>
        <v>#REF!</v>
      </c>
      <c r="AE94" s="189" t="e">
        <f t="shared" si="316"/>
        <v>#REF!</v>
      </c>
      <c r="AF94" s="189" t="e">
        <f t="shared" si="316"/>
        <v>#REF!</v>
      </c>
      <c r="AG94" s="189" t="e">
        <f t="shared" si="316"/>
        <v>#REF!</v>
      </c>
      <c r="AH94" s="189"/>
      <c r="AI94" s="189"/>
      <c r="AJ94" s="188"/>
      <c r="AK94" s="188"/>
      <c r="AL94" s="188" t="s">
        <v>260</v>
      </c>
      <c r="AM94" s="189" t="e">
        <f>#REF!/AM66</f>
        <v>#REF!</v>
      </c>
      <c r="AN94" s="189" t="e">
        <f>#REF!/AN66</f>
        <v>#REF!</v>
      </c>
      <c r="AO94" s="189" t="e">
        <f>#REF!/AO66</f>
        <v>#REF!</v>
      </c>
      <c r="AP94" s="189" t="e">
        <f>#REF!/AP66</f>
        <v>#REF!</v>
      </c>
      <c r="AQ94" s="189" t="e">
        <f>#REF!/AQ66</f>
        <v>#REF!</v>
      </c>
      <c r="AR94" s="189" t="e">
        <f>#REF!/AR66</f>
        <v>#REF!</v>
      </c>
      <c r="AS94" s="189" t="e">
        <f>#REF!/AS66</f>
        <v>#REF!</v>
      </c>
      <c r="AT94" s="189" t="e">
        <f>#REF!/AT66</f>
        <v>#REF!</v>
      </c>
      <c r="AU94" s="189" t="e">
        <f>#REF!/AU66</f>
        <v>#REF!</v>
      </c>
      <c r="AV94" s="189" t="e">
        <f>#REF!/AV66</f>
        <v>#REF!</v>
      </c>
      <c r="AW94" s="189" t="e">
        <f>#REF!/AW66</f>
        <v>#REF!</v>
      </c>
      <c r="AX94" s="189" t="e">
        <f>#REF!/AX66</f>
        <v>#REF!</v>
      </c>
      <c r="AY94" s="189" t="e">
        <f>SUM(AM94:AX94)</f>
        <v>#REF!</v>
      </c>
      <c r="AZ94" s="189"/>
      <c r="BA94" s="189"/>
      <c r="BB94" s="188"/>
      <c r="BC94" s="188"/>
      <c r="BD94" s="188" t="s">
        <v>260</v>
      </c>
      <c r="BE94" s="201">
        <v>0.93</v>
      </c>
      <c r="BF94" s="201">
        <f t="shared" ref="BF94:BP94" si="317">BE94</f>
        <v>0.93</v>
      </c>
      <c r="BG94" s="201">
        <f t="shared" si="317"/>
        <v>0.93</v>
      </c>
      <c r="BH94" s="201">
        <f t="shared" si="317"/>
        <v>0.93</v>
      </c>
      <c r="BI94" s="201">
        <f t="shared" si="317"/>
        <v>0.93</v>
      </c>
      <c r="BJ94" s="201">
        <f t="shared" si="317"/>
        <v>0.93</v>
      </c>
      <c r="BK94" s="201">
        <f t="shared" si="317"/>
        <v>0.93</v>
      </c>
      <c r="BL94" s="201">
        <f t="shared" si="317"/>
        <v>0.93</v>
      </c>
      <c r="BM94" s="201">
        <f t="shared" si="317"/>
        <v>0.93</v>
      </c>
      <c r="BN94" s="201">
        <f t="shared" si="317"/>
        <v>0.93</v>
      </c>
      <c r="BO94" s="201">
        <f t="shared" si="317"/>
        <v>0.93</v>
      </c>
      <c r="BP94" s="201">
        <f t="shared" si="317"/>
        <v>0.93</v>
      </c>
      <c r="BQ94" s="189">
        <f>SUM(BE94:BP94)</f>
        <v>11.159999999999998</v>
      </c>
      <c r="BR94" s="189"/>
      <c r="BS94" s="189"/>
      <c r="BT94" s="189" t="s">
        <v>53</v>
      </c>
      <c r="BU94" s="188">
        <v>356</v>
      </c>
      <c r="BV94" s="188" t="s">
        <v>54</v>
      </c>
      <c r="BW94" s="188"/>
      <c r="BX94" s="188"/>
      <c r="BY94" s="188" t="s">
        <v>260</v>
      </c>
      <c r="BZ94" s="201">
        <v>0.93</v>
      </c>
      <c r="CA94" s="201">
        <f t="shared" ref="CA94:CK94" si="318">BZ94</f>
        <v>0.93</v>
      </c>
      <c r="CB94" s="201">
        <f t="shared" si="318"/>
        <v>0.93</v>
      </c>
      <c r="CC94" s="201">
        <f t="shared" si="318"/>
        <v>0.93</v>
      </c>
      <c r="CD94" s="201">
        <f t="shared" si="318"/>
        <v>0.93</v>
      </c>
      <c r="CE94" s="201">
        <f t="shared" si="318"/>
        <v>0.93</v>
      </c>
      <c r="CF94" s="201">
        <f t="shared" si="318"/>
        <v>0.93</v>
      </c>
      <c r="CG94" s="201">
        <f t="shared" si="318"/>
        <v>0.93</v>
      </c>
      <c r="CH94" s="201">
        <f t="shared" si="318"/>
        <v>0.93</v>
      </c>
      <c r="CI94" s="201">
        <f t="shared" si="318"/>
        <v>0.93</v>
      </c>
      <c r="CJ94" s="201">
        <f t="shared" si="318"/>
        <v>0.93</v>
      </c>
      <c r="CK94" s="201">
        <f t="shared" si="318"/>
        <v>0.93</v>
      </c>
      <c r="CL94" s="189">
        <f>SUM(BZ94:CK94)</f>
        <v>11.159999999999998</v>
      </c>
      <c r="CM94" s="189"/>
      <c r="CN94" s="189"/>
    </row>
    <row r="95" spans="1:92">
      <c r="A95" s="188"/>
      <c r="B95" s="188" t="s">
        <v>24</v>
      </c>
      <c r="C95" s="189">
        <f t="shared" si="315"/>
        <v>1.1363636363636365</v>
      </c>
      <c r="D95" s="189">
        <f t="shared" si="315"/>
        <v>1.1363636363636362</v>
      </c>
      <c r="E95" s="189">
        <f t="shared" si="315"/>
        <v>1.1363636363636365</v>
      </c>
      <c r="F95" s="189">
        <f t="shared" si="315"/>
        <v>1.1363636363636365</v>
      </c>
      <c r="G95" s="189">
        <f t="shared" si="315"/>
        <v>1.1363636363636362</v>
      </c>
      <c r="H95" s="189">
        <f t="shared" si="315"/>
        <v>1.1363636363636362</v>
      </c>
      <c r="I95" s="189">
        <f t="shared" si="315"/>
        <v>1.1363636363636362</v>
      </c>
      <c r="J95" s="189" t="e">
        <f t="shared" si="315"/>
        <v>#DIV/0!</v>
      </c>
      <c r="K95" s="189" t="e">
        <f t="shared" si="315"/>
        <v>#DIV/0!</v>
      </c>
      <c r="L95" s="189" t="e">
        <f t="shared" si="315"/>
        <v>#DIV/0!</v>
      </c>
      <c r="M95" s="189" t="e">
        <f t="shared" si="315"/>
        <v>#DIV/0!</v>
      </c>
      <c r="N95" s="189" t="e">
        <f t="shared" si="315"/>
        <v>#DIV/0!</v>
      </c>
      <c r="O95" s="189" t="e">
        <f t="shared" si="315"/>
        <v>#DIV/0!</v>
      </c>
      <c r="P95" s="189"/>
      <c r="Q95" s="189"/>
      <c r="R95" s="188"/>
      <c r="S95" s="188"/>
      <c r="T95" s="188" t="s">
        <v>24</v>
      </c>
      <c r="U95" s="189">
        <f t="shared" si="316"/>
        <v>212.15621818977297</v>
      </c>
      <c r="V95" s="189">
        <f t="shared" si="316"/>
        <v>428.51788394505388</v>
      </c>
      <c r="W95" s="189">
        <f t="shared" si="316"/>
        <v>509.35206948270996</v>
      </c>
      <c r="X95" s="189">
        <f t="shared" si="316"/>
        <v>515.59684851228337</v>
      </c>
      <c r="Y95" s="189">
        <f t="shared" si="316"/>
        <v>733.03921870530371</v>
      </c>
      <c r="Z95" s="189">
        <f t="shared" si="316"/>
        <v>1467.5577133446914</v>
      </c>
      <c r="AA95" s="189">
        <f t="shared" si="316"/>
        <v>1201.4200711797025</v>
      </c>
      <c r="AB95" s="189" t="e">
        <f t="shared" si="316"/>
        <v>#DIV/0!</v>
      </c>
      <c r="AC95" s="189" t="e">
        <f t="shared" si="316"/>
        <v>#DIV/0!</v>
      </c>
      <c r="AD95" s="189" t="e">
        <f t="shared" si="316"/>
        <v>#DIV/0!</v>
      </c>
      <c r="AE95" s="189" t="e">
        <f t="shared" si="316"/>
        <v>#DIV/0!</v>
      </c>
      <c r="AF95" s="189" t="e">
        <f t="shared" si="316"/>
        <v>#DIV/0!</v>
      </c>
      <c r="AG95" s="189" t="e">
        <f t="shared" si="316"/>
        <v>#DIV/0!</v>
      </c>
      <c r="AH95" s="189"/>
      <c r="AI95" s="189"/>
      <c r="AJ95" s="188"/>
      <c r="AK95" s="188"/>
      <c r="AL95" s="188" t="s">
        <v>24</v>
      </c>
      <c r="AM95" s="189">
        <f t="shared" ref="AM95:AX95" si="319">AM34/AM67</f>
        <v>186.69747200700021</v>
      </c>
      <c r="AN95" s="189">
        <f t="shared" si="319"/>
        <v>377.09573787164743</v>
      </c>
      <c r="AO95" s="189">
        <f t="shared" si="319"/>
        <v>448.22982114478475</v>
      </c>
      <c r="AP95" s="189">
        <f t="shared" si="319"/>
        <v>453.72522669080934</v>
      </c>
      <c r="AQ95" s="189">
        <f t="shared" si="319"/>
        <v>645.07451246066728</v>
      </c>
      <c r="AR95" s="189">
        <f t="shared" si="319"/>
        <v>1291.4507877433284</v>
      </c>
      <c r="AS95" s="189">
        <f t="shared" si="319"/>
        <v>1057.2496626381383</v>
      </c>
      <c r="AT95" s="189" t="e">
        <f t="shared" si="319"/>
        <v>#DIV/0!</v>
      </c>
      <c r="AU95" s="189" t="e">
        <f t="shared" si="319"/>
        <v>#DIV/0!</v>
      </c>
      <c r="AV95" s="189" t="e">
        <f t="shared" si="319"/>
        <v>#DIV/0!</v>
      </c>
      <c r="AW95" s="189" t="e">
        <f t="shared" si="319"/>
        <v>#DIV/0!</v>
      </c>
      <c r="AX95" s="189" t="e">
        <f t="shared" si="319"/>
        <v>#DIV/0!</v>
      </c>
      <c r="AY95" s="189" t="e">
        <f>SUM(AM95:AX95)</f>
        <v>#DIV/0!</v>
      </c>
      <c r="AZ95" s="189"/>
      <c r="BA95" s="189"/>
      <c r="BB95" s="188"/>
      <c r="BC95" s="188"/>
      <c r="BD95" s="188" t="s">
        <v>24</v>
      </c>
      <c r="BE95" s="201">
        <v>0.88</v>
      </c>
      <c r="BF95" s="201">
        <f t="shared" ref="BF95:BP95" si="320">BE95</f>
        <v>0.88</v>
      </c>
      <c r="BG95" s="201">
        <f t="shared" si="320"/>
        <v>0.88</v>
      </c>
      <c r="BH95" s="201">
        <f t="shared" si="320"/>
        <v>0.88</v>
      </c>
      <c r="BI95" s="201">
        <f t="shared" si="320"/>
        <v>0.88</v>
      </c>
      <c r="BJ95" s="201">
        <f t="shared" si="320"/>
        <v>0.88</v>
      </c>
      <c r="BK95" s="201">
        <f t="shared" si="320"/>
        <v>0.88</v>
      </c>
      <c r="BL95" s="201">
        <f t="shared" si="320"/>
        <v>0.88</v>
      </c>
      <c r="BM95" s="201">
        <f t="shared" si="320"/>
        <v>0.88</v>
      </c>
      <c r="BN95" s="201">
        <f t="shared" si="320"/>
        <v>0.88</v>
      </c>
      <c r="BO95" s="201">
        <f t="shared" si="320"/>
        <v>0.88</v>
      </c>
      <c r="BP95" s="201">
        <f t="shared" si="320"/>
        <v>0.88</v>
      </c>
      <c r="BQ95" s="189">
        <f>SUM(BE95:BP95)</f>
        <v>10.560000000000002</v>
      </c>
      <c r="BR95" s="189"/>
      <c r="BS95" s="189"/>
      <c r="BT95" s="189" t="s">
        <v>55</v>
      </c>
      <c r="BU95" s="188">
        <v>400</v>
      </c>
      <c r="BV95" s="188" t="s">
        <v>56</v>
      </c>
      <c r="BW95" s="188"/>
      <c r="BX95" s="188"/>
      <c r="BY95" s="188" t="s">
        <v>24</v>
      </c>
      <c r="BZ95" s="201">
        <v>0.88</v>
      </c>
      <c r="CA95" s="201">
        <f t="shared" ref="CA95:CK95" si="321">BZ95</f>
        <v>0.88</v>
      </c>
      <c r="CB95" s="201">
        <f t="shared" si="321"/>
        <v>0.88</v>
      </c>
      <c r="CC95" s="201">
        <f t="shared" si="321"/>
        <v>0.88</v>
      </c>
      <c r="CD95" s="201">
        <f t="shared" si="321"/>
        <v>0.88</v>
      </c>
      <c r="CE95" s="201">
        <f t="shared" si="321"/>
        <v>0.88</v>
      </c>
      <c r="CF95" s="201">
        <f t="shared" si="321"/>
        <v>0.88</v>
      </c>
      <c r="CG95" s="201">
        <f t="shared" si="321"/>
        <v>0.88</v>
      </c>
      <c r="CH95" s="201">
        <f t="shared" si="321"/>
        <v>0.88</v>
      </c>
      <c r="CI95" s="201">
        <f t="shared" si="321"/>
        <v>0.88</v>
      </c>
      <c r="CJ95" s="201">
        <f t="shared" si="321"/>
        <v>0.88</v>
      </c>
      <c r="CK95" s="201">
        <f t="shared" si="321"/>
        <v>0.88</v>
      </c>
      <c r="CL95" s="189">
        <f>SUM(BZ95:CK95)</f>
        <v>10.560000000000002</v>
      </c>
      <c r="CM95" s="189"/>
      <c r="CN95" s="189"/>
    </row>
    <row r="96" spans="1:92">
      <c r="A96" s="188"/>
      <c r="B96" s="188" t="s">
        <v>262</v>
      </c>
      <c r="C96" s="189">
        <f t="shared" si="315"/>
        <v>1.1363636363636365</v>
      </c>
      <c r="D96" s="189">
        <f t="shared" si="315"/>
        <v>1.1363636363636365</v>
      </c>
      <c r="E96" s="189">
        <f t="shared" si="315"/>
        <v>1.1363636363636362</v>
      </c>
      <c r="F96" s="189">
        <f t="shared" si="315"/>
        <v>1.1363636363636365</v>
      </c>
      <c r="G96" s="189">
        <f t="shared" si="315"/>
        <v>1.1363636363636362</v>
      </c>
      <c r="H96" s="189">
        <f t="shared" si="315"/>
        <v>1.1363636363636362</v>
      </c>
      <c r="I96" s="189">
        <f t="shared" si="315"/>
        <v>1.1363636363636362</v>
      </c>
      <c r="J96" s="189" t="e">
        <f t="shared" si="315"/>
        <v>#DIV/0!</v>
      </c>
      <c r="K96" s="189" t="e">
        <f t="shared" si="315"/>
        <v>#DIV/0!</v>
      </c>
      <c r="L96" s="189" t="e">
        <f t="shared" si="315"/>
        <v>#DIV/0!</v>
      </c>
      <c r="M96" s="189" t="e">
        <f t="shared" si="315"/>
        <v>#DIV/0!</v>
      </c>
      <c r="N96" s="189" t="e">
        <f t="shared" si="315"/>
        <v>#DIV/0!</v>
      </c>
      <c r="O96" s="189" t="e">
        <f t="shared" si="315"/>
        <v>#DIV/0!</v>
      </c>
      <c r="P96" s="189"/>
      <c r="Q96" s="189"/>
      <c r="R96" s="188"/>
      <c r="S96" s="188"/>
      <c r="T96" s="188" t="s">
        <v>262</v>
      </c>
      <c r="U96" s="189">
        <f t="shared" si="316"/>
        <v>0.16906027875726867</v>
      </c>
      <c r="V96" s="189">
        <f t="shared" si="316"/>
        <v>0.17186159392539466</v>
      </c>
      <c r="W96" s="189">
        <f t="shared" si="316"/>
        <v>0.1830633825558875</v>
      </c>
      <c r="X96" s="189">
        <f t="shared" si="316"/>
        <v>0.22081703397904065</v>
      </c>
      <c r="Y96" s="189">
        <f t="shared" si="316"/>
        <v>7.5985274519427659E-2</v>
      </c>
      <c r="Z96" s="189">
        <f t="shared" si="316"/>
        <v>0.17271840670166722</v>
      </c>
      <c r="AA96" s="189">
        <f t="shared" si="316"/>
        <v>0.16520316914015626</v>
      </c>
      <c r="AB96" s="189" t="e">
        <f t="shared" si="316"/>
        <v>#DIV/0!</v>
      </c>
      <c r="AC96" s="189" t="e">
        <f t="shared" si="316"/>
        <v>#DIV/0!</v>
      </c>
      <c r="AD96" s="189" t="e">
        <f t="shared" si="316"/>
        <v>#DIV/0!</v>
      </c>
      <c r="AE96" s="189" t="e">
        <f t="shared" si="316"/>
        <v>#DIV/0!</v>
      </c>
      <c r="AF96" s="189" t="e">
        <f t="shared" si="316"/>
        <v>#DIV/0!</v>
      </c>
      <c r="AG96" s="189" t="e">
        <f t="shared" si="316"/>
        <v>#DIV/0!</v>
      </c>
      <c r="AH96" s="189"/>
      <c r="AI96" s="189"/>
      <c r="AJ96" s="188"/>
      <c r="AK96" s="188"/>
      <c r="AL96" s="188" t="s">
        <v>262</v>
      </c>
      <c r="AM96" s="189">
        <f t="shared" ref="AM96:AX96" si="322">AM35/AM68</f>
        <v>0.14877304530639643</v>
      </c>
      <c r="AN96" s="189">
        <f t="shared" si="322"/>
        <v>0.15123820265434729</v>
      </c>
      <c r="AO96" s="189">
        <f t="shared" si="322"/>
        <v>0.16109577664918101</v>
      </c>
      <c r="AP96" s="189">
        <f t="shared" si="322"/>
        <v>0.19431898990155577</v>
      </c>
      <c r="AQ96" s="189">
        <f t="shared" si="322"/>
        <v>6.6867041577096345E-2</v>
      </c>
      <c r="AR96" s="189">
        <f t="shared" si="322"/>
        <v>0.15199219789746715</v>
      </c>
      <c r="AS96" s="189">
        <f t="shared" si="322"/>
        <v>0.14537878884333752</v>
      </c>
      <c r="AT96" s="189" t="e">
        <f t="shared" si="322"/>
        <v>#DIV/0!</v>
      </c>
      <c r="AU96" s="189" t="e">
        <f t="shared" si="322"/>
        <v>#DIV/0!</v>
      </c>
      <c r="AV96" s="189" t="e">
        <f t="shared" si="322"/>
        <v>#DIV/0!</v>
      </c>
      <c r="AW96" s="189" t="e">
        <f t="shared" si="322"/>
        <v>#DIV/0!</v>
      </c>
      <c r="AX96" s="189" t="e">
        <f t="shared" si="322"/>
        <v>#DIV/0!</v>
      </c>
      <c r="AY96" s="189" t="e">
        <f>SUM(AM96:AX96)</f>
        <v>#DIV/0!</v>
      </c>
      <c r="AZ96" s="189"/>
      <c r="BA96" s="189"/>
      <c r="BB96" s="188"/>
      <c r="BC96" s="188"/>
      <c r="BD96" s="188" t="s">
        <v>262</v>
      </c>
      <c r="BE96" s="201">
        <v>0.88</v>
      </c>
      <c r="BF96" s="201">
        <f t="shared" ref="BF96:BP96" si="323">BE96</f>
        <v>0.88</v>
      </c>
      <c r="BG96" s="201">
        <f t="shared" si="323"/>
        <v>0.88</v>
      </c>
      <c r="BH96" s="201">
        <f t="shared" si="323"/>
        <v>0.88</v>
      </c>
      <c r="BI96" s="201">
        <f t="shared" si="323"/>
        <v>0.88</v>
      </c>
      <c r="BJ96" s="201">
        <f t="shared" si="323"/>
        <v>0.88</v>
      </c>
      <c r="BK96" s="201">
        <f t="shared" si="323"/>
        <v>0.88</v>
      </c>
      <c r="BL96" s="201">
        <f t="shared" si="323"/>
        <v>0.88</v>
      </c>
      <c r="BM96" s="201">
        <f t="shared" si="323"/>
        <v>0.88</v>
      </c>
      <c r="BN96" s="201">
        <f t="shared" si="323"/>
        <v>0.88</v>
      </c>
      <c r="BO96" s="201">
        <f t="shared" si="323"/>
        <v>0.88</v>
      </c>
      <c r="BP96" s="201">
        <f t="shared" si="323"/>
        <v>0.88</v>
      </c>
      <c r="BQ96" s="189">
        <f>SUM(BE96:BP96)</f>
        <v>10.560000000000002</v>
      </c>
      <c r="BR96" s="189"/>
      <c r="BS96" s="189"/>
      <c r="BT96" s="189"/>
      <c r="BU96" s="188"/>
      <c r="BV96" s="188"/>
      <c r="BW96" s="188"/>
      <c r="BX96" s="188"/>
      <c r="BY96" s="188" t="s">
        <v>262</v>
      </c>
      <c r="BZ96" s="201">
        <v>0.88</v>
      </c>
      <c r="CA96" s="201">
        <f t="shared" ref="CA96:CK96" si="324">BZ96</f>
        <v>0.88</v>
      </c>
      <c r="CB96" s="201">
        <f t="shared" si="324"/>
        <v>0.88</v>
      </c>
      <c r="CC96" s="201">
        <f t="shared" si="324"/>
        <v>0.88</v>
      </c>
      <c r="CD96" s="201">
        <f t="shared" si="324"/>
        <v>0.88</v>
      </c>
      <c r="CE96" s="201">
        <f t="shared" si="324"/>
        <v>0.88</v>
      </c>
      <c r="CF96" s="201">
        <f t="shared" si="324"/>
        <v>0.88</v>
      </c>
      <c r="CG96" s="201">
        <f t="shared" si="324"/>
        <v>0.88</v>
      </c>
      <c r="CH96" s="201">
        <f t="shared" si="324"/>
        <v>0.88</v>
      </c>
      <c r="CI96" s="201">
        <f t="shared" si="324"/>
        <v>0.88</v>
      </c>
      <c r="CJ96" s="201">
        <f t="shared" si="324"/>
        <v>0.88</v>
      </c>
      <c r="CK96" s="201">
        <f t="shared" si="324"/>
        <v>0.88</v>
      </c>
      <c r="CL96" s="189">
        <f>SUM(BZ96:CK96)</f>
        <v>10.560000000000002</v>
      </c>
      <c r="CM96" s="189"/>
      <c r="CN96" s="189"/>
    </row>
    <row r="97" spans="1:92">
      <c r="A97" s="188"/>
      <c r="B97" s="188" t="s">
        <v>26</v>
      </c>
      <c r="C97" s="189" t="e">
        <f t="shared" si="315"/>
        <v>#DIV/0!</v>
      </c>
      <c r="D97" s="189" t="e">
        <f t="shared" si="315"/>
        <v>#DIV/0!</v>
      </c>
      <c r="E97" s="189" t="e">
        <f t="shared" si="315"/>
        <v>#DIV/0!</v>
      </c>
      <c r="F97" s="189" t="e">
        <f t="shared" si="315"/>
        <v>#DIV/0!</v>
      </c>
      <c r="G97" s="189" t="e">
        <f t="shared" si="315"/>
        <v>#REF!</v>
      </c>
      <c r="H97" s="189" t="e">
        <f t="shared" si="315"/>
        <v>#DIV/0!</v>
      </c>
      <c r="I97" s="189" t="e">
        <f t="shared" si="315"/>
        <v>#DIV/0!</v>
      </c>
      <c r="J97" s="189" t="e">
        <f t="shared" si="315"/>
        <v>#DIV/0!</v>
      </c>
      <c r="K97" s="189" t="e">
        <f t="shared" si="315"/>
        <v>#DIV/0!</v>
      </c>
      <c r="L97" s="189" t="e">
        <f t="shared" si="315"/>
        <v>#DIV/0!</v>
      </c>
      <c r="M97" s="189" t="e">
        <f t="shared" si="315"/>
        <v>#DIV/0!</v>
      </c>
      <c r="N97" s="189" t="e">
        <f t="shared" si="315"/>
        <v>#DIV/0!</v>
      </c>
      <c r="O97" s="189" t="e">
        <f t="shared" si="315"/>
        <v>#DIV/0!</v>
      </c>
      <c r="P97" s="189"/>
      <c r="Q97" s="189"/>
      <c r="R97" s="188"/>
      <c r="S97" s="188"/>
      <c r="T97" s="188" t="s">
        <v>26</v>
      </c>
      <c r="U97" s="189" t="e">
        <f t="shared" si="316"/>
        <v>#DIV/0!</v>
      </c>
      <c r="V97" s="189" t="e">
        <f t="shared" si="316"/>
        <v>#DIV/0!</v>
      </c>
      <c r="W97" s="189" t="e">
        <f t="shared" si="316"/>
        <v>#DIV/0!</v>
      </c>
      <c r="X97" s="189" t="e">
        <f t="shared" si="316"/>
        <v>#DIV/0!</v>
      </c>
      <c r="Y97" s="189" t="e">
        <f t="shared" si="316"/>
        <v>#REF!</v>
      </c>
      <c r="Z97" s="189" t="e">
        <f t="shared" si="316"/>
        <v>#DIV/0!</v>
      </c>
      <c r="AA97" s="189" t="e">
        <f t="shared" si="316"/>
        <v>#DIV/0!</v>
      </c>
      <c r="AB97" s="189" t="e">
        <f t="shared" si="316"/>
        <v>#DIV/0!</v>
      </c>
      <c r="AC97" s="189" t="e">
        <f t="shared" si="316"/>
        <v>#DIV/0!</v>
      </c>
      <c r="AD97" s="189" t="e">
        <f t="shared" si="316"/>
        <v>#DIV/0!</v>
      </c>
      <c r="AE97" s="189" t="e">
        <f t="shared" si="316"/>
        <v>#DIV/0!</v>
      </c>
      <c r="AF97" s="189" t="e">
        <f t="shared" si="316"/>
        <v>#DIV/0!</v>
      </c>
      <c r="AG97" s="189" t="e">
        <f t="shared" si="316"/>
        <v>#DIV/0!</v>
      </c>
      <c r="AH97" s="189"/>
      <c r="AI97" s="189"/>
      <c r="AJ97" s="188"/>
      <c r="AK97" s="188"/>
      <c r="AL97" s="188" t="s">
        <v>26</v>
      </c>
      <c r="AM97" s="189" t="e">
        <f t="shared" ref="AM97:AX97" si="325">AM36/AM69</f>
        <v>#DIV/0!</v>
      </c>
      <c r="AN97" s="189" t="e">
        <f>AO36/AN69</f>
        <v>#DIV/0!</v>
      </c>
      <c r="AO97" s="189" t="e">
        <f>AP36/AO69</f>
        <v>#DIV/0!</v>
      </c>
      <c r="AP97" s="189" t="e">
        <f>AQ36/AP69</f>
        <v>#DIV/0!</v>
      </c>
      <c r="AQ97" s="189" t="e">
        <f>#REF!/AQ69</f>
        <v>#REF!</v>
      </c>
      <c r="AR97" s="189" t="e">
        <f t="shared" si="325"/>
        <v>#DIV/0!</v>
      </c>
      <c r="AS97" s="189" t="e">
        <f t="shared" si="325"/>
        <v>#DIV/0!</v>
      </c>
      <c r="AT97" s="189" t="e">
        <f t="shared" si="325"/>
        <v>#DIV/0!</v>
      </c>
      <c r="AU97" s="189" t="e">
        <f t="shared" si="325"/>
        <v>#DIV/0!</v>
      </c>
      <c r="AV97" s="189" t="e">
        <f t="shared" si="325"/>
        <v>#DIV/0!</v>
      </c>
      <c r="AW97" s="189" t="e">
        <f t="shared" si="325"/>
        <v>#DIV/0!</v>
      </c>
      <c r="AX97" s="189" t="e">
        <f t="shared" si="325"/>
        <v>#DIV/0!</v>
      </c>
      <c r="AY97" s="189" t="e">
        <f>SUM(AM97:AX97)</f>
        <v>#DIV/0!</v>
      </c>
      <c r="AZ97" s="189"/>
      <c r="BA97" s="189"/>
      <c r="BB97" s="188"/>
      <c r="BC97" s="188"/>
      <c r="BD97" s="188" t="s">
        <v>26</v>
      </c>
      <c r="BE97" s="201">
        <v>1</v>
      </c>
      <c r="BF97" s="201">
        <f t="shared" ref="BF97:BP97" si="326">BE97</f>
        <v>1</v>
      </c>
      <c r="BG97" s="201">
        <f t="shared" si="326"/>
        <v>1</v>
      </c>
      <c r="BH97" s="201">
        <f t="shared" si="326"/>
        <v>1</v>
      </c>
      <c r="BI97" s="201">
        <f t="shared" si="326"/>
        <v>1</v>
      </c>
      <c r="BJ97" s="201">
        <f t="shared" si="326"/>
        <v>1</v>
      </c>
      <c r="BK97" s="201">
        <f t="shared" si="326"/>
        <v>1</v>
      </c>
      <c r="BL97" s="201">
        <f t="shared" si="326"/>
        <v>1</v>
      </c>
      <c r="BM97" s="201">
        <f t="shared" si="326"/>
        <v>1</v>
      </c>
      <c r="BN97" s="201">
        <f t="shared" si="326"/>
        <v>1</v>
      </c>
      <c r="BO97" s="201">
        <f t="shared" si="326"/>
        <v>1</v>
      </c>
      <c r="BP97" s="201">
        <f t="shared" si="326"/>
        <v>1</v>
      </c>
      <c r="BQ97" s="189">
        <f>SUM(BE97:BP97)</f>
        <v>12</v>
      </c>
      <c r="BR97" s="189"/>
      <c r="BS97" s="189"/>
      <c r="BT97" s="189"/>
      <c r="BU97" s="188"/>
      <c r="BV97" s="188"/>
      <c r="BW97" s="188"/>
      <c r="BX97" s="188"/>
      <c r="BY97" s="188" t="s">
        <v>26</v>
      </c>
      <c r="BZ97" s="201">
        <v>1</v>
      </c>
      <c r="CA97" s="201">
        <f t="shared" ref="CA97:CK97" si="327">BZ97</f>
        <v>1</v>
      </c>
      <c r="CB97" s="201">
        <f t="shared" si="327"/>
        <v>1</v>
      </c>
      <c r="CC97" s="201">
        <f t="shared" si="327"/>
        <v>1</v>
      </c>
      <c r="CD97" s="201">
        <f t="shared" si="327"/>
        <v>1</v>
      </c>
      <c r="CE97" s="201">
        <f t="shared" si="327"/>
        <v>1</v>
      </c>
      <c r="CF97" s="201">
        <f t="shared" si="327"/>
        <v>1</v>
      </c>
      <c r="CG97" s="201">
        <f t="shared" si="327"/>
        <v>1</v>
      </c>
      <c r="CH97" s="201">
        <f t="shared" si="327"/>
        <v>1</v>
      </c>
      <c r="CI97" s="201">
        <f t="shared" si="327"/>
        <v>1</v>
      </c>
      <c r="CJ97" s="201">
        <f t="shared" si="327"/>
        <v>1</v>
      </c>
      <c r="CK97" s="201">
        <f t="shared" si="327"/>
        <v>1</v>
      </c>
      <c r="CL97" s="189">
        <f>SUM(BZ97:CK97)</f>
        <v>12</v>
      </c>
      <c r="CM97" s="189"/>
      <c r="CN97" s="189"/>
    </row>
    <row r="98" spans="1:92">
      <c r="BZ98" s="189"/>
      <c r="CA98" s="189"/>
      <c r="CB98" s="189"/>
      <c r="CC98" s="189"/>
      <c r="CD98" s="189"/>
      <c r="CE98" s="189"/>
      <c r="CF98" s="189"/>
      <c r="CG98" s="189"/>
      <c r="CH98" s="189"/>
      <c r="CI98" s="189"/>
      <c r="CJ98" s="189"/>
      <c r="CK98" s="189"/>
      <c r="CL98" s="189"/>
      <c r="CM98" s="189"/>
      <c r="CN98" s="189"/>
    </row>
    <row r="99" spans="1:92">
      <c r="BZ99" s="189"/>
      <c r="CA99" s="189"/>
      <c r="CB99" s="189"/>
      <c r="CC99" s="189"/>
      <c r="CD99" s="189"/>
      <c r="CE99" s="189"/>
      <c r="CF99" s="189"/>
      <c r="CG99" s="189"/>
      <c r="CH99" s="189"/>
      <c r="CI99" s="189"/>
      <c r="CJ99" s="189"/>
      <c r="CK99" s="189"/>
      <c r="CL99" s="189"/>
      <c r="CM99" s="189"/>
      <c r="CN99" s="189"/>
    </row>
    <row r="100" spans="1:92">
      <c r="BZ100" s="189"/>
      <c r="CA100" s="189"/>
      <c r="CB100" s="189"/>
      <c r="CC100" s="189"/>
      <c r="CD100" s="189"/>
      <c r="CE100" s="189"/>
      <c r="CF100" s="189"/>
      <c r="CG100" s="189"/>
      <c r="CH100" s="189"/>
      <c r="CI100" s="189"/>
      <c r="CJ100" s="189"/>
      <c r="CK100" s="189"/>
      <c r="CL100" s="189"/>
      <c r="CM100" s="189"/>
      <c r="CN100" s="189"/>
    </row>
    <row r="101" spans="1:92" s="408" customFormat="1">
      <c r="A101" s="440" t="s">
        <v>293</v>
      </c>
      <c r="B101" s="440"/>
      <c r="C101" s="432">
        <v>1</v>
      </c>
      <c r="D101" s="432">
        <v>2</v>
      </c>
      <c r="E101" s="432">
        <v>3</v>
      </c>
      <c r="F101" s="432">
        <v>4</v>
      </c>
      <c r="G101" s="432">
        <v>5</v>
      </c>
      <c r="H101" s="432">
        <v>6</v>
      </c>
      <c r="I101" s="432">
        <v>7</v>
      </c>
      <c r="J101" s="432">
        <v>8</v>
      </c>
      <c r="K101" s="432">
        <v>9</v>
      </c>
      <c r="L101" s="432">
        <v>10</v>
      </c>
      <c r="M101" s="432">
        <v>11</v>
      </c>
      <c r="N101" s="432">
        <v>12</v>
      </c>
      <c r="O101" s="433" t="s">
        <v>38</v>
      </c>
      <c r="P101" s="441">
        <f>サマリ!$A$1</f>
        <v>7</v>
      </c>
      <c r="Q101" s="532">
        <f>サマリ!$A$1</f>
        <v>7</v>
      </c>
      <c r="R101" s="434"/>
      <c r="S101" s="440" t="s">
        <v>293</v>
      </c>
      <c r="T101" s="434"/>
      <c r="U101" s="432">
        <v>1</v>
      </c>
      <c r="V101" s="432">
        <v>2</v>
      </c>
      <c r="W101" s="432">
        <v>3</v>
      </c>
      <c r="X101" s="432">
        <v>4</v>
      </c>
      <c r="Y101" s="432">
        <v>5</v>
      </c>
      <c r="Z101" s="432">
        <v>6</v>
      </c>
      <c r="AA101" s="432">
        <v>7</v>
      </c>
      <c r="AB101" s="432">
        <v>8</v>
      </c>
      <c r="AC101" s="432">
        <v>9</v>
      </c>
      <c r="AD101" s="432">
        <v>10</v>
      </c>
      <c r="AE101" s="432">
        <v>11</v>
      </c>
      <c r="AF101" s="432">
        <v>12</v>
      </c>
      <c r="AG101" s="433" t="s">
        <v>38</v>
      </c>
      <c r="AH101" s="441">
        <f>サマリ!$A$1</f>
        <v>7</v>
      </c>
      <c r="AI101" s="532">
        <f>サマリ!$A$1</f>
        <v>7</v>
      </c>
      <c r="AJ101" s="434"/>
      <c r="AK101" s="440" t="s">
        <v>293</v>
      </c>
      <c r="AL101" s="434"/>
      <c r="AM101" s="432">
        <v>1</v>
      </c>
      <c r="AN101" s="432">
        <v>2</v>
      </c>
      <c r="AO101" s="432">
        <v>3</v>
      </c>
      <c r="AP101" s="432">
        <v>4</v>
      </c>
      <c r="AQ101" s="432">
        <v>5</v>
      </c>
      <c r="AR101" s="432">
        <v>6</v>
      </c>
      <c r="AS101" s="432">
        <v>7</v>
      </c>
      <c r="AT101" s="432">
        <v>8</v>
      </c>
      <c r="AU101" s="432">
        <v>9</v>
      </c>
      <c r="AV101" s="432">
        <v>10</v>
      </c>
      <c r="AW101" s="432">
        <v>11</v>
      </c>
      <c r="AX101" s="432">
        <v>12</v>
      </c>
      <c r="AY101" s="433" t="s">
        <v>38</v>
      </c>
      <c r="AZ101" s="441">
        <f>サマリ!$A$1</f>
        <v>7</v>
      </c>
      <c r="BA101" s="532">
        <f>サマリ!$A$1</f>
        <v>7</v>
      </c>
      <c r="BB101" s="434"/>
      <c r="BC101" s="440" t="s">
        <v>293</v>
      </c>
      <c r="BD101" s="434"/>
      <c r="BE101" s="432">
        <v>1</v>
      </c>
      <c r="BF101" s="432">
        <v>2</v>
      </c>
      <c r="BG101" s="432">
        <v>3</v>
      </c>
      <c r="BH101" s="432">
        <v>4</v>
      </c>
      <c r="BI101" s="432">
        <v>5</v>
      </c>
      <c r="BJ101" s="432">
        <v>6</v>
      </c>
      <c r="BK101" s="432">
        <v>7</v>
      </c>
      <c r="BL101" s="432">
        <v>8</v>
      </c>
      <c r="BM101" s="432">
        <v>9</v>
      </c>
      <c r="BN101" s="432">
        <v>10</v>
      </c>
      <c r="BO101" s="432">
        <v>11</v>
      </c>
      <c r="BP101" s="432">
        <v>12</v>
      </c>
      <c r="BQ101" s="433" t="s">
        <v>38</v>
      </c>
      <c r="BR101" s="441">
        <f>サマリ!$A$1</f>
        <v>7</v>
      </c>
      <c r="BS101" s="532">
        <f>サマリ!$A$1</f>
        <v>7</v>
      </c>
      <c r="BT101" s="442"/>
      <c r="BU101" s="440"/>
      <c r="BV101" s="440"/>
      <c r="BX101" s="440" t="s">
        <v>293</v>
      </c>
      <c r="BY101" s="440"/>
      <c r="BZ101" s="575">
        <v>1</v>
      </c>
      <c r="CA101" s="575">
        <v>2</v>
      </c>
      <c r="CB101" s="575">
        <v>3</v>
      </c>
      <c r="CC101" s="575">
        <v>4</v>
      </c>
      <c r="CD101" s="575">
        <v>5</v>
      </c>
      <c r="CE101" s="575">
        <v>6</v>
      </c>
      <c r="CF101" s="575">
        <v>7</v>
      </c>
      <c r="CG101" s="575">
        <v>8</v>
      </c>
      <c r="CH101" s="575">
        <v>9</v>
      </c>
      <c r="CI101" s="575">
        <v>10</v>
      </c>
      <c r="CJ101" s="575">
        <v>11</v>
      </c>
      <c r="CK101" s="575">
        <v>12</v>
      </c>
      <c r="CL101" s="576" t="s">
        <v>38</v>
      </c>
      <c r="CM101" s="577">
        <f>サマリ!$A$1</f>
        <v>7</v>
      </c>
      <c r="CN101" s="578">
        <f>サマリ!$A$1</f>
        <v>7</v>
      </c>
    </row>
    <row r="102" spans="1:92">
      <c r="A102" s="65" t="s">
        <v>149</v>
      </c>
      <c r="B102" s="412" t="s">
        <v>165</v>
      </c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S102" s="65" t="s">
        <v>149</v>
      </c>
      <c r="T102" s="412" t="s">
        <v>165</v>
      </c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K102" s="65" t="s">
        <v>149</v>
      </c>
      <c r="AL102" s="412" t="s">
        <v>165</v>
      </c>
      <c r="AM102" s="174">
        <v>96</v>
      </c>
      <c r="AN102" s="174">
        <v>92</v>
      </c>
      <c r="AO102" s="174">
        <v>197</v>
      </c>
      <c r="AP102" s="174">
        <v>484</v>
      </c>
      <c r="AQ102" s="174">
        <v>415</v>
      </c>
      <c r="AR102" s="174">
        <v>1523</v>
      </c>
      <c r="AS102" s="174">
        <v>288</v>
      </c>
      <c r="AT102" s="174"/>
      <c r="AU102" s="174"/>
      <c r="AV102" s="174"/>
      <c r="AW102" s="174"/>
      <c r="AX102" s="174"/>
      <c r="AZ102" s="69">
        <f>SUMIF(AM$3:AX$3,1,AM102:AX102)</f>
        <v>3095</v>
      </c>
      <c r="BA102" s="69">
        <f>SUMIF(AN$2:AY$2,1,AN102:AY102)</f>
        <v>288</v>
      </c>
      <c r="BB102" s="533"/>
      <c r="BC102" s="65" t="s">
        <v>149</v>
      </c>
      <c r="BD102" s="412" t="s">
        <v>165</v>
      </c>
      <c r="BE102" s="180">
        <v>97</v>
      </c>
      <c r="BF102" s="180">
        <v>94</v>
      </c>
      <c r="BG102" s="180">
        <v>196</v>
      </c>
      <c r="BH102" s="180">
        <v>521</v>
      </c>
      <c r="BI102" s="180">
        <v>483</v>
      </c>
      <c r="BJ102" s="180">
        <v>410</v>
      </c>
      <c r="BK102" s="180">
        <v>518</v>
      </c>
      <c r="BL102" s="180">
        <v>371</v>
      </c>
      <c r="BM102" s="180">
        <v>461</v>
      </c>
      <c r="BN102" s="180">
        <v>809</v>
      </c>
      <c r="BO102" s="180">
        <v>526</v>
      </c>
      <c r="BP102" s="180">
        <v>514</v>
      </c>
      <c r="BR102" s="69">
        <f t="shared" ref="BR102:BR140" si="328">SUMIF(BE$3:BP$3,1,BE102:BP102)</f>
        <v>2319</v>
      </c>
      <c r="BS102" s="69">
        <f t="shared" ref="BS102:BS140" si="329">SUMIF(BF$2:BQ$2,1,BF102:BQ102)</f>
        <v>518</v>
      </c>
      <c r="BU102" s="171"/>
      <c r="BX102" s="65" t="s">
        <v>149</v>
      </c>
      <c r="BY102" s="579" t="s">
        <v>165</v>
      </c>
      <c r="BZ102" s="189"/>
      <c r="CA102" s="189"/>
      <c r="CB102" s="189"/>
      <c r="CC102" s="189"/>
      <c r="CD102" s="189"/>
      <c r="CE102" s="189"/>
      <c r="CF102" s="189"/>
      <c r="CG102" s="189"/>
      <c r="CH102" s="189"/>
      <c r="CI102" s="189"/>
      <c r="CJ102" s="189"/>
      <c r="CK102" s="189"/>
      <c r="CL102" s="189"/>
      <c r="CM102" s="189"/>
      <c r="CN102" s="189"/>
    </row>
    <row r="103" spans="1:92">
      <c r="B103" s="412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T103" s="412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K103" s="65" t="s">
        <v>149</v>
      </c>
      <c r="AL103" s="412" t="s">
        <v>205</v>
      </c>
      <c r="AM103" s="174"/>
      <c r="AN103" s="174"/>
      <c r="AO103" s="174"/>
      <c r="AP103" s="174"/>
      <c r="AQ103" s="174"/>
      <c r="AR103" s="174"/>
      <c r="AS103" s="174"/>
      <c r="AT103" s="174"/>
      <c r="AU103" s="174"/>
      <c r="AV103" s="174"/>
      <c r="AW103" s="174"/>
      <c r="AX103" s="174"/>
      <c r="AZ103" s="69">
        <f t="shared" ref="AZ103" si="330">SUMIF(AM$3:AX$3,1,AM103:AX103)</f>
        <v>0</v>
      </c>
      <c r="BA103" s="69">
        <f t="shared" ref="BA103" si="331">SUMIF(AN$2:AY$2,1,AN103:AY103)</f>
        <v>0</v>
      </c>
      <c r="BB103" s="533"/>
      <c r="BC103" s="65" t="s">
        <v>149</v>
      </c>
      <c r="BD103" s="412" t="s">
        <v>205</v>
      </c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  <c r="BP103" s="180"/>
      <c r="BR103" s="69">
        <f t="shared" ref="BR103" si="332">SUMIF(BE$3:BP$3,1,BE103:BP103)</f>
        <v>0</v>
      </c>
      <c r="BS103" s="69">
        <f t="shared" ref="BS103" si="333">SUMIF(BF$2:BQ$2,1,BF103:BQ103)</f>
        <v>0</v>
      </c>
      <c r="BU103" s="171"/>
      <c r="BX103" s="65" t="s">
        <v>149</v>
      </c>
      <c r="BY103" s="579" t="s">
        <v>205</v>
      </c>
      <c r="BZ103" s="189"/>
      <c r="CA103" s="189"/>
      <c r="CB103" s="189"/>
      <c r="CC103" s="189"/>
      <c r="CD103" s="189"/>
      <c r="CE103" s="189"/>
      <c r="CF103" s="189"/>
      <c r="CG103" s="189"/>
      <c r="CH103" s="189"/>
      <c r="CI103" s="189"/>
      <c r="CJ103" s="189"/>
      <c r="CK103" s="189"/>
      <c r="CL103" s="189"/>
      <c r="CM103" s="189"/>
      <c r="CN103" s="189"/>
    </row>
    <row r="104" spans="1:92">
      <c r="A104" s="65" t="s">
        <v>149</v>
      </c>
      <c r="B104" s="412" t="s">
        <v>208</v>
      </c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S104" s="65" t="s">
        <v>149</v>
      </c>
      <c r="T104" s="412" t="s">
        <v>208</v>
      </c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K104" s="65" t="s">
        <v>149</v>
      </c>
      <c r="AL104" s="412" t="s">
        <v>208</v>
      </c>
      <c r="AM104" s="174">
        <v>48</v>
      </c>
      <c r="AN104" s="174">
        <v>49</v>
      </c>
      <c r="AO104" s="174">
        <v>50</v>
      </c>
      <c r="AP104" s="174">
        <v>51</v>
      </c>
      <c r="AQ104" s="174">
        <v>64</v>
      </c>
      <c r="AR104" s="174">
        <v>67</v>
      </c>
      <c r="AS104" s="174">
        <v>68</v>
      </c>
      <c r="AT104" s="174"/>
      <c r="AU104" s="174"/>
      <c r="AV104" s="174"/>
      <c r="AW104" s="174"/>
      <c r="AX104" s="174"/>
      <c r="AZ104" s="69">
        <f>SUMIF(AM$3:AX$3,1,AM104:AX104)</f>
        <v>397</v>
      </c>
      <c r="BA104" s="69">
        <f>SUMIF(AN$2:AY$2,1,AN104:AY104)</f>
        <v>68</v>
      </c>
      <c r="BB104" s="533"/>
      <c r="BC104" s="65" t="s">
        <v>149</v>
      </c>
      <c r="BD104" s="412" t="s">
        <v>208</v>
      </c>
      <c r="BE104" s="180">
        <v>48</v>
      </c>
      <c r="BF104" s="180">
        <v>49</v>
      </c>
      <c r="BG104" s="180">
        <v>49</v>
      </c>
      <c r="BH104" s="180">
        <v>54</v>
      </c>
      <c r="BI104" s="180">
        <v>61</v>
      </c>
      <c r="BJ104" s="180">
        <v>67</v>
      </c>
      <c r="BK104" s="180">
        <v>74</v>
      </c>
      <c r="BL104" s="180">
        <v>82</v>
      </c>
      <c r="BM104" s="180">
        <v>91</v>
      </c>
      <c r="BN104" s="180">
        <v>100</v>
      </c>
      <c r="BO104" s="180">
        <v>109</v>
      </c>
      <c r="BP104" s="180">
        <v>120</v>
      </c>
      <c r="BR104" s="69">
        <f>SUMIF(BE$3:BP$3,1,BE104:BP104)</f>
        <v>402</v>
      </c>
      <c r="BS104" s="69">
        <f>SUMIF(BF$2:BQ$2,1,BF104:BQ104)</f>
        <v>74</v>
      </c>
      <c r="BT104" s="417"/>
      <c r="BU104" s="171"/>
      <c r="BX104" s="65" t="s">
        <v>149</v>
      </c>
      <c r="BY104" s="579" t="s">
        <v>208</v>
      </c>
      <c r="BZ104" s="189"/>
      <c r="CA104" s="189"/>
      <c r="CB104" s="189"/>
      <c r="CC104" s="189"/>
      <c r="CD104" s="189"/>
      <c r="CE104" s="189"/>
      <c r="CF104" s="189"/>
      <c r="CG104" s="189"/>
      <c r="CH104" s="189"/>
      <c r="CI104" s="189"/>
      <c r="CJ104" s="189"/>
      <c r="CK104" s="189"/>
      <c r="CL104" s="189"/>
      <c r="CM104" s="189"/>
      <c r="CN104" s="189"/>
    </row>
    <row r="105" spans="1:92">
      <c r="A105" s="65" t="s">
        <v>149</v>
      </c>
      <c r="B105" s="412" t="s">
        <v>166</v>
      </c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S105" s="65" t="s">
        <v>149</v>
      </c>
      <c r="T105" s="412" t="s">
        <v>166</v>
      </c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K105" s="65" t="s">
        <v>149</v>
      </c>
      <c r="AL105" s="412" t="s">
        <v>166</v>
      </c>
      <c r="AM105" s="174"/>
      <c r="AN105" s="174"/>
      <c r="AO105" s="174"/>
      <c r="AP105" s="174">
        <v>404</v>
      </c>
      <c r="AQ105" s="174">
        <v>454</v>
      </c>
      <c r="AR105" s="174">
        <v>496</v>
      </c>
      <c r="AS105" s="174">
        <v>503</v>
      </c>
      <c r="AT105" s="174"/>
      <c r="AU105" s="174"/>
      <c r="AV105" s="174"/>
      <c r="AW105" s="174"/>
      <c r="AX105" s="174"/>
      <c r="AZ105" s="69">
        <f t="shared" ref="AZ105:AZ140" si="334">SUMIF(AM$3:AX$3,1,AM105:AX105)</f>
        <v>1857</v>
      </c>
      <c r="BA105" s="69">
        <f t="shared" ref="BA105:BA140" si="335">SUMIF(AN$2:AY$2,1,AN105:AY105)</f>
        <v>503</v>
      </c>
      <c r="BB105" s="533"/>
      <c r="BC105" s="65" t="s">
        <v>149</v>
      </c>
      <c r="BD105" s="412" t="s">
        <v>166</v>
      </c>
      <c r="BE105" s="645">
        <v>0</v>
      </c>
      <c r="BF105" s="645">
        <v>0</v>
      </c>
      <c r="BG105" s="180">
        <f>BH106/0.3+BF105</f>
        <v>207.40740740740742</v>
      </c>
      <c r="BH105" s="180">
        <f>BI106/0.3+BG105-BH106</f>
        <v>656.29629629629642</v>
      </c>
      <c r="BI105" s="180">
        <f>BJ106/0.3+BH105-BI106</f>
        <v>1271.8518518518522</v>
      </c>
      <c r="BJ105" s="180">
        <f t="shared" ref="BJ105:BO105" si="336">BK106/0.3+BI105-BJ106</f>
        <v>2114.5185185185192</v>
      </c>
      <c r="BK105" s="180">
        <f t="shared" si="336"/>
        <v>3147.3333333333339</v>
      </c>
      <c r="BL105" s="180">
        <f t="shared" si="336"/>
        <v>4486.8148148148157</v>
      </c>
      <c r="BM105" s="180">
        <f t="shared" si="336"/>
        <v>5587.4814814814827</v>
      </c>
      <c r="BN105" s="180">
        <f t="shared" si="336"/>
        <v>6724.592592592594</v>
      </c>
      <c r="BO105" s="180">
        <f t="shared" si="336"/>
        <v>6237.2592592592609</v>
      </c>
      <c r="BP105" s="180"/>
      <c r="BR105" s="69">
        <f t="shared" si="328"/>
        <v>7397.4074074074088</v>
      </c>
      <c r="BS105" s="69">
        <f t="shared" si="329"/>
        <v>3147.3333333333339</v>
      </c>
      <c r="BT105" s="417" t="s">
        <v>294</v>
      </c>
      <c r="BU105" s="171"/>
      <c r="BX105" s="65" t="s">
        <v>149</v>
      </c>
      <c r="BY105" s="579" t="s">
        <v>166</v>
      </c>
      <c r="BZ105" s="189"/>
      <c r="CA105" s="189"/>
      <c r="CB105" s="189"/>
      <c r="CC105" s="189"/>
      <c r="CD105" s="189"/>
      <c r="CE105" s="189"/>
      <c r="CF105" s="189"/>
      <c r="CG105" s="189"/>
      <c r="CH105" s="189"/>
      <c r="CI105" s="189"/>
      <c r="CJ105" s="189"/>
      <c r="CK105" s="189"/>
      <c r="CL105" s="189"/>
      <c r="CM105" s="189"/>
      <c r="CN105" s="189"/>
    </row>
    <row r="106" spans="1:92">
      <c r="A106" s="65" t="s">
        <v>149</v>
      </c>
      <c r="B106" s="412" t="s">
        <v>295</v>
      </c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S106" s="65" t="s">
        <v>149</v>
      </c>
      <c r="T106" s="412" t="s">
        <v>295</v>
      </c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K106" s="65" t="s">
        <v>149</v>
      </c>
      <c r="AL106" s="412" t="s">
        <v>295</v>
      </c>
      <c r="AM106" s="174">
        <v>0</v>
      </c>
      <c r="AN106" s="174">
        <v>2</v>
      </c>
      <c r="AO106" s="174">
        <v>0</v>
      </c>
      <c r="AP106" s="174">
        <v>1</v>
      </c>
      <c r="AQ106" s="174">
        <v>8</v>
      </c>
      <c r="AR106" s="192">
        <v>10</v>
      </c>
      <c r="AS106" s="174">
        <v>9</v>
      </c>
      <c r="AT106" s="174"/>
      <c r="AU106" s="174"/>
      <c r="AV106" s="174"/>
      <c r="AW106" s="174"/>
      <c r="AX106" s="174"/>
      <c r="AY106" s="180"/>
      <c r="AZ106" s="180">
        <f t="shared" si="334"/>
        <v>30</v>
      </c>
      <c r="BA106" s="180">
        <f t="shared" si="335"/>
        <v>9</v>
      </c>
      <c r="BB106" s="533"/>
      <c r="BC106" s="65" t="s">
        <v>149</v>
      </c>
      <c r="BD106" s="412" t="s">
        <v>295</v>
      </c>
      <c r="BE106" s="180">
        <v>0</v>
      </c>
      <c r="BF106" s="180">
        <v>0</v>
      </c>
      <c r="BG106" s="180">
        <v>0</v>
      </c>
      <c r="BH106" s="180">
        <f>BI107/0.25</f>
        <v>62.222222222222221</v>
      </c>
      <c r="BI106" s="180">
        <f>BJ107/0.25+BH106-BI107</f>
        <v>153.33333333333334</v>
      </c>
      <c r="BJ106" s="180">
        <f t="shared" ref="BJ106:BL106" si="337">BK107/0.25+BI106-BJ107</f>
        <v>230.66666666666671</v>
      </c>
      <c r="BK106" s="180">
        <f t="shared" si="337"/>
        <v>322</v>
      </c>
      <c r="BL106" s="180">
        <f t="shared" si="337"/>
        <v>406.44444444444446</v>
      </c>
      <c r="BM106" s="180">
        <f t="shared" ref="BM106" si="338">BN107/0.25+BL106-BM107</f>
        <v>523.77777777777771</v>
      </c>
      <c r="BN106" s="180">
        <f>BO107/0.25+BM106-BN107</f>
        <v>487.33333333333326</v>
      </c>
      <c r="BO106" s="180">
        <f>BP107/0.25+BN106-BO107</f>
        <v>487.33333333333326</v>
      </c>
      <c r="BP106" s="180"/>
      <c r="BQ106" s="180"/>
      <c r="BR106" s="180">
        <f t="shared" si="328"/>
        <v>768.22222222222229</v>
      </c>
      <c r="BS106" s="180">
        <f t="shared" si="329"/>
        <v>322</v>
      </c>
      <c r="BT106" s="417" t="s">
        <v>296</v>
      </c>
      <c r="BX106" s="65" t="s">
        <v>149</v>
      </c>
      <c r="BY106" s="579" t="s">
        <v>295</v>
      </c>
      <c r="BZ106" s="189"/>
      <c r="CA106" s="189"/>
      <c r="CB106" s="189"/>
      <c r="CC106" s="189"/>
      <c r="CD106" s="189"/>
      <c r="CE106" s="189"/>
      <c r="CF106" s="189"/>
      <c r="CG106" s="189"/>
      <c r="CH106" s="189"/>
      <c r="CI106" s="189"/>
      <c r="CJ106" s="189"/>
      <c r="CK106" s="189"/>
      <c r="CL106" s="189"/>
      <c r="CM106" s="189"/>
      <c r="CN106" s="189"/>
    </row>
    <row r="107" spans="1:92">
      <c r="A107" s="65" t="s">
        <v>149</v>
      </c>
      <c r="B107" s="412" t="s">
        <v>168</v>
      </c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S107" s="65" t="s">
        <v>149</v>
      </c>
      <c r="T107" s="412" t="s">
        <v>168</v>
      </c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K107" s="65" t="s">
        <v>149</v>
      </c>
      <c r="AL107" s="412" t="s">
        <v>168</v>
      </c>
      <c r="AM107" s="174">
        <v>0</v>
      </c>
      <c r="AN107" s="174">
        <v>0</v>
      </c>
      <c r="AO107" s="174">
        <v>2</v>
      </c>
      <c r="AP107" s="174">
        <v>2</v>
      </c>
      <c r="AQ107" s="174">
        <v>2</v>
      </c>
      <c r="AR107" s="174">
        <v>2</v>
      </c>
      <c r="AS107" s="174">
        <v>3</v>
      </c>
      <c r="AT107" s="174"/>
      <c r="AU107" s="174"/>
      <c r="AV107" s="174"/>
      <c r="AW107" s="174"/>
      <c r="AX107" s="174"/>
      <c r="AY107" s="180"/>
      <c r="AZ107" s="180">
        <f t="shared" si="334"/>
        <v>11</v>
      </c>
      <c r="BA107" s="180">
        <f t="shared" si="335"/>
        <v>3</v>
      </c>
      <c r="BB107" s="533"/>
      <c r="BC107" s="65" t="s">
        <v>149</v>
      </c>
      <c r="BD107" s="412" t="s">
        <v>168</v>
      </c>
      <c r="BE107" s="180"/>
      <c r="BF107" s="180">
        <f t="shared" ref="BF107:BH107" si="339">BH108/0.9+BE107-BF108</f>
        <v>0</v>
      </c>
      <c r="BG107" s="180">
        <f t="shared" si="339"/>
        <v>0</v>
      </c>
      <c r="BH107" s="180">
        <f t="shared" si="339"/>
        <v>0</v>
      </c>
      <c r="BI107" s="180">
        <f>BK108/0.9+BH107-BI108</f>
        <v>15.555555555555555</v>
      </c>
      <c r="BJ107" s="180">
        <f>BL108/0.9+BI107-BJ108</f>
        <v>26.666666666666664</v>
      </c>
      <c r="BK107" s="180">
        <f t="shared" ref="BK107:BM107" si="340">BM108/0.9+BJ107-BK108</f>
        <v>26</v>
      </c>
      <c r="BL107" s="180">
        <f t="shared" si="340"/>
        <v>29.333333333333329</v>
      </c>
      <c r="BM107" s="180">
        <f t="shared" si="340"/>
        <v>28.444444444444443</v>
      </c>
      <c r="BN107" s="180">
        <f>BP108/0.9+BM107-BN108</f>
        <v>36.444444444444443</v>
      </c>
      <c r="BO107" s="180"/>
      <c r="BP107" s="180"/>
      <c r="BQ107" s="180"/>
      <c r="BR107" s="180">
        <f t="shared" si="328"/>
        <v>68.222222222222229</v>
      </c>
      <c r="BS107" s="180">
        <f t="shared" si="329"/>
        <v>26</v>
      </c>
      <c r="BT107" s="417" t="s">
        <v>297</v>
      </c>
      <c r="BX107" s="65" t="s">
        <v>149</v>
      </c>
      <c r="BY107" s="579" t="s">
        <v>168</v>
      </c>
      <c r="BZ107" s="189"/>
      <c r="CA107" s="189"/>
      <c r="CB107" s="189"/>
      <c r="CC107" s="189"/>
      <c r="CD107" s="189"/>
      <c r="CE107" s="189"/>
      <c r="CF107" s="189"/>
      <c r="CG107" s="189"/>
      <c r="CH107" s="189"/>
      <c r="CI107" s="189"/>
      <c r="CJ107" s="189"/>
      <c r="CK107" s="189"/>
      <c r="CL107" s="189"/>
      <c r="CM107" s="189"/>
      <c r="CN107" s="189"/>
    </row>
    <row r="108" spans="1:92">
      <c r="A108" s="414" t="s">
        <v>149</v>
      </c>
      <c r="B108" s="415" t="s">
        <v>298</v>
      </c>
      <c r="C108" s="416"/>
      <c r="D108" s="416"/>
      <c r="E108" s="416"/>
      <c r="F108" s="416"/>
      <c r="G108" s="416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S108" s="414" t="s">
        <v>149</v>
      </c>
      <c r="T108" s="415" t="s">
        <v>298</v>
      </c>
      <c r="U108" s="416"/>
      <c r="V108" s="416"/>
      <c r="W108" s="416"/>
      <c r="X108" s="416"/>
      <c r="Y108" s="416"/>
      <c r="Z108" s="416"/>
      <c r="AA108" s="416"/>
      <c r="AB108" s="416"/>
      <c r="AC108" s="416"/>
      <c r="AD108" s="416"/>
      <c r="AE108" s="416"/>
      <c r="AF108" s="416"/>
      <c r="AG108" s="416"/>
      <c r="AH108" s="416"/>
      <c r="AI108" s="416"/>
      <c r="AK108" s="414" t="s">
        <v>149</v>
      </c>
      <c r="AL108" s="415" t="s">
        <v>298</v>
      </c>
      <c r="AM108" s="416"/>
      <c r="AN108" s="416"/>
      <c r="AO108" s="416"/>
      <c r="AP108" s="416"/>
      <c r="AQ108" s="416"/>
      <c r="AR108" s="416"/>
      <c r="AS108" s="416"/>
      <c r="AT108" s="416"/>
      <c r="AU108" s="416"/>
      <c r="AV108" s="416"/>
      <c r="AW108" s="416"/>
      <c r="AX108" s="416"/>
      <c r="AY108" s="416"/>
      <c r="AZ108" s="416">
        <f t="shared" si="334"/>
        <v>0</v>
      </c>
      <c r="BA108" s="416">
        <f t="shared" si="335"/>
        <v>0</v>
      </c>
      <c r="BB108" s="533"/>
      <c r="BC108" s="414" t="s">
        <v>149</v>
      </c>
      <c r="BD108" s="415" t="s">
        <v>298</v>
      </c>
      <c r="BE108" s="416">
        <f>BE109</f>
        <v>0</v>
      </c>
      <c r="BF108" s="416">
        <f t="shared" ref="BF108:BJ108" si="341">BF109-BE109</f>
        <v>0</v>
      </c>
      <c r="BG108" s="416">
        <f t="shared" si="341"/>
        <v>0</v>
      </c>
      <c r="BH108" s="416">
        <f t="shared" si="341"/>
        <v>0</v>
      </c>
      <c r="BI108" s="416">
        <f t="shared" si="341"/>
        <v>0</v>
      </c>
      <c r="BJ108" s="416">
        <f t="shared" si="341"/>
        <v>0</v>
      </c>
      <c r="BK108" s="416">
        <f>BK109-BJ109</f>
        <v>14</v>
      </c>
      <c r="BL108" s="416">
        <f>BL109-BK109</f>
        <v>10</v>
      </c>
      <c r="BM108" s="416">
        <f t="shared" ref="BM108:BP108" si="342">BM109-BL109</f>
        <v>12</v>
      </c>
      <c r="BN108" s="416">
        <f t="shared" si="342"/>
        <v>12</v>
      </c>
      <c r="BO108" s="416">
        <f t="shared" si="342"/>
        <v>10</v>
      </c>
      <c r="BP108" s="416">
        <f t="shared" si="342"/>
        <v>18</v>
      </c>
      <c r="BQ108" s="416"/>
      <c r="BR108" s="416">
        <f t="shared" si="328"/>
        <v>14</v>
      </c>
      <c r="BS108" s="416">
        <f t="shared" si="329"/>
        <v>14</v>
      </c>
      <c r="BT108" s="417"/>
      <c r="BX108" s="580" t="s">
        <v>149</v>
      </c>
      <c r="BY108" s="581" t="s">
        <v>298</v>
      </c>
      <c r="BZ108" s="582"/>
      <c r="CA108" s="582"/>
      <c r="CB108" s="582"/>
      <c r="CC108" s="582"/>
      <c r="CD108" s="582"/>
      <c r="CE108" s="582"/>
      <c r="CF108" s="582"/>
      <c r="CG108" s="582"/>
      <c r="CH108" s="582"/>
      <c r="CI108" s="582"/>
      <c r="CJ108" s="582"/>
      <c r="CK108" s="582"/>
      <c r="CL108" s="582"/>
      <c r="CM108" s="582"/>
      <c r="CN108" s="582"/>
    </row>
    <row r="109" spans="1:92">
      <c r="A109" s="409" t="s">
        <v>149</v>
      </c>
      <c r="B109" s="413" t="s">
        <v>299</v>
      </c>
      <c r="C109" s="410"/>
      <c r="D109" s="410"/>
      <c r="E109" s="410"/>
      <c r="F109" s="410"/>
      <c r="G109" s="410"/>
      <c r="H109" s="410"/>
      <c r="I109" s="410"/>
      <c r="J109" s="410"/>
      <c r="K109" s="410"/>
      <c r="L109" s="410"/>
      <c r="M109" s="410"/>
      <c r="N109" s="410"/>
      <c r="O109" s="410"/>
      <c r="P109" s="410"/>
      <c r="Q109" s="410"/>
      <c r="S109" s="409" t="s">
        <v>149</v>
      </c>
      <c r="T109" s="413" t="s">
        <v>299</v>
      </c>
      <c r="U109" s="410"/>
      <c r="V109" s="410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  <c r="AG109" s="410"/>
      <c r="AH109" s="410"/>
      <c r="AI109" s="410"/>
      <c r="AK109" s="409" t="s">
        <v>149</v>
      </c>
      <c r="AL109" s="413" t="s">
        <v>299</v>
      </c>
      <c r="AM109" s="410"/>
      <c r="AN109" s="410"/>
      <c r="AO109" s="410"/>
      <c r="AP109" s="410"/>
      <c r="AQ109" s="410"/>
      <c r="AR109" s="410"/>
      <c r="AS109" s="410"/>
      <c r="AT109" s="410"/>
      <c r="AU109" s="410"/>
      <c r="AV109" s="410"/>
      <c r="AW109" s="410"/>
      <c r="AX109" s="410"/>
      <c r="AY109" s="410"/>
      <c r="AZ109" s="410">
        <f t="shared" si="334"/>
        <v>0</v>
      </c>
      <c r="BA109" s="410">
        <f t="shared" si="335"/>
        <v>0</v>
      </c>
      <c r="BB109" s="533"/>
      <c r="BC109" s="409" t="s">
        <v>149</v>
      </c>
      <c r="BD109" s="413" t="s">
        <v>299</v>
      </c>
      <c r="BE109" s="410">
        <f t="shared" ref="BE109:BP109" si="343">BE38</f>
        <v>0</v>
      </c>
      <c r="BF109" s="410">
        <f t="shared" si="343"/>
        <v>0</v>
      </c>
      <c r="BG109" s="410">
        <f t="shared" si="343"/>
        <v>0</v>
      </c>
      <c r="BH109" s="410">
        <f t="shared" si="343"/>
        <v>0</v>
      </c>
      <c r="BI109" s="410">
        <f t="shared" si="343"/>
        <v>0</v>
      </c>
      <c r="BJ109" s="410">
        <f t="shared" si="343"/>
        <v>0</v>
      </c>
      <c r="BK109" s="410">
        <f t="shared" si="343"/>
        <v>14</v>
      </c>
      <c r="BL109" s="410">
        <f t="shared" si="343"/>
        <v>24</v>
      </c>
      <c r="BM109" s="410">
        <f t="shared" si="343"/>
        <v>36</v>
      </c>
      <c r="BN109" s="410">
        <f t="shared" si="343"/>
        <v>48</v>
      </c>
      <c r="BO109" s="410">
        <f t="shared" si="343"/>
        <v>58</v>
      </c>
      <c r="BP109" s="410">
        <f t="shared" si="343"/>
        <v>76</v>
      </c>
      <c r="BQ109" s="410"/>
      <c r="BR109" s="410">
        <f t="shared" si="328"/>
        <v>14</v>
      </c>
      <c r="BS109" s="410">
        <f t="shared" si="329"/>
        <v>14</v>
      </c>
      <c r="BX109" s="583" t="s">
        <v>149</v>
      </c>
      <c r="BY109" s="584" t="s">
        <v>299</v>
      </c>
      <c r="BZ109" s="585"/>
      <c r="CA109" s="585"/>
      <c r="CB109" s="585"/>
      <c r="CC109" s="585"/>
      <c r="CD109" s="585"/>
      <c r="CE109" s="585"/>
      <c r="CF109" s="585"/>
      <c r="CG109" s="585"/>
      <c r="CH109" s="585"/>
      <c r="CI109" s="585"/>
      <c r="CJ109" s="585"/>
      <c r="CK109" s="585"/>
      <c r="CL109" s="585"/>
      <c r="CM109" s="585"/>
      <c r="CN109" s="585"/>
    </row>
    <row r="110" spans="1:92">
      <c r="A110" s="176" t="s">
        <v>149</v>
      </c>
      <c r="B110" s="178" t="s">
        <v>300</v>
      </c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S110" s="176" t="s">
        <v>149</v>
      </c>
      <c r="T110" s="178" t="s">
        <v>300</v>
      </c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K110" s="176" t="s">
        <v>149</v>
      </c>
      <c r="AL110" s="178" t="s">
        <v>300</v>
      </c>
      <c r="AM110" s="177"/>
      <c r="AN110" s="177"/>
      <c r="AO110" s="177"/>
      <c r="AP110" s="177"/>
      <c r="AQ110" s="177"/>
      <c r="AR110" s="177"/>
      <c r="AS110" s="177"/>
      <c r="AT110" s="177"/>
      <c r="AU110" s="177"/>
      <c r="AV110" s="177"/>
      <c r="AW110" s="177"/>
      <c r="AX110" s="177"/>
      <c r="AY110" s="177"/>
      <c r="AZ110" s="177">
        <f t="shared" si="334"/>
        <v>0</v>
      </c>
      <c r="BA110" s="177">
        <f t="shared" si="335"/>
        <v>0</v>
      </c>
      <c r="BB110" s="533"/>
      <c r="BC110" s="176" t="s">
        <v>149</v>
      </c>
      <c r="BD110" s="178" t="s">
        <v>300</v>
      </c>
      <c r="BE110" s="177">
        <f t="shared" ref="BE110:BP110" si="344">BE39+BE40+BE41</f>
        <v>2</v>
      </c>
      <c r="BF110" s="177">
        <f t="shared" si="344"/>
        <v>4</v>
      </c>
      <c r="BG110" s="177">
        <f t="shared" si="344"/>
        <v>7</v>
      </c>
      <c r="BH110" s="177">
        <f t="shared" si="344"/>
        <v>8</v>
      </c>
      <c r="BI110" s="177">
        <f t="shared" si="344"/>
        <v>11</v>
      </c>
      <c r="BJ110" s="177">
        <f t="shared" si="344"/>
        <v>18</v>
      </c>
      <c r="BK110" s="177">
        <f t="shared" si="344"/>
        <v>46.5</v>
      </c>
      <c r="BL110" s="177">
        <f t="shared" si="344"/>
        <v>67.5</v>
      </c>
      <c r="BM110" s="177">
        <f t="shared" si="344"/>
        <v>93.5</v>
      </c>
      <c r="BN110" s="177">
        <f t="shared" si="344"/>
        <v>117.5</v>
      </c>
      <c r="BO110" s="177">
        <f t="shared" si="344"/>
        <v>140.5</v>
      </c>
      <c r="BP110" s="177">
        <f t="shared" si="344"/>
        <v>180.5</v>
      </c>
      <c r="BQ110" s="177"/>
      <c r="BR110" s="177">
        <f t="shared" si="328"/>
        <v>96.5</v>
      </c>
      <c r="BS110" s="177">
        <f t="shared" si="329"/>
        <v>46.5</v>
      </c>
      <c r="BX110" s="194" t="s">
        <v>149</v>
      </c>
      <c r="BY110" s="197" t="s">
        <v>300</v>
      </c>
      <c r="BZ110" s="195"/>
      <c r="CA110" s="195"/>
      <c r="CB110" s="195"/>
      <c r="CC110" s="195"/>
      <c r="CD110" s="195"/>
      <c r="CE110" s="195"/>
      <c r="CF110" s="195"/>
      <c r="CG110" s="195"/>
      <c r="CH110" s="195"/>
      <c r="CI110" s="195"/>
      <c r="CJ110" s="195"/>
      <c r="CK110" s="195"/>
      <c r="CL110" s="195"/>
      <c r="CM110" s="195"/>
      <c r="CN110" s="195"/>
    </row>
    <row r="111" spans="1:92">
      <c r="B111" s="412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T111" s="412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K111" s="65" t="s">
        <v>150</v>
      </c>
      <c r="AL111" s="412" t="s">
        <v>165</v>
      </c>
      <c r="AM111" s="174"/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80"/>
      <c r="AZ111" s="180"/>
      <c r="BA111" s="180"/>
      <c r="BB111" s="533"/>
      <c r="BC111" s="65" t="s">
        <v>150</v>
      </c>
      <c r="BD111" s="412" t="s">
        <v>165</v>
      </c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X111" s="188" t="s">
        <v>150</v>
      </c>
      <c r="BY111" s="579" t="s">
        <v>165</v>
      </c>
      <c r="BZ111" s="189"/>
      <c r="CA111" s="189"/>
      <c r="CB111" s="189"/>
      <c r="CC111" s="189"/>
      <c r="CD111" s="189"/>
      <c r="CE111" s="189"/>
      <c r="CF111" s="189"/>
      <c r="CG111" s="189"/>
      <c r="CH111" s="189"/>
      <c r="CI111" s="189"/>
      <c r="CJ111" s="189"/>
      <c r="CK111" s="189"/>
      <c r="CL111" s="189"/>
      <c r="CM111" s="189"/>
      <c r="CN111" s="189"/>
    </row>
    <row r="112" spans="1:92">
      <c r="B112" s="412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T112" s="412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K112" s="65" t="s">
        <v>150</v>
      </c>
      <c r="AL112" s="412" t="s">
        <v>205</v>
      </c>
      <c r="AM112" s="174"/>
      <c r="AN112" s="174"/>
      <c r="AO112" s="174"/>
      <c r="AP112" s="174"/>
      <c r="AQ112" s="174"/>
      <c r="AR112" s="174"/>
      <c r="AS112" s="174"/>
      <c r="AT112" s="174"/>
      <c r="AU112" s="174"/>
      <c r="AV112" s="174"/>
      <c r="AW112" s="174"/>
      <c r="AX112" s="174"/>
      <c r="AY112" s="180"/>
      <c r="AZ112" s="180"/>
      <c r="BA112" s="180"/>
      <c r="BB112" s="533"/>
      <c r="BC112" s="65" t="s">
        <v>150</v>
      </c>
      <c r="BD112" s="412" t="s">
        <v>205</v>
      </c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  <c r="BO112" s="180"/>
      <c r="BP112" s="180"/>
      <c r="BQ112" s="180"/>
      <c r="BR112" s="180"/>
      <c r="BS112" s="180"/>
      <c r="BT112" s="180"/>
      <c r="BX112" s="188" t="s">
        <v>150</v>
      </c>
      <c r="BY112" s="579" t="s">
        <v>205</v>
      </c>
      <c r="BZ112" s="189"/>
      <c r="CA112" s="189"/>
      <c r="CB112" s="189"/>
      <c r="CC112" s="189"/>
      <c r="CD112" s="189"/>
      <c r="CE112" s="189"/>
      <c r="CF112" s="189"/>
      <c r="CG112" s="189"/>
      <c r="CH112" s="189"/>
      <c r="CI112" s="189"/>
      <c r="CJ112" s="189"/>
      <c r="CK112" s="189"/>
      <c r="CL112" s="189"/>
      <c r="CM112" s="189"/>
      <c r="CN112" s="189"/>
    </row>
    <row r="113" spans="1:92">
      <c r="A113" s="65" t="s">
        <v>150</v>
      </c>
      <c r="B113" s="412" t="s">
        <v>208</v>
      </c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S113" s="65" t="s">
        <v>150</v>
      </c>
      <c r="T113" s="412" t="s">
        <v>208</v>
      </c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K113" s="65" t="s">
        <v>150</v>
      </c>
      <c r="AL113" s="412" t="s">
        <v>208</v>
      </c>
      <c r="AM113" s="174"/>
      <c r="AN113" s="174"/>
      <c r="AO113" s="174">
        <v>1</v>
      </c>
      <c r="AP113" s="174">
        <v>2</v>
      </c>
      <c r="AQ113" s="174">
        <v>5</v>
      </c>
      <c r="AR113" s="174">
        <v>5</v>
      </c>
      <c r="AS113" s="174">
        <v>5</v>
      </c>
      <c r="AT113" s="174"/>
      <c r="AU113" s="174"/>
      <c r="AV113" s="174"/>
      <c r="AW113" s="174"/>
      <c r="AX113" s="174"/>
      <c r="AZ113" s="69">
        <f>SUMIF(AM$3:AX$3,1,AM113:AX113)</f>
        <v>18</v>
      </c>
      <c r="BA113" s="69">
        <f>SUMIF(AN$2:AY$2,1,AN113:AY113)</f>
        <v>5</v>
      </c>
      <c r="BB113" s="533"/>
      <c r="BC113" s="65" t="s">
        <v>150</v>
      </c>
      <c r="BD113" s="412" t="s">
        <v>208</v>
      </c>
      <c r="BE113" s="180"/>
      <c r="BF113" s="180"/>
      <c r="BG113" s="180"/>
      <c r="BH113" s="180"/>
      <c r="BI113" s="180"/>
      <c r="BJ113" s="180"/>
      <c r="BK113" s="180"/>
      <c r="BL113" s="180"/>
      <c r="BM113" s="180"/>
      <c r="BN113" s="180"/>
      <c r="BO113" s="180"/>
      <c r="BP113" s="180"/>
      <c r="BR113" s="69">
        <f>SUMIF(BE$3:BP$3,1,BE113:BP113)</f>
        <v>0</v>
      </c>
      <c r="BS113" s="69">
        <f>SUMIF(BF$2:BQ$2,1,BF113:BQ113)</f>
        <v>0</v>
      </c>
      <c r="BX113" s="65" t="s">
        <v>150</v>
      </c>
      <c r="BY113" s="579" t="s">
        <v>208</v>
      </c>
      <c r="BZ113" s="189"/>
      <c r="CA113" s="189"/>
      <c r="CB113" s="189"/>
      <c r="CC113" s="189"/>
      <c r="CD113" s="189"/>
      <c r="CE113" s="189"/>
      <c r="CF113" s="189"/>
      <c r="CG113" s="189"/>
      <c r="CH113" s="189"/>
      <c r="CI113" s="189"/>
      <c r="CJ113" s="189"/>
      <c r="CK113" s="189"/>
      <c r="CL113" s="189"/>
      <c r="CM113" s="189"/>
      <c r="CN113" s="189"/>
    </row>
    <row r="114" spans="1:92">
      <c r="A114" s="65" t="s">
        <v>150</v>
      </c>
      <c r="B114" s="412" t="s">
        <v>166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S114" s="65" t="s">
        <v>150</v>
      </c>
      <c r="T114" s="412" t="s">
        <v>166</v>
      </c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K114" s="65" t="s">
        <v>150</v>
      </c>
      <c r="AL114" s="412" t="s">
        <v>166</v>
      </c>
      <c r="AM114" s="174"/>
      <c r="AN114" s="174">
        <v>2</v>
      </c>
      <c r="AO114" s="174">
        <v>13</v>
      </c>
      <c r="AP114" s="174">
        <v>29</v>
      </c>
      <c r="AQ114" s="174">
        <v>50</v>
      </c>
      <c r="AR114" s="174">
        <v>63</v>
      </c>
      <c r="AS114" s="174">
        <v>77</v>
      </c>
      <c r="AT114" s="174"/>
      <c r="AU114" s="174"/>
      <c r="AV114" s="174"/>
      <c r="AW114" s="174"/>
      <c r="AX114" s="174"/>
      <c r="AY114" s="180"/>
      <c r="AZ114" s="180">
        <f>SUMIF(AM$3:AX$3,1,AM114:AX114)</f>
        <v>234</v>
      </c>
      <c r="BA114" s="180">
        <f t="shared" si="335"/>
        <v>77</v>
      </c>
      <c r="BB114" s="533"/>
      <c r="BC114" s="65" t="s">
        <v>150</v>
      </c>
      <c r="BD114" s="412" t="s">
        <v>166</v>
      </c>
      <c r="BE114" s="180">
        <f>SUM(BE115:BE116)</f>
        <v>0</v>
      </c>
      <c r="BF114" s="180">
        <f>SUM(BF115:BF116)</f>
        <v>6.5789473684210522</v>
      </c>
      <c r="BG114" s="180">
        <f>SUM(BG115:BG116)</f>
        <v>23.815789473684209</v>
      </c>
      <c r="BH114" s="180">
        <f t="shared" ref="BH114:BP114" si="345">SUM(BH115:BH116)</f>
        <v>42.631578947368418</v>
      </c>
      <c r="BI114" s="180">
        <f t="shared" si="345"/>
        <v>58.94736842105263</v>
      </c>
      <c r="BJ114" s="180">
        <f t="shared" si="345"/>
        <v>75.263157894736835</v>
      </c>
      <c r="BK114" s="180">
        <f t="shared" si="345"/>
        <v>85</v>
      </c>
      <c r="BL114" s="180">
        <f t="shared" si="345"/>
        <v>77.5</v>
      </c>
      <c r="BM114" s="180">
        <f t="shared" si="345"/>
        <v>77.5</v>
      </c>
      <c r="BN114" s="180">
        <f t="shared" si="345"/>
        <v>77.5</v>
      </c>
      <c r="BO114" s="180">
        <f t="shared" si="345"/>
        <v>77.5</v>
      </c>
      <c r="BP114" s="180">
        <f t="shared" si="345"/>
        <v>77.5</v>
      </c>
      <c r="BQ114" s="180"/>
      <c r="BR114" s="180">
        <f t="shared" si="328"/>
        <v>292.23684210526312</v>
      </c>
      <c r="BS114" s="180">
        <f t="shared" si="329"/>
        <v>85</v>
      </c>
      <c r="BX114" s="65" t="s">
        <v>150</v>
      </c>
      <c r="BY114" s="579" t="s">
        <v>166</v>
      </c>
      <c r="BZ114" s="189"/>
      <c r="CA114" s="189"/>
      <c r="CB114" s="189"/>
      <c r="CC114" s="189"/>
      <c r="CD114" s="189"/>
      <c r="CE114" s="189"/>
      <c r="CF114" s="189"/>
      <c r="CG114" s="189"/>
      <c r="CH114" s="189"/>
      <c r="CI114" s="189"/>
      <c r="CJ114" s="189"/>
      <c r="CK114" s="189"/>
      <c r="CL114" s="189"/>
      <c r="CM114" s="189"/>
      <c r="CN114" s="189"/>
    </row>
    <row r="115" spans="1:92">
      <c r="A115" s="65" t="s">
        <v>150</v>
      </c>
      <c r="B115" s="412" t="s">
        <v>301</v>
      </c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S115" s="65" t="s">
        <v>150</v>
      </c>
      <c r="T115" s="412" t="s">
        <v>301</v>
      </c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K115" s="65" t="s">
        <v>150</v>
      </c>
      <c r="AL115" s="412" t="s">
        <v>301</v>
      </c>
      <c r="AM115" s="174"/>
      <c r="AN115" s="174"/>
      <c r="AO115" s="174">
        <v>11</v>
      </c>
      <c r="AP115" s="174">
        <v>16</v>
      </c>
      <c r="AQ115" s="174">
        <v>21</v>
      </c>
      <c r="AR115" s="174">
        <v>13</v>
      </c>
      <c r="AS115" s="174">
        <v>14</v>
      </c>
      <c r="AT115" s="174"/>
      <c r="AU115" s="174"/>
      <c r="AV115" s="174"/>
      <c r="AW115" s="174"/>
      <c r="AX115" s="174"/>
      <c r="AZ115" s="69">
        <f>SUMIF(AM$3:AX$3,1,AM115:AX115)</f>
        <v>75</v>
      </c>
      <c r="BA115" s="69">
        <f t="shared" si="335"/>
        <v>14</v>
      </c>
      <c r="BB115" s="533"/>
      <c r="BC115" s="65" t="s">
        <v>150</v>
      </c>
      <c r="BD115" s="412" t="s">
        <v>301</v>
      </c>
      <c r="BE115" s="180">
        <f>BF118/0.38</f>
        <v>0</v>
      </c>
      <c r="BF115" s="180">
        <f>BG118/0.38</f>
        <v>6.5789473684210522</v>
      </c>
      <c r="BG115" s="180">
        <f t="shared" ref="BG115:BP115" si="346">BH118/0.38</f>
        <v>19.736842105263158</v>
      </c>
      <c r="BH115" s="180">
        <f t="shared" si="346"/>
        <v>26.315789473684209</v>
      </c>
      <c r="BI115" s="180">
        <f t="shared" si="346"/>
        <v>26.315789473684209</v>
      </c>
      <c r="BJ115" s="180">
        <f t="shared" si="346"/>
        <v>26.315789473684209</v>
      </c>
      <c r="BK115" s="180">
        <f t="shared" si="346"/>
        <v>19.736842105263158</v>
      </c>
      <c r="BL115" s="180">
        <f>BM118/0.38</f>
        <v>0</v>
      </c>
      <c r="BM115" s="180">
        <f t="shared" si="346"/>
        <v>0</v>
      </c>
      <c r="BN115" s="180">
        <f t="shared" si="346"/>
        <v>0</v>
      </c>
      <c r="BO115" s="180">
        <f t="shared" si="346"/>
        <v>0</v>
      </c>
      <c r="BP115" s="180">
        <f t="shared" si="346"/>
        <v>0</v>
      </c>
      <c r="BR115" s="69">
        <f>SUMIF(BE$3:BP$3,1,BE115:BP115)</f>
        <v>125</v>
      </c>
      <c r="BS115" s="69">
        <f t="shared" si="329"/>
        <v>19.736842105263158</v>
      </c>
      <c r="BT115" s="69" t="s">
        <v>302</v>
      </c>
      <c r="BX115" s="65" t="s">
        <v>150</v>
      </c>
      <c r="BY115" s="579" t="s">
        <v>301</v>
      </c>
      <c r="BZ115" s="189"/>
      <c r="CA115" s="189"/>
      <c r="CB115" s="189"/>
      <c r="CC115" s="189"/>
      <c r="CD115" s="189"/>
      <c r="CE115" s="189"/>
      <c r="CF115" s="189"/>
      <c r="CG115" s="189"/>
      <c r="CH115" s="189"/>
      <c r="CI115" s="189"/>
      <c r="CJ115" s="189"/>
      <c r="CK115" s="189"/>
      <c r="CL115" s="189"/>
      <c r="CM115" s="189"/>
      <c r="CN115" s="189"/>
    </row>
    <row r="116" spans="1:92">
      <c r="A116" s="65" t="s">
        <v>150</v>
      </c>
      <c r="B116" s="412" t="s">
        <v>303</v>
      </c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S116" s="65" t="s">
        <v>150</v>
      </c>
      <c r="T116" s="412" t="s">
        <v>303</v>
      </c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K116" s="65" t="s">
        <v>150</v>
      </c>
      <c r="AL116" s="412" t="s">
        <v>303</v>
      </c>
      <c r="AM116" s="174"/>
      <c r="AN116" s="174"/>
      <c r="AO116" s="174">
        <v>2</v>
      </c>
      <c r="AP116" s="174">
        <v>13</v>
      </c>
      <c r="AQ116" s="174">
        <v>29</v>
      </c>
      <c r="AR116" s="174">
        <v>50</v>
      </c>
      <c r="AS116" s="174">
        <v>63</v>
      </c>
      <c r="AT116" s="174"/>
      <c r="AU116" s="174"/>
      <c r="AV116" s="174"/>
      <c r="AW116" s="174"/>
      <c r="AX116" s="174"/>
      <c r="AZ116" s="69">
        <f t="shared" si="334"/>
        <v>157</v>
      </c>
      <c r="BA116" s="69">
        <f t="shared" si="335"/>
        <v>63</v>
      </c>
      <c r="BB116" s="533"/>
      <c r="BC116" s="65" t="s">
        <v>150</v>
      </c>
      <c r="BD116" s="412" t="s">
        <v>303</v>
      </c>
      <c r="BE116" s="180"/>
      <c r="BF116" s="180"/>
      <c r="BG116" s="180">
        <f t="shared" ref="BG116:BP116" si="347">BF115-BG118+BF116</f>
        <v>4.0789473684210522</v>
      </c>
      <c r="BH116" s="180">
        <f t="shared" si="347"/>
        <v>16.315789473684209</v>
      </c>
      <c r="BI116" s="180">
        <f t="shared" si="347"/>
        <v>32.631578947368418</v>
      </c>
      <c r="BJ116" s="180">
        <f t="shared" si="347"/>
        <v>48.94736842105263</v>
      </c>
      <c r="BK116" s="180">
        <f t="shared" si="347"/>
        <v>65.263157894736835</v>
      </c>
      <c r="BL116" s="180">
        <f t="shared" si="347"/>
        <v>77.5</v>
      </c>
      <c r="BM116" s="180">
        <f t="shared" si="347"/>
        <v>77.5</v>
      </c>
      <c r="BN116" s="180">
        <f t="shared" si="347"/>
        <v>77.5</v>
      </c>
      <c r="BO116" s="180">
        <f t="shared" si="347"/>
        <v>77.5</v>
      </c>
      <c r="BP116" s="180">
        <f t="shared" si="347"/>
        <v>77.5</v>
      </c>
      <c r="BR116" s="69">
        <f t="shared" si="328"/>
        <v>167.23684210526312</v>
      </c>
      <c r="BS116" s="69">
        <f t="shared" si="329"/>
        <v>65.263157894736835</v>
      </c>
      <c r="BX116" s="65" t="s">
        <v>150</v>
      </c>
      <c r="BY116" s="579" t="s">
        <v>303</v>
      </c>
      <c r="BZ116" s="189"/>
      <c r="CA116" s="189"/>
      <c r="CB116" s="189"/>
      <c r="CC116" s="189"/>
      <c r="CD116" s="189"/>
      <c r="CE116" s="189"/>
      <c r="CF116" s="189"/>
      <c r="CG116" s="189"/>
      <c r="CH116" s="189"/>
      <c r="CI116" s="189"/>
      <c r="CJ116" s="189"/>
      <c r="CK116" s="189"/>
      <c r="CL116" s="189"/>
      <c r="CM116" s="189"/>
      <c r="CN116" s="189"/>
    </row>
    <row r="117" spans="1:92">
      <c r="A117" s="65" t="s">
        <v>150</v>
      </c>
      <c r="B117" s="412" t="s">
        <v>295</v>
      </c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S117" s="65" t="s">
        <v>150</v>
      </c>
      <c r="T117" s="412" t="s">
        <v>295</v>
      </c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K117" s="65" t="s">
        <v>150</v>
      </c>
      <c r="AL117" s="412" t="s">
        <v>295</v>
      </c>
      <c r="AM117" s="174"/>
      <c r="AN117" s="174"/>
      <c r="AO117" s="174">
        <v>0</v>
      </c>
      <c r="AP117" s="174">
        <v>0</v>
      </c>
      <c r="AQ117" s="174">
        <v>0</v>
      </c>
      <c r="AR117" s="174">
        <v>0</v>
      </c>
      <c r="AS117" s="174">
        <v>0</v>
      </c>
      <c r="AT117" s="174"/>
      <c r="AU117" s="174"/>
      <c r="AV117" s="174"/>
      <c r="AW117" s="174"/>
      <c r="AX117" s="174"/>
      <c r="AY117" s="180"/>
      <c r="AZ117" s="180">
        <f t="shared" si="334"/>
        <v>0</v>
      </c>
      <c r="BA117" s="180">
        <f t="shared" si="335"/>
        <v>0</v>
      </c>
      <c r="BB117" s="533"/>
      <c r="BC117" s="65" t="s">
        <v>150</v>
      </c>
      <c r="BD117" s="412" t="s">
        <v>295</v>
      </c>
      <c r="BE117" s="180">
        <f>SUM(BE118:BE119)</f>
        <v>0</v>
      </c>
      <c r="BF117" s="180">
        <f t="shared" ref="BF117:BN117" si="348">SUM(BF118:BF119)</f>
        <v>0</v>
      </c>
      <c r="BG117" s="180">
        <f t="shared" si="348"/>
        <v>2.5</v>
      </c>
      <c r="BH117" s="180">
        <f t="shared" si="348"/>
        <v>7.5</v>
      </c>
      <c r="BI117" s="180">
        <f t="shared" si="348"/>
        <v>11.5</v>
      </c>
      <c r="BJ117" s="180">
        <f t="shared" si="348"/>
        <v>16</v>
      </c>
      <c r="BK117" s="180">
        <f t="shared" si="348"/>
        <v>22</v>
      </c>
      <c r="BL117" s="180">
        <f t="shared" si="348"/>
        <v>25.5</v>
      </c>
      <c r="BM117" s="180">
        <f t="shared" si="348"/>
        <v>24</v>
      </c>
      <c r="BN117" s="180">
        <f t="shared" si="348"/>
        <v>28.5</v>
      </c>
      <c r="BO117" s="180"/>
      <c r="BP117" s="180"/>
      <c r="BQ117" s="180"/>
      <c r="BR117" s="180">
        <f t="shared" si="328"/>
        <v>59.5</v>
      </c>
      <c r="BS117" s="180">
        <f t="shared" si="329"/>
        <v>22</v>
      </c>
      <c r="BU117" s="171"/>
      <c r="BX117" s="65" t="s">
        <v>150</v>
      </c>
      <c r="BY117" s="579" t="s">
        <v>295</v>
      </c>
      <c r="BZ117" s="189"/>
      <c r="CA117" s="189"/>
      <c r="CB117" s="189"/>
      <c r="CC117" s="189"/>
      <c r="CD117" s="189"/>
      <c r="CE117" s="189"/>
      <c r="CF117" s="189"/>
      <c r="CG117" s="189"/>
      <c r="CH117" s="189"/>
      <c r="CI117" s="189"/>
      <c r="CJ117" s="189"/>
      <c r="CK117" s="189"/>
      <c r="CL117" s="189"/>
      <c r="CM117" s="189"/>
      <c r="CN117" s="189"/>
    </row>
    <row r="118" spans="1:92">
      <c r="A118" s="65" t="s">
        <v>150</v>
      </c>
      <c r="B118" s="412" t="s">
        <v>304</v>
      </c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S118" s="65" t="s">
        <v>150</v>
      </c>
      <c r="T118" s="412" t="s">
        <v>304</v>
      </c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K118" s="65" t="s">
        <v>150</v>
      </c>
      <c r="AL118" s="412" t="s">
        <v>304</v>
      </c>
      <c r="AM118" s="174"/>
      <c r="AN118" s="174"/>
      <c r="AO118" s="174">
        <v>0</v>
      </c>
      <c r="AP118" s="174">
        <v>0</v>
      </c>
      <c r="AQ118" s="174">
        <v>0</v>
      </c>
      <c r="AR118" s="174">
        <v>0</v>
      </c>
      <c r="AS118" s="174">
        <v>0</v>
      </c>
      <c r="AT118" s="174"/>
      <c r="AU118" s="174"/>
      <c r="AV118" s="174"/>
      <c r="AW118" s="174"/>
      <c r="AX118" s="174"/>
      <c r="AZ118" s="69">
        <f t="shared" si="334"/>
        <v>0</v>
      </c>
      <c r="BA118" s="69">
        <f t="shared" si="335"/>
        <v>0</v>
      </c>
      <c r="BB118" s="533"/>
      <c r="BC118" s="65" t="s">
        <v>150</v>
      </c>
      <c r="BD118" s="412" t="s">
        <v>304</v>
      </c>
      <c r="BE118" s="180">
        <f t="shared" ref="BE118" si="349">BG120/0.4</f>
        <v>0</v>
      </c>
      <c r="BF118" s="180">
        <f>BH120/0.4</f>
        <v>0</v>
      </c>
      <c r="BG118" s="180">
        <f>BI120/0.4</f>
        <v>2.5</v>
      </c>
      <c r="BH118" s="180">
        <f>BJ120/0.4</f>
        <v>7.5</v>
      </c>
      <c r="BI118" s="180">
        <f t="shared" ref="BI118:BL118" si="350">BK120/0.4</f>
        <v>10</v>
      </c>
      <c r="BJ118" s="180">
        <f t="shared" si="350"/>
        <v>10</v>
      </c>
      <c r="BK118" s="180">
        <f t="shared" si="350"/>
        <v>10</v>
      </c>
      <c r="BL118" s="180">
        <f t="shared" si="350"/>
        <v>7.5</v>
      </c>
      <c r="BM118" s="180">
        <f>BO120/0.4</f>
        <v>0</v>
      </c>
      <c r="BN118" s="180">
        <f>BP120/0.4</f>
        <v>0</v>
      </c>
      <c r="BO118" s="180"/>
      <c r="BP118" s="180"/>
      <c r="BR118" s="69">
        <f t="shared" si="328"/>
        <v>40</v>
      </c>
      <c r="BS118" s="69">
        <f t="shared" si="329"/>
        <v>10</v>
      </c>
      <c r="BT118" s="69" t="s">
        <v>305</v>
      </c>
      <c r="BU118" s="171"/>
      <c r="BX118" s="65" t="s">
        <v>150</v>
      </c>
      <c r="BY118" s="579" t="s">
        <v>304</v>
      </c>
      <c r="BZ118" s="189"/>
      <c r="CA118" s="189"/>
      <c r="CB118" s="189"/>
      <c r="CC118" s="189"/>
      <c r="CD118" s="189"/>
      <c r="CE118" s="189"/>
      <c r="CF118" s="189"/>
      <c r="CG118" s="189"/>
      <c r="CH118" s="189"/>
      <c r="CI118" s="189"/>
      <c r="CJ118" s="189"/>
      <c r="CK118" s="189"/>
      <c r="CL118" s="189"/>
      <c r="CM118" s="189"/>
      <c r="CN118" s="189"/>
    </row>
    <row r="119" spans="1:92">
      <c r="A119" s="65" t="s">
        <v>150</v>
      </c>
      <c r="B119" s="412" t="s">
        <v>306</v>
      </c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S119" s="65" t="s">
        <v>150</v>
      </c>
      <c r="T119" s="412" t="s">
        <v>306</v>
      </c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K119" s="65" t="s">
        <v>150</v>
      </c>
      <c r="AL119" s="412" t="s">
        <v>306</v>
      </c>
      <c r="AM119" s="174"/>
      <c r="AN119" s="174"/>
      <c r="AO119" s="174">
        <v>0</v>
      </c>
      <c r="AP119" s="174">
        <v>0</v>
      </c>
      <c r="AQ119" s="174">
        <v>0</v>
      </c>
      <c r="AR119" s="174">
        <v>0</v>
      </c>
      <c r="AS119" s="174">
        <v>0</v>
      </c>
      <c r="AT119" s="174"/>
      <c r="AU119" s="174"/>
      <c r="AV119" s="174"/>
      <c r="AW119" s="174"/>
      <c r="AX119" s="174"/>
      <c r="AZ119" s="69">
        <f t="shared" si="334"/>
        <v>0</v>
      </c>
      <c r="BA119" s="69">
        <f t="shared" si="335"/>
        <v>0</v>
      </c>
      <c r="BB119" s="533"/>
      <c r="BC119" s="65" t="s">
        <v>150</v>
      </c>
      <c r="BD119" s="412" t="s">
        <v>306</v>
      </c>
      <c r="BE119" s="180"/>
      <c r="BF119" s="180"/>
      <c r="BG119" s="180">
        <f t="shared" ref="BG119" si="351">BE118-BG120+BF119</f>
        <v>0</v>
      </c>
      <c r="BH119" s="180">
        <f t="shared" ref="BH119" si="352">BF118-BH120+BG119</f>
        <v>0</v>
      </c>
      <c r="BI119" s="180">
        <f>BG118-BI120+BH119</f>
        <v>1.5</v>
      </c>
      <c r="BJ119" s="180">
        <f t="shared" ref="BJ119" si="353">BH118-BJ120+BI119</f>
        <v>6</v>
      </c>
      <c r="BK119" s="180">
        <f t="shared" ref="BK119" si="354">BI118-BK120+BJ119</f>
        <v>12</v>
      </c>
      <c r="BL119" s="180">
        <f>BJ118-BL120+BK119</f>
        <v>18</v>
      </c>
      <c r="BM119" s="180">
        <f t="shared" ref="BM119" si="355">BK118-BM120+BL119</f>
        <v>24</v>
      </c>
      <c r="BN119" s="180">
        <f t="shared" ref="BN119" si="356">BL118-BN120+BM119</f>
        <v>28.5</v>
      </c>
      <c r="BO119" s="180">
        <f>BM118-BO120+BN119</f>
        <v>28.5</v>
      </c>
      <c r="BP119" s="180">
        <f>BN118-BP120+BO119</f>
        <v>28.5</v>
      </c>
      <c r="BR119" s="69">
        <f t="shared" si="328"/>
        <v>19.5</v>
      </c>
      <c r="BS119" s="69">
        <f t="shared" si="329"/>
        <v>12</v>
      </c>
      <c r="BU119" s="171"/>
      <c r="BX119" s="65" t="s">
        <v>150</v>
      </c>
      <c r="BY119" s="579" t="s">
        <v>306</v>
      </c>
      <c r="BZ119" s="189"/>
      <c r="CA119" s="189"/>
      <c r="CB119" s="189"/>
      <c r="CC119" s="189"/>
      <c r="CD119" s="189"/>
      <c r="CE119" s="189"/>
      <c r="CF119" s="189"/>
      <c r="CG119" s="189"/>
      <c r="CH119" s="189"/>
      <c r="CI119" s="189"/>
      <c r="CJ119" s="189"/>
      <c r="CK119" s="189"/>
      <c r="CL119" s="189"/>
      <c r="CM119" s="189"/>
      <c r="CN119" s="189"/>
    </row>
    <row r="120" spans="1:92">
      <c r="A120" s="65" t="s">
        <v>150</v>
      </c>
      <c r="B120" s="412" t="s">
        <v>168</v>
      </c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S120" s="65" t="s">
        <v>150</v>
      </c>
      <c r="T120" s="412" t="s">
        <v>168</v>
      </c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K120" s="65" t="s">
        <v>150</v>
      </c>
      <c r="AL120" s="412" t="s">
        <v>168</v>
      </c>
      <c r="AM120" s="174"/>
      <c r="AN120" s="174"/>
      <c r="AO120" s="174">
        <v>2</v>
      </c>
      <c r="AP120" s="174">
        <v>2</v>
      </c>
      <c r="AQ120" s="174">
        <v>3</v>
      </c>
      <c r="AR120" s="174">
        <v>3</v>
      </c>
      <c r="AS120" s="174">
        <v>3</v>
      </c>
      <c r="AT120" s="174"/>
      <c r="AU120" s="174"/>
      <c r="AV120" s="174"/>
      <c r="AW120" s="174"/>
      <c r="AX120" s="174"/>
      <c r="AY120" s="180"/>
      <c r="AZ120" s="180">
        <f t="shared" si="334"/>
        <v>13</v>
      </c>
      <c r="BA120" s="180">
        <f t="shared" si="335"/>
        <v>3</v>
      </c>
      <c r="BB120" s="533"/>
      <c r="BC120" s="65" t="s">
        <v>150</v>
      </c>
      <c r="BD120" s="412" t="s">
        <v>168</v>
      </c>
      <c r="BE120" s="180"/>
      <c r="BF120" s="180">
        <f t="shared" ref="BF120:BN120" si="357">BH121+BE120-BF121</f>
        <v>0</v>
      </c>
      <c r="BG120" s="180">
        <f t="shared" si="357"/>
        <v>0</v>
      </c>
      <c r="BH120" s="180">
        <f t="shared" si="357"/>
        <v>0</v>
      </c>
      <c r="BI120" s="180">
        <f t="shared" si="357"/>
        <v>1</v>
      </c>
      <c r="BJ120" s="180">
        <f t="shared" si="357"/>
        <v>3</v>
      </c>
      <c r="BK120" s="180">
        <f t="shared" si="357"/>
        <v>4</v>
      </c>
      <c r="BL120" s="180">
        <f t="shared" si="357"/>
        <v>4</v>
      </c>
      <c r="BM120" s="180">
        <f t="shared" si="357"/>
        <v>4</v>
      </c>
      <c r="BN120" s="180">
        <f t="shared" si="357"/>
        <v>3</v>
      </c>
      <c r="BO120" s="180"/>
      <c r="BP120" s="180"/>
      <c r="BQ120" s="180"/>
      <c r="BR120" s="180">
        <f t="shared" si="328"/>
        <v>8</v>
      </c>
      <c r="BS120" s="180">
        <f t="shared" si="329"/>
        <v>4</v>
      </c>
      <c r="BT120" s="69" t="s">
        <v>307</v>
      </c>
      <c r="BX120" s="65" t="s">
        <v>150</v>
      </c>
      <c r="BY120" s="579" t="s">
        <v>168</v>
      </c>
      <c r="BZ120" s="189"/>
      <c r="CA120" s="189"/>
      <c r="CB120" s="189"/>
      <c r="CC120" s="189"/>
      <c r="CD120" s="189"/>
      <c r="CE120" s="189"/>
      <c r="CF120" s="189"/>
      <c r="CG120" s="189"/>
      <c r="CH120" s="189"/>
      <c r="CI120" s="189"/>
      <c r="CJ120" s="189"/>
      <c r="CK120" s="189"/>
      <c r="CL120" s="189"/>
      <c r="CM120" s="189"/>
      <c r="CN120" s="189"/>
    </row>
    <row r="121" spans="1:92">
      <c r="A121" s="414" t="s">
        <v>150</v>
      </c>
      <c r="B121" s="415" t="s">
        <v>298</v>
      </c>
      <c r="C121" s="416"/>
      <c r="D121" s="416"/>
      <c r="E121" s="416"/>
      <c r="F121" s="416"/>
      <c r="G121" s="416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S121" s="414" t="s">
        <v>150</v>
      </c>
      <c r="T121" s="415" t="s">
        <v>298</v>
      </c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16"/>
      <c r="AG121" s="416"/>
      <c r="AH121" s="416"/>
      <c r="AI121" s="416"/>
      <c r="AK121" s="414" t="s">
        <v>150</v>
      </c>
      <c r="AL121" s="415" t="s">
        <v>298</v>
      </c>
      <c r="AM121" s="416">
        <v>0</v>
      </c>
      <c r="AN121" s="416">
        <v>0</v>
      </c>
      <c r="AO121" s="416">
        <v>0</v>
      </c>
      <c r="AP121" s="416">
        <v>0</v>
      </c>
      <c r="AQ121" s="416"/>
      <c r="AR121" s="416"/>
      <c r="AS121" s="416"/>
      <c r="AT121" s="416"/>
      <c r="AU121" s="416"/>
      <c r="AV121" s="416"/>
      <c r="AW121" s="416"/>
      <c r="AX121" s="416"/>
      <c r="AY121" s="416"/>
      <c r="AZ121" s="416">
        <f t="shared" si="334"/>
        <v>0</v>
      </c>
      <c r="BA121" s="416">
        <f t="shared" si="335"/>
        <v>0</v>
      </c>
      <c r="BB121" s="533"/>
      <c r="BC121" s="414" t="s">
        <v>150</v>
      </c>
      <c r="BD121" s="415" t="s">
        <v>298</v>
      </c>
      <c r="BE121" s="416">
        <f>BE122</f>
        <v>0</v>
      </c>
      <c r="BF121" s="416">
        <f t="shared" ref="BF121" si="358">BF122-BE122</f>
        <v>0</v>
      </c>
      <c r="BG121" s="416">
        <f t="shared" ref="BG121" si="359">BG122-BF122</f>
        <v>0</v>
      </c>
      <c r="BH121" s="416">
        <f t="shared" ref="BH121" si="360">BH122-BG122</f>
        <v>0</v>
      </c>
      <c r="BI121" s="416">
        <f t="shared" ref="BI121" si="361">BI122-BH122</f>
        <v>0</v>
      </c>
      <c r="BJ121" s="416">
        <f t="shared" ref="BJ121" si="362">BJ122-BI122</f>
        <v>0</v>
      </c>
      <c r="BK121" s="416">
        <f>BK122-BJ122</f>
        <v>1</v>
      </c>
      <c r="BL121" s="416">
        <f>BL122-BK122</f>
        <v>2</v>
      </c>
      <c r="BM121" s="416">
        <f t="shared" ref="BM121" si="363">BM122-BL122</f>
        <v>2</v>
      </c>
      <c r="BN121" s="416">
        <f t="shared" ref="BN121" si="364">BN122-BM122</f>
        <v>2</v>
      </c>
      <c r="BO121" s="416">
        <f t="shared" ref="BO121" si="365">BO122-BN122</f>
        <v>2</v>
      </c>
      <c r="BP121" s="416">
        <f t="shared" ref="BP121" si="366">BP122-BO122</f>
        <v>1</v>
      </c>
      <c r="BQ121" s="416"/>
      <c r="BR121" s="416">
        <f t="shared" si="328"/>
        <v>1</v>
      </c>
      <c r="BS121" s="416">
        <f t="shared" si="329"/>
        <v>1</v>
      </c>
      <c r="BX121" s="580" t="s">
        <v>150</v>
      </c>
      <c r="BY121" s="581" t="s">
        <v>298</v>
      </c>
      <c r="BZ121" s="582"/>
      <c r="CA121" s="582"/>
      <c r="CB121" s="582"/>
      <c r="CC121" s="582"/>
      <c r="CD121" s="582"/>
      <c r="CE121" s="582"/>
      <c r="CF121" s="582"/>
      <c r="CG121" s="582"/>
      <c r="CH121" s="582"/>
      <c r="CI121" s="582"/>
      <c r="CJ121" s="582"/>
      <c r="CK121" s="582"/>
      <c r="CL121" s="582"/>
      <c r="CM121" s="582"/>
      <c r="CN121" s="582"/>
    </row>
    <row r="122" spans="1:92">
      <c r="A122" s="409" t="s">
        <v>150</v>
      </c>
      <c r="B122" s="413" t="s">
        <v>299</v>
      </c>
      <c r="C122" s="410"/>
      <c r="D122" s="410"/>
      <c r="E122" s="410"/>
      <c r="F122" s="410"/>
      <c r="G122" s="410"/>
      <c r="H122" s="410"/>
      <c r="I122" s="410"/>
      <c r="J122" s="410"/>
      <c r="K122" s="410"/>
      <c r="L122" s="410"/>
      <c r="M122" s="410"/>
      <c r="N122" s="410"/>
      <c r="O122" s="410"/>
      <c r="P122" s="410"/>
      <c r="Q122" s="410"/>
      <c r="S122" s="409" t="s">
        <v>150</v>
      </c>
      <c r="T122" s="413" t="s">
        <v>299</v>
      </c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  <c r="AG122" s="410"/>
      <c r="AH122" s="410"/>
      <c r="AI122" s="410"/>
      <c r="AK122" s="409" t="s">
        <v>150</v>
      </c>
      <c r="AL122" s="413" t="s">
        <v>299</v>
      </c>
      <c r="AM122" s="410">
        <v>0</v>
      </c>
      <c r="AN122" s="410">
        <v>0</v>
      </c>
      <c r="AO122" s="410">
        <v>0</v>
      </c>
      <c r="AP122" s="410">
        <v>0</v>
      </c>
      <c r="AQ122" s="410"/>
      <c r="AR122" s="410"/>
      <c r="AS122" s="410"/>
      <c r="AT122" s="410"/>
      <c r="AU122" s="410"/>
      <c r="AV122" s="410"/>
      <c r="AW122" s="410"/>
      <c r="AX122" s="410"/>
      <c r="AY122" s="410"/>
      <c r="AZ122" s="410">
        <f t="shared" si="334"/>
        <v>0</v>
      </c>
      <c r="BA122" s="410">
        <f t="shared" si="335"/>
        <v>0</v>
      </c>
      <c r="BB122" s="533"/>
      <c r="BC122" s="409" t="s">
        <v>150</v>
      </c>
      <c r="BD122" s="413" t="s">
        <v>299</v>
      </c>
      <c r="BE122" s="410">
        <f t="shared" ref="BE122:BP122" si="367">BE43</f>
        <v>0</v>
      </c>
      <c r="BF122" s="410">
        <f t="shared" si="367"/>
        <v>0</v>
      </c>
      <c r="BG122" s="410">
        <f t="shared" si="367"/>
        <v>0</v>
      </c>
      <c r="BH122" s="410">
        <f t="shared" si="367"/>
        <v>0</v>
      </c>
      <c r="BI122" s="410">
        <f t="shared" si="367"/>
        <v>0</v>
      </c>
      <c r="BJ122" s="410">
        <f t="shared" si="367"/>
        <v>0</v>
      </c>
      <c r="BK122" s="410">
        <f t="shared" si="367"/>
        <v>1</v>
      </c>
      <c r="BL122" s="410">
        <f t="shared" si="367"/>
        <v>3</v>
      </c>
      <c r="BM122" s="410">
        <f t="shared" si="367"/>
        <v>5</v>
      </c>
      <c r="BN122" s="410">
        <f t="shared" si="367"/>
        <v>7</v>
      </c>
      <c r="BO122" s="410">
        <f t="shared" si="367"/>
        <v>9</v>
      </c>
      <c r="BP122" s="410">
        <f t="shared" si="367"/>
        <v>10</v>
      </c>
      <c r="BQ122" s="410"/>
      <c r="BR122" s="410">
        <f t="shared" si="328"/>
        <v>1</v>
      </c>
      <c r="BS122" s="410">
        <f t="shared" si="329"/>
        <v>1</v>
      </c>
      <c r="BX122" s="583" t="s">
        <v>150</v>
      </c>
      <c r="BY122" s="584" t="s">
        <v>299</v>
      </c>
      <c r="BZ122" s="585"/>
      <c r="CA122" s="585"/>
      <c r="CB122" s="585"/>
      <c r="CC122" s="585"/>
      <c r="CD122" s="585"/>
      <c r="CE122" s="585"/>
      <c r="CF122" s="585"/>
      <c r="CG122" s="585"/>
      <c r="CH122" s="585"/>
      <c r="CI122" s="585"/>
      <c r="CJ122" s="585"/>
      <c r="CK122" s="585"/>
      <c r="CL122" s="585"/>
      <c r="CM122" s="585"/>
      <c r="CN122" s="585"/>
    </row>
    <row r="123" spans="1:92">
      <c r="A123" s="176" t="s">
        <v>150</v>
      </c>
      <c r="B123" s="178" t="s">
        <v>300</v>
      </c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S123" s="176" t="s">
        <v>150</v>
      </c>
      <c r="T123" s="178" t="s">
        <v>300</v>
      </c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K123" s="176" t="s">
        <v>150</v>
      </c>
      <c r="AL123" s="178" t="s">
        <v>300</v>
      </c>
      <c r="AM123" s="177">
        <v>0</v>
      </c>
      <c r="AN123" s="177">
        <v>1</v>
      </c>
      <c r="AO123" s="177">
        <v>2</v>
      </c>
      <c r="AP123" s="177">
        <v>2</v>
      </c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>
        <f t="shared" si="334"/>
        <v>5</v>
      </c>
      <c r="BA123" s="177">
        <f t="shared" si="335"/>
        <v>0</v>
      </c>
      <c r="BB123" s="533"/>
      <c r="BC123" s="176" t="s">
        <v>150</v>
      </c>
      <c r="BD123" s="178" t="s">
        <v>300</v>
      </c>
      <c r="BE123" s="177">
        <f t="shared" ref="BE123:BP123" si="368">BE44+BE45+BE46</f>
        <v>0</v>
      </c>
      <c r="BF123" s="177">
        <f t="shared" si="368"/>
        <v>1</v>
      </c>
      <c r="BG123" s="177">
        <f t="shared" si="368"/>
        <v>3</v>
      </c>
      <c r="BH123" s="177">
        <f t="shared" si="368"/>
        <v>4</v>
      </c>
      <c r="BI123" s="177">
        <f t="shared" si="368"/>
        <v>5</v>
      </c>
      <c r="BJ123" s="177">
        <f t="shared" si="368"/>
        <v>6</v>
      </c>
      <c r="BK123" s="177">
        <f t="shared" si="368"/>
        <v>8.5</v>
      </c>
      <c r="BL123" s="177">
        <f t="shared" si="368"/>
        <v>13.5</v>
      </c>
      <c r="BM123" s="177">
        <f t="shared" si="368"/>
        <v>18.5</v>
      </c>
      <c r="BN123" s="177">
        <f t="shared" si="368"/>
        <v>23.5</v>
      </c>
      <c r="BO123" s="177">
        <f t="shared" si="368"/>
        <v>28.5</v>
      </c>
      <c r="BP123" s="177">
        <f t="shared" si="368"/>
        <v>30</v>
      </c>
      <c r="BQ123" s="177"/>
      <c r="BR123" s="177">
        <f t="shared" si="328"/>
        <v>27.5</v>
      </c>
      <c r="BS123" s="177">
        <f t="shared" si="329"/>
        <v>8.5</v>
      </c>
      <c r="BX123" s="194" t="s">
        <v>150</v>
      </c>
      <c r="BY123" s="197" t="s">
        <v>300</v>
      </c>
      <c r="BZ123" s="195"/>
      <c r="CA123" s="195"/>
      <c r="CB123" s="195"/>
      <c r="CC123" s="195"/>
      <c r="CD123" s="195"/>
      <c r="CE123" s="195"/>
      <c r="CF123" s="195"/>
      <c r="CG123" s="195"/>
      <c r="CH123" s="195"/>
      <c r="CI123" s="195"/>
      <c r="CJ123" s="195"/>
      <c r="CK123" s="195"/>
      <c r="CL123" s="195"/>
      <c r="CM123" s="195"/>
      <c r="CN123" s="195"/>
    </row>
    <row r="124" spans="1:92">
      <c r="A124" s="65" t="s">
        <v>151</v>
      </c>
      <c r="B124" s="412" t="s">
        <v>165</v>
      </c>
      <c r="C124" s="419"/>
      <c r="D124" s="419"/>
      <c r="E124" s="419"/>
      <c r="F124" s="419"/>
      <c r="G124" s="419"/>
      <c r="H124" s="419"/>
      <c r="I124" s="419"/>
      <c r="J124" s="419"/>
      <c r="K124" s="419"/>
      <c r="L124" s="419"/>
      <c r="M124" s="419"/>
      <c r="N124" s="419"/>
      <c r="S124" s="65" t="s">
        <v>151</v>
      </c>
      <c r="T124" s="412" t="s">
        <v>165</v>
      </c>
      <c r="U124" s="419"/>
      <c r="V124" s="419"/>
      <c r="W124" s="419"/>
      <c r="X124" s="419"/>
      <c r="Y124" s="419"/>
      <c r="Z124" s="419"/>
      <c r="AA124" s="419"/>
      <c r="AB124" s="419"/>
      <c r="AC124" s="419"/>
      <c r="AD124" s="419"/>
      <c r="AE124" s="419"/>
      <c r="AF124" s="419"/>
      <c r="AK124" s="65" t="s">
        <v>151</v>
      </c>
      <c r="AL124" s="412" t="s">
        <v>165</v>
      </c>
      <c r="AM124" s="535">
        <f t="shared" ref="AM124:AS124" si="369">SUM(AM161:AM163)</f>
        <v>2</v>
      </c>
      <c r="AN124" s="535">
        <f t="shared" si="369"/>
        <v>2</v>
      </c>
      <c r="AO124" s="535">
        <f t="shared" si="369"/>
        <v>4</v>
      </c>
      <c r="AP124" s="535">
        <f t="shared" si="369"/>
        <v>2</v>
      </c>
      <c r="AQ124" s="535">
        <f t="shared" si="369"/>
        <v>7</v>
      </c>
      <c r="AR124" s="535">
        <f t="shared" si="369"/>
        <v>3</v>
      </c>
      <c r="AS124" s="535">
        <f t="shared" si="369"/>
        <v>1</v>
      </c>
      <c r="AT124" s="535"/>
      <c r="AU124" s="535"/>
      <c r="AV124" s="535"/>
      <c r="AW124" s="535"/>
      <c r="AX124" s="535"/>
      <c r="AZ124" s="69">
        <f t="shared" si="334"/>
        <v>21</v>
      </c>
      <c r="BA124" s="69">
        <f t="shared" si="335"/>
        <v>1</v>
      </c>
      <c r="BB124" s="533"/>
      <c r="BC124" s="65" t="s">
        <v>151</v>
      </c>
      <c r="BD124" s="412" t="s">
        <v>165</v>
      </c>
      <c r="BE124" s="419">
        <v>0</v>
      </c>
      <c r="BF124" s="419">
        <v>0</v>
      </c>
      <c r="BG124" s="419">
        <f>BH128/0.3</f>
        <v>27.777777777777782</v>
      </c>
      <c r="BH124" s="419">
        <f t="shared" ref="BH124:BO124" si="370">BI128/0.3</f>
        <v>72.222222222222243</v>
      </c>
      <c r="BI124" s="419">
        <f t="shared" si="370"/>
        <v>102.22222222222224</v>
      </c>
      <c r="BJ124" s="419">
        <f t="shared" si="370"/>
        <v>140.00000000000003</v>
      </c>
      <c r="BK124" s="419">
        <f t="shared" si="370"/>
        <v>182.22222222222226</v>
      </c>
      <c r="BL124" s="419">
        <f t="shared" si="370"/>
        <v>217.77777777777783</v>
      </c>
      <c r="BM124" s="419">
        <f t="shared" si="370"/>
        <v>164.44444444444449</v>
      </c>
      <c r="BN124" s="419">
        <f t="shared" si="370"/>
        <v>164.44444444444449</v>
      </c>
      <c r="BO124" s="419">
        <f t="shared" si="370"/>
        <v>0</v>
      </c>
      <c r="BP124" s="419"/>
      <c r="BR124" s="69">
        <f t="shared" si="328"/>
        <v>524.44444444444457</v>
      </c>
      <c r="BS124" s="69">
        <f t="shared" si="329"/>
        <v>182.22222222222226</v>
      </c>
      <c r="BU124" s="171"/>
      <c r="BX124" s="65" t="s">
        <v>151</v>
      </c>
      <c r="BY124" s="579" t="s">
        <v>165</v>
      </c>
      <c r="BZ124" s="586"/>
      <c r="CA124" s="586"/>
      <c r="CB124" s="586"/>
      <c r="CC124" s="586"/>
      <c r="CD124" s="586"/>
      <c r="CE124" s="586"/>
      <c r="CF124" s="586"/>
      <c r="CG124" s="586"/>
      <c r="CH124" s="586"/>
      <c r="CI124" s="586"/>
      <c r="CJ124" s="586"/>
      <c r="CK124" s="586"/>
      <c r="CL124" s="189"/>
      <c r="CM124" s="189"/>
      <c r="CN124" s="189"/>
    </row>
    <row r="125" spans="1:92">
      <c r="B125" s="412"/>
      <c r="C125" s="419"/>
      <c r="D125" s="419"/>
      <c r="E125" s="419"/>
      <c r="F125" s="419"/>
      <c r="G125" s="419"/>
      <c r="H125" s="419"/>
      <c r="I125" s="419"/>
      <c r="J125" s="419"/>
      <c r="K125" s="419"/>
      <c r="L125" s="419"/>
      <c r="M125" s="419"/>
      <c r="N125" s="419"/>
      <c r="T125" s="412"/>
      <c r="U125" s="419"/>
      <c r="V125" s="419"/>
      <c r="W125" s="419"/>
      <c r="X125" s="419"/>
      <c r="Y125" s="419"/>
      <c r="Z125" s="419"/>
      <c r="AA125" s="419"/>
      <c r="AB125" s="419"/>
      <c r="AC125" s="419"/>
      <c r="AD125" s="419"/>
      <c r="AE125" s="419"/>
      <c r="AF125" s="419"/>
      <c r="AK125" s="65" t="s">
        <v>151</v>
      </c>
      <c r="AL125" s="412" t="s">
        <v>205</v>
      </c>
      <c r="AM125" s="535">
        <f t="shared" ref="AM125:AS125" si="371">SUM(AM164:AM166)</f>
        <v>1</v>
      </c>
      <c r="AN125" s="535">
        <f t="shared" si="371"/>
        <v>1</v>
      </c>
      <c r="AO125" s="535">
        <f t="shared" si="371"/>
        <v>3</v>
      </c>
      <c r="AP125" s="535">
        <f t="shared" si="371"/>
        <v>3</v>
      </c>
      <c r="AQ125" s="535">
        <f t="shared" si="371"/>
        <v>4</v>
      </c>
      <c r="AR125" s="535">
        <f t="shared" si="371"/>
        <v>3</v>
      </c>
      <c r="AS125" s="535">
        <f t="shared" si="371"/>
        <v>4</v>
      </c>
      <c r="AT125" s="535"/>
      <c r="AU125" s="535"/>
      <c r="AV125" s="535"/>
      <c r="AW125" s="535"/>
      <c r="AX125" s="535"/>
      <c r="BB125" s="533"/>
      <c r="BC125" s="65" t="s">
        <v>151</v>
      </c>
      <c r="BD125" s="412" t="s">
        <v>205</v>
      </c>
      <c r="BE125" s="419"/>
      <c r="BF125" s="419"/>
      <c r="BG125" s="419"/>
      <c r="BH125" s="419"/>
      <c r="BI125" s="419"/>
      <c r="BJ125" s="419"/>
      <c r="BK125" s="419"/>
      <c r="BL125" s="419"/>
      <c r="BM125" s="419"/>
      <c r="BN125" s="419"/>
      <c r="BO125" s="419"/>
      <c r="BP125" s="419"/>
      <c r="BU125" s="171"/>
      <c r="BX125" s="65" t="s">
        <v>151</v>
      </c>
      <c r="BY125" s="579" t="s">
        <v>205</v>
      </c>
      <c r="BZ125" s="586"/>
      <c r="CA125" s="586"/>
      <c r="CB125" s="586"/>
      <c r="CC125" s="586"/>
      <c r="CD125" s="586"/>
      <c r="CE125" s="586"/>
      <c r="CF125" s="586"/>
      <c r="CG125" s="586"/>
      <c r="CH125" s="586"/>
      <c r="CI125" s="586"/>
      <c r="CJ125" s="586"/>
      <c r="CK125" s="586"/>
      <c r="CL125" s="189"/>
      <c r="CM125" s="189"/>
      <c r="CN125" s="189"/>
    </row>
    <row r="126" spans="1:92">
      <c r="A126" s="65" t="s">
        <v>151</v>
      </c>
      <c r="B126" s="412" t="s">
        <v>208</v>
      </c>
      <c r="C126" s="419"/>
      <c r="D126" s="419"/>
      <c r="E126" s="419"/>
      <c r="F126" s="419"/>
      <c r="G126" s="419"/>
      <c r="H126" s="419"/>
      <c r="I126" s="419"/>
      <c r="J126" s="419"/>
      <c r="K126" s="419"/>
      <c r="L126" s="419"/>
      <c r="M126" s="419"/>
      <c r="N126" s="419"/>
      <c r="S126" s="65" t="s">
        <v>151</v>
      </c>
      <c r="T126" s="412" t="s">
        <v>208</v>
      </c>
      <c r="U126" s="419"/>
      <c r="V126" s="419"/>
      <c r="W126" s="419"/>
      <c r="X126" s="419"/>
      <c r="Y126" s="419"/>
      <c r="Z126" s="419"/>
      <c r="AA126" s="419"/>
      <c r="AB126" s="419"/>
      <c r="AC126" s="419"/>
      <c r="AD126" s="419"/>
      <c r="AE126" s="419"/>
      <c r="AF126" s="419"/>
      <c r="AK126" s="65" t="s">
        <v>151</v>
      </c>
      <c r="AL126" s="412" t="s">
        <v>208</v>
      </c>
      <c r="AM126" s="535">
        <f t="shared" ref="AM126:AS126" si="372">SUM(AM167:AM169)</f>
        <v>0</v>
      </c>
      <c r="AN126" s="535">
        <f t="shared" si="372"/>
        <v>0</v>
      </c>
      <c r="AO126" s="535">
        <f t="shared" si="372"/>
        <v>1</v>
      </c>
      <c r="AP126" s="535">
        <f t="shared" si="372"/>
        <v>2</v>
      </c>
      <c r="AQ126" s="535">
        <f t="shared" si="372"/>
        <v>1</v>
      </c>
      <c r="AR126" s="535">
        <f t="shared" si="372"/>
        <v>1</v>
      </c>
      <c r="AS126" s="535">
        <f t="shared" si="372"/>
        <v>1</v>
      </c>
      <c r="AT126" s="535"/>
      <c r="AU126" s="535"/>
      <c r="AV126" s="535"/>
      <c r="AW126" s="535"/>
      <c r="AX126" s="535"/>
      <c r="AZ126" s="69">
        <f>SUMIF(AM$3:AX$3,1,AM126:AX126)</f>
        <v>6</v>
      </c>
      <c r="BA126" s="69">
        <f>SUMIF(AN$2:AY$2,1,AN126:AY126)</f>
        <v>1</v>
      </c>
      <c r="BB126" s="533"/>
      <c r="BC126" s="65" t="s">
        <v>151</v>
      </c>
      <c r="BD126" s="412" t="s">
        <v>208</v>
      </c>
      <c r="BE126" s="419"/>
      <c r="BF126" s="419"/>
      <c r="BG126" s="419"/>
      <c r="BH126" s="419"/>
      <c r="BI126" s="419"/>
      <c r="BJ126" s="419"/>
      <c r="BK126" s="419"/>
      <c r="BL126" s="419"/>
      <c r="BM126" s="419"/>
      <c r="BN126" s="419"/>
      <c r="BO126" s="419"/>
      <c r="BP126" s="419"/>
      <c r="BR126" s="69">
        <f>SUMIF(BE$3:BP$3,1,BE126:BP126)</f>
        <v>0</v>
      </c>
      <c r="BS126" s="69">
        <f>SUMIF(BF$2:BQ$2,1,BF126:BQ126)</f>
        <v>0</v>
      </c>
      <c r="BX126" s="65" t="s">
        <v>151</v>
      </c>
      <c r="BY126" s="579" t="s">
        <v>208</v>
      </c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189"/>
      <c r="CM126" s="189"/>
      <c r="CN126" s="189"/>
    </row>
    <row r="127" spans="1:92">
      <c r="A127" s="65" t="s">
        <v>151</v>
      </c>
      <c r="B127" s="412" t="s">
        <v>166</v>
      </c>
      <c r="C127" s="419"/>
      <c r="D127" s="419"/>
      <c r="E127" s="419"/>
      <c r="F127" s="419"/>
      <c r="G127" s="419"/>
      <c r="H127" s="419"/>
      <c r="I127" s="419"/>
      <c r="J127" s="419"/>
      <c r="K127" s="419"/>
      <c r="L127" s="419"/>
      <c r="M127" s="419"/>
      <c r="N127" s="419"/>
      <c r="S127" s="65" t="s">
        <v>151</v>
      </c>
      <c r="T127" s="412" t="s">
        <v>166</v>
      </c>
      <c r="U127" s="419"/>
      <c r="V127" s="419"/>
      <c r="W127" s="419"/>
      <c r="X127" s="419"/>
      <c r="Y127" s="419"/>
      <c r="Z127" s="419"/>
      <c r="AA127" s="419"/>
      <c r="AB127" s="419"/>
      <c r="AC127" s="419"/>
      <c r="AD127" s="419"/>
      <c r="AE127" s="419"/>
      <c r="AF127" s="419"/>
      <c r="AK127" s="65" t="s">
        <v>151</v>
      </c>
      <c r="AL127" s="412" t="s">
        <v>166</v>
      </c>
      <c r="AM127" s="535">
        <f t="shared" ref="AM127:AS127" si="373">SUM(AM169:AM171)</f>
        <v>1</v>
      </c>
      <c r="AN127" s="535">
        <f t="shared" si="373"/>
        <v>3</v>
      </c>
      <c r="AO127" s="535">
        <f t="shared" si="373"/>
        <v>3</v>
      </c>
      <c r="AP127" s="535">
        <f t="shared" si="373"/>
        <v>4</v>
      </c>
      <c r="AQ127" s="538">
        <f t="shared" si="373"/>
        <v>5</v>
      </c>
      <c r="AR127" s="535">
        <f t="shared" si="373"/>
        <v>4</v>
      </c>
      <c r="AS127" s="535">
        <f t="shared" si="373"/>
        <v>5</v>
      </c>
      <c r="AT127" s="535"/>
      <c r="AU127" s="535"/>
      <c r="AV127" s="535"/>
      <c r="AW127" s="535"/>
      <c r="AX127" s="535"/>
      <c r="AZ127" s="69">
        <f t="shared" si="334"/>
        <v>25</v>
      </c>
      <c r="BA127" s="69">
        <f t="shared" si="335"/>
        <v>5</v>
      </c>
      <c r="BB127" s="533"/>
      <c r="BC127" s="65" t="s">
        <v>151</v>
      </c>
      <c r="BD127" s="412" t="s">
        <v>166</v>
      </c>
      <c r="BE127" s="419"/>
      <c r="BF127" s="419">
        <f t="shared" ref="BF127:BO127" si="374">BG128/0.3+BE127-BF128</f>
        <v>0</v>
      </c>
      <c r="BG127" s="419">
        <f t="shared" si="374"/>
        <v>27.777777777777782</v>
      </c>
      <c r="BH127" s="419">
        <f t="shared" si="374"/>
        <v>91.6666666666667</v>
      </c>
      <c r="BI127" s="419">
        <f t="shared" si="374"/>
        <v>172.22222222222229</v>
      </c>
      <c r="BJ127" s="419">
        <f t="shared" si="374"/>
        <v>281.5555555555556</v>
      </c>
      <c r="BK127" s="419">
        <f t="shared" si="374"/>
        <v>421.77777777777783</v>
      </c>
      <c r="BL127" s="419">
        <f t="shared" si="374"/>
        <v>584.88888888888903</v>
      </c>
      <c r="BM127" s="419">
        <f t="shared" si="374"/>
        <v>684.00000000000011</v>
      </c>
      <c r="BN127" s="419">
        <f t="shared" si="374"/>
        <v>799.1111111111112</v>
      </c>
      <c r="BO127" s="419">
        <f t="shared" si="374"/>
        <v>749.77777777777783</v>
      </c>
      <c r="BP127" s="419"/>
      <c r="BR127" s="69">
        <f t="shared" si="328"/>
        <v>995.00000000000023</v>
      </c>
      <c r="BS127" s="69">
        <f t="shared" si="329"/>
        <v>421.77777777777783</v>
      </c>
      <c r="BT127" s="417" t="s">
        <v>294</v>
      </c>
      <c r="BX127" s="65" t="s">
        <v>151</v>
      </c>
      <c r="BY127" s="579" t="s">
        <v>166</v>
      </c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189"/>
      <c r="CM127" s="189"/>
      <c r="CN127" s="189"/>
    </row>
    <row r="128" spans="1:92">
      <c r="A128" s="65" t="s">
        <v>151</v>
      </c>
      <c r="B128" s="412" t="s">
        <v>295</v>
      </c>
      <c r="C128" s="419"/>
      <c r="D128" s="419"/>
      <c r="E128" s="419"/>
      <c r="F128" s="419"/>
      <c r="G128" s="419"/>
      <c r="H128" s="419"/>
      <c r="I128" s="419"/>
      <c r="J128" s="419"/>
      <c r="K128" s="419"/>
      <c r="L128" s="419"/>
      <c r="M128" s="419"/>
      <c r="N128" s="419"/>
      <c r="O128" s="180"/>
      <c r="P128" s="180"/>
      <c r="Q128" s="180"/>
      <c r="S128" s="65" t="s">
        <v>151</v>
      </c>
      <c r="T128" s="412" t="s">
        <v>295</v>
      </c>
      <c r="U128" s="419"/>
      <c r="V128" s="419"/>
      <c r="W128" s="419"/>
      <c r="X128" s="419"/>
      <c r="Y128" s="419"/>
      <c r="Z128" s="419"/>
      <c r="AA128" s="419"/>
      <c r="AB128" s="419"/>
      <c r="AC128" s="419"/>
      <c r="AD128" s="419"/>
      <c r="AE128" s="419"/>
      <c r="AF128" s="419"/>
      <c r="AG128" s="180"/>
      <c r="AH128" s="180"/>
      <c r="AI128" s="180"/>
      <c r="AK128" s="65" t="s">
        <v>151</v>
      </c>
      <c r="AL128" s="412" t="s">
        <v>295</v>
      </c>
      <c r="AM128" s="535">
        <f t="shared" ref="AM128:AS128" si="375">SUM(AM173:AM175)</f>
        <v>0</v>
      </c>
      <c r="AN128" s="535">
        <f t="shared" si="375"/>
        <v>0</v>
      </c>
      <c r="AO128" s="535">
        <f t="shared" si="375"/>
        <v>0</v>
      </c>
      <c r="AP128" s="535">
        <f t="shared" si="375"/>
        <v>0</v>
      </c>
      <c r="AQ128" s="535">
        <f t="shared" si="375"/>
        <v>1</v>
      </c>
      <c r="AR128" s="535">
        <f t="shared" si="375"/>
        <v>3</v>
      </c>
      <c r="AS128" s="535">
        <f t="shared" si="375"/>
        <v>3</v>
      </c>
      <c r="AT128" s="535"/>
      <c r="AU128" s="535"/>
      <c r="AV128" s="535"/>
      <c r="AW128" s="535"/>
      <c r="AX128" s="535"/>
      <c r="AY128" s="180"/>
      <c r="AZ128" s="180">
        <f t="shared" si="334"/>
        <v>7</v>
      </c>
      <c r="BA128" s="180">
        <f t="shared" si="335"/>
        <v>3</v>
      </c>
      <c r="BB128" s="533"/>
      <c r="BC128" s="65" t="s">
        <v>151</v>
      </c>
      <c r="BD128" s="412" t="s">
        <v>295</v>
      </c>
      <c r="BE128" s="419"/>
      <c r="BF128" s="419">
        <f>BG129/0.6+BE128-BF129</f>
        <v>0</v>
      </c>
      <c r="BG128" s="419">
        <f t="shared" ref="BG128" si="376">BH129/0.6+BF128-BG129</f>
        <v>0</v>
      </c>
      <c r="BH128" s="419">
        <f>BI129/0.6+BG128-BH129</f>
        <v>8.3333333333333339</v>
      </c>
      <c r="BI128" s="419">
        <f>BJ129/0.6+BH128-BI129</f>
        <v>21.666666666666671</v>
      </c>
      <c r="BJ128" s="419">
        <f t="shared" ref="BJ128:BN128" si="377">BK129/0.6+BI128-BJ129</f>
        <v>30.666666666666671</v>
      </c>
      <c r="BK128" s="419">
        <f t="shared" si="377"/>
        <v>42.000000000000007</v>
      </c>
      <c r="BL128" s="419">
        <f t="shared" si="377"/>
        <v>54.666666666666671</v>
      </c>
      <c r="BM128" s="419">
        <f t="shared" si="377"/>
        <v>65.333333333333343</v>
      </c>
      <c r="BN128" s="419">
        <f t="shared" si="377"/>
        <v>49.333333333333343</v>
      </c>
      <c r="BO128" s="419">
        <f>BP129/0.6+BN128-BO129</f>
        <v>49.333333333333343</v>
      </c>
      <c r="BP128" s="419"/>
      <c r="BQ128" s="180"/>
      <c r="BR128" s="180">
        <f t="shared" si="328"/>
        <v>102.66666666666669</v>
      </c>
      <c r="BS128" s="180">
        <f t="shared" si="329"/>
        <v>42.000000000000007</v>
      </c>
      <c r="BT128" s="69" t="s">
        <v>308</v>
      </c>
      <c r="BX128" s="65" t="s">
        <v>151</v>
      </c>
      <c r="BY128" s="579" t="s">
        <v>295</v>
      </c>
      <c r="BZ128" s="586"/>
      <c r="CA128" s="586"/>
      <c r="CB128" s="586"/>
      <c r="CC128" s="586"/>
      <c r="CD128" s="586"/>
      <c r="CE128" s="586"/>
      <c r="CF128" s="586"/>
      <c r="CG128" s="586"/>
      <c r="CH128" s="586"/>
      <c r="CI128" s="586"/>
      <c r="CJ128" s="586"/>
      <c r="CK128" s="586"/>
      <c r="CL128" s="189"/>
      <c r="CM128" s="189"/>
      <c r="CN128" s="189"/>
    </row>
    <row r="129" spans="1:92">
      <c r="A129" s="65" t="s">
        <v>151</v>
      </c>
      <c r="B129" s="412" t="s">
        <v>168</v>
      </c>
      <c r="C129" s="419"/>
      <c r="D129" s="419"/>
      <c r="E129" s="419"/>
      <c r="F129" s="419"/>
      <c r="G129" s="419"/>
      <c r="H129" s="419"/>
      <c r="I129" s="419"/>
      <c r="J129" s="419"/>
      <c r="K129" s="419"/>
      <c r="L129" s="419"/>
      <c r="M129" s="419"/>
      <c r="N129" s="419"/>
      <c r="O129" s="180"/>
      <c r="P129" s="180"/>
      <c r="Q129" s="180"/>
      <c r="S129" s="65" t="s">
        <v>151</v>
      </c>
      <c r="T129" s="412" t="s">
        <v>168</v>
      </c>
      <c r="U129" s="419"/>
      <c r="V129" s="419"/>
      <c r="W129" s="419"/>
      <c r="X129" s="419"/>
      <c r="Y129" s="419"/>
      <c r="Z129" s="419"/>
      <c r="AA129" s="419"/>
      <c r="AB129" s="419"/>
      <c r="AC129" s="419"/>
      <c r="AD129" s="419"/>
      <c r="AE129" s="419"/>
      <c r="AF129" s="419"/>
      <c r="AG129" s="180"/>
      <c r="AH129" s="180"/>
      <c r="AI129" s="180"/>
      <c r="AK129" s="65" t="s">
        <v>151</v>
      </c>
      <c r="AL129" s="412" t="s">
        <v>168</v>
      </c>
      <c r="AM129" s="535">
        <f t="shared" ref="AM129:AS129" si="378">SUM(AM176:AM178)</f>
        <v>0</v>
      </c>
      <c r="AN129" s="535">
        <f t="shared" si="378"/>
        <v>0</v>
      </c>
      <c r="AO129" s="535">
        <f t="shared" si="378"/>
        <v>0</v>
      </c>
      <c r="AP129" s="535">
        <f t="shared" si="378"/>
        <v>0</v>
      </c>
      <c r="AQ129" s="535">
        <f t="shared" si="378"/>
        <v>0</v>
      </c>
      <c r="AR129" s="535">
        <f t="shared" si="378"/>
        <v>0</v>
      </c>
      <c r="AS129" s="535">
        <f t="shared" si="378"/>
        <v>0</v>
      </c>
      <c r="AT129" s="535"/>
      <c r="AU129" s="535"/>
      <c r="AV129" s="535"/>
      <c r="AW129" s="535"/>
      <c r="AX129" s="535"/>
      <c r="AY129" s="180"/>
      <c r="AZ129" s="180">
        <f t="shared" si="334"/>
        <v>0</v>
      </c>
      <c r="BA129" s="180">
        <f t="shared" si="335"/>
        <v>0</v>
      </c>
      <c r="BB129" s="533"/>
      <c r="BC129" s="65" t="s">
        <v>151</v>
      </c>
      <c r="BD129" s="412" t="s">
        <v>168</v>
      </c>
      <c r="BE129" s="419"/>
      <c r="BF129" s="419">
        <f>BH130+BE129-BF130</f>
        <v>0</v>
      </c>
      <c r="BG129" s="419">
        <f t="shared" ref="BG129:BI129" si="379">BI130+BF129-BG130</f>
        <v>0</v>
      </c>
      <c r="BH129" s="419">
        <f t="shared" si="379"/>
        <v>0</v>
      </c>
      <c r="BI129" s="419">
        <f t="shared" si="379"/>
        <v>5</v>
      </c>
      <c r="BJ129" s="419">
        <f>BL130+BI129-BJ130</f>
        <v>11</v>
      </c>
      <c r="BK129" s="419">
        <f>BM130+BJ129-BK130</f>
        <v>12</v>
      </c>
      <c r="BL129" s="419">
        <f t="shared" ref="BL129:BM129" si="380">BN130+BK129-BL130</f>
        <v>14</v>
      </c>
      <c r="BM129" s="419">
        <f t="shared" si="380"/>
        <v>16</v>
      </c>
      <c r="BN129" s="419">
        <f>BP130+BM129-BN130</f>
        <v>16</v>
      </c>
      <c r="BO129" s="419"/>
      <c r="BP129" s="419"/>
      <c r="BQ129" s="180"/>
      <c r="BR129" s="180">
        <f t="shared" si="328"/>
        <v>28</v>
      </c>
      <c r="BS129" s="180">
        <f t="shared" si="329"/>
        <v>12</v>
      </c>
      <c r="BT129" s="69" t="s">
        <v>307</v>
      </c>
      <c r="BX129" s="65" t="s">
        <v>151</v>
      </c>
      <c r="BY129" s="579" t="s">
        <v>168</v>
      </c>
      <c r="BZ129" s="586"/>
      <c r="CA129" s="586"/>
      <c r="CB129" s="586"/>
      <c r="CC129" s="586"/>
      <c r="CD129" s="586"/>
      <c r="CE129" s="586"/>
      <c r="CF129" s="586"/>
      <c r="CG129" s="586"/>
      <c r="CH129" s="586"/>
      <c r="CI129" s="586"/>
      <c r="CJ129" s="586"/>
      <c r="CK129" s="586"/>
      <c r="CL129" s="189"/>
      <c r="CM129" s="189"/>
      <c r="CN129" s="189"/>
    </row>
    <row r="130" spans="1:92">
      <c r="A130" s="414" t="s">
        <v>151</v>
      </c>
      <c r="B130" s="415" t="s">
        <v>298</v>
      </c>
      <c r="C130" s="418"/>
      <c r="D130" s="418"/>
      <c r="E130" s="418"/>
      <c r="F130" s="418"/>
      <c r="G130" s="418"/>
      <c r="H130" s="418"/>
      <c r="I130" s="418"/>
      <c r="J130" s="418"/>
      <c r="K130" s="418"/>
      <c r="L130" s="418"/>
      <c r="M130" s="418"/>
      <c r="N130" s="418"/>
      <c r="O130" s="416"/>
      <c r="P130" s="416"/>
      <c r="Q130" s="416"/>
      <c r="S130" s="414" t="s">
        <v>151</v>
      </c>
      <c r="T130" s="415" t="s">
        <v>298</v>
      </c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6"/>
      <c r="AH130" s="416"/>
      <c r="AI130" s="416"/>
      <c r="AK130" s="414" t="s">
        <v>151</v>
      </c>
      <c r="AL130" s="415" t="s">
        <v>298</v>
      </c>
      <c r="AM130" s="418">
        <v>0</v>
      </c>
      <c r="AN130" s="418">
        <v>0</v>
      </c>
      <c r="AO130" s="418">
        <v>0</v>
      </c>
      <c r="AP130" s="418">
        <v>0</v>
      </c>
      <c r="AQ130" s="418">
        <v>0</v>
      </c>
      <c r="AR130" s="418">
        <v>0</v>
      </c>
      <c r="AS130" s="418">
        <v>0</v>
      </c>
      <c r="AT130" s="418"/>
      <c r="AU130" s="418"/>
      <c r="AV130" s="418"/>
      <c r="AW130" s="418"/>
      <c r="AX130" s="418"/>
      <c r="AY130" s="416"/>
      <c r="AZ130" s="416">
        <f t="shared" si="334"/>
        <v>0</v>
      </c>
      <c r="BA130" s="416">
        <f t="shared" si="335"/>
        <v>0</v>
      </c>
      <c r="BB130" s="533"/>
      <c r="BC130" s="414" t="s">
        <v>151</v>
      </c>
      <c r="BD130" s="415" t="s">
        <v>298</v>
      </c>
      <c r="BE130" s="418">
        <f>BE131</f>
        <v>0</v>
      </c>
      <c r="BF130" s="418">
        <f t="shared" ref="BF130" si="381">BF131-BE131</f>
        <v>0</v>
      </c>
      <c r="BG130" s="418">
        <f t="shared" ref="BG130" si="382">BG131-BF131</f>
        <v>0</v>
      </c>
      <c r="BH130" s="418">
        <f t="shared" ref="BH130" si="383">BH131-BG131</f>
        <v>0</v>
      </c>
      <c r="BI130" s="418">
        <f t="shared" ref="BI130" si="384">BI131-BH131</f>
        <v>0</v>
      </c>
      <c r="BJ130" s="418">
        <f t="shared" ref="BJ130" si="385">BJ131-BI131</f>
        <v>0</v>
      </c>
      <c r="BK130" s="418">
        <f>BK131-BJ131</f>
        <v>5</v>
      </c>
      <c r="BL130" s="418">
        <f>BL131-BK131</f>
        <v>6</v>
      </c>
      <c r="BM130" s="418">
        <f t="shared" ref="BM130" si="386">BM131-BL131</f>
        <v>6</v>
      </c>
      <c r="BN130" s="418">
        <f t="shared" ref="BN130" si="387">BN131-BM131</f>
        <v>8</v>
      </c>
      <c r="BO130" s="418">
        <f t="shared" ref="BO130" si="388">BO131-BN131</f>
        <v>8</v>
      </c>
      <c r="BP130" s="418">
        <f t="shared" ref="BP130" si="389">BP131-BO131</f>
        <v>8</v>
      </c>
      <c r="BQ130" s="416"/>
      <c r="BR130" s="416">
        <f t="shared" si="328"/>
        <v>5</v>
      </c>
      <c r="BS130" s="416">
        <f t="shared" si="329"/>
        <v>5</v>
      </c>
      <c r="BX130" s="580" t="s">
        <v>151</v>
      </c>
      <c r="BY130" s="581" t="s">
        <v>298</v>
      </c>
      <c r="BZ130" s="587"/>
      <c r="CA130" s="587"/>
      <c r="CB130" s="587"/>
      <c r="CC130" s="587"/>
      <c r="CD130" s="587"/>
      <c r="CE130" s="587"/>
      <c r="CF130" s="587"/>
      <c r="CG130" s="587"/>
      <c r="CH130" s="587"/>
      <c r="CI130" s="587"/>
      <c r="CJ130" s="587"/>
      <c r="CK130" s="587"/>
      <c r="CL130" s="582"/>
      <c r="CM130" s="582"/>
      <c r="CN130" s="582"/>
    </row>
    <row r="131" spans="1:92">
      <c r="A131" s="409" t="s">
        <v>151</v>
      </c>
      <c r="B131" s="413" t="s">
        <v>299</v>
      </c>
      <c r="C131" s="410"/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/>
      <c r="Q131" s="410"/>
      <c r="S131" s="409" t="s">
        <v>151</v>
      </c>
      <c r="T131" s="413" t="s">
        <v>299</v>
      </c>
      <c r="U131" s="410"/>
      <c r="V131" s="410"/>
      <c r="W131" s="410"/>
      <c r="X131" s="410"/>
      <c r="Y131" s="410"/>
      <c r="Z131" s="410"/>
      <c r="AA131" s="410"/>
      <c r="AB131" s="410"/>
      <c r="AC131" s="410"/>
      <c r="AD131" s="410"/>
      <c r="AE131" s="410"/>
      <c r="AF131" s="410"/>
      <c r="AG131" s="410"/>
      <c r="AH131" s="410"/>
      <c r="AI131" s="410"/>
      <c r="AK131" s="409" t="s">
        <v>151</v>
      </c>
      <c r="AL131" s="413" t="s">
        <v>299</v>
      </c>
      <c r="AM131" s="410">
        <v>0</v>
      </c>
      <c r="AN131" s="410">
        <v>0</v>
      </c>
      <c r="AO131" s="410">
        <v>0</v>
      </c>
      <c r="AP131" s="410">
        <v>0</v>
      </c>
      <c r="AQ131" s="410">
        <v>0</v>
      </c>
      <c r="AR131" s="410">
        <v>0</v>
      </c>
      <c r="AS131" s="410">
        <v>0</v>
      </c>
      <c r="AT131" s="410"/>
      <c r="AU131" s="410"/>
      <c r="AV131" s="410"/>
      <c r="AW131" s="410"/>
      <c r="AX131" s="410"/>
      <c r="AY131" s="410"/>
      <c r="AZ131" s="410">
        <f t="shared" si="334"/>
        <v>0</v>
      </c>
      <c r="BA131" s="410">
        <f t="shared" si="335"/>
        <v>0</v>
      </c>
      <c r="BB131" s="533"/>
      <c r="BC131" s="409" t="s">
        <v>151</v>
      </c>
      <c r="BD131" s="413" t="s">
        <v>299</v>
      </c>
      <c r="BE131" s="410">
        <f t="shared" ref="BE131:BP131" si="390">BE48</f>
        <v>0</v>
      </c>
      <c r="BF131" s="410">
        <f t="shared" si="390"/>
        <v>0</v>
      </c>
      <c r="BG131" s="410">
        <f t="shared" si="390"/>
        <v>0</v>
      </c>
      <c r="BH131" s="410">
        <f t="shared" si="390"/>
        <v>0</v>
      </c>
      <c r="BI131" s="410">
        <f t="shared" si="390"/>
        <v>0</v>
      </c>
      <c r="BJ131" s="410">
        <f t="shared" si="390"/>
        <v>0</v>
      </c>
      <c r="BK131" s="410">
        <f t="shared" si="390"/>
        <v>5</v>
      </c>
      <c r="BL131" s="410">
        <f t="shared" si="390"/>
        <v>11</v>
      </c>
      <c r="BM131" s="410">
        <f t="shared" si="390"/>
        <v>17</v>
      </c>
      <c r="BN131" s="410">
        <f t="shared" si="390"/>
        <v>25</v>
      </c>
      <c r="BO131" s="410">
        <f t="shared" si="390"/>
        <v>33</v>
      </c>
      <c r="BP131" s="410">
        <f t="shared" si="390"/>
        <v>41</v>
      </c>
      <c r="BQ131" s="410"/>
      <c r="BR131" s="410">
        <f t="shared" si="328"/>
        <v>5</v>
      </c>
      <c r="BS131" s="410">
        <f t="shared" si="329"/>
        <v>5</v>
      </c>
      <c r="BX131" s="583" t="s">
        <v>151</v>
      </c>
      <c r="BY131" s="584" t="s">
        <v>299</v>
      </c>
      <c r="BZ131" s="585"/>
      <c r="CA131" s="585"/>
      <c r="CB131" s="585"/>
      <c r="CC131" s="585"/>
      <c r="CD131" s="585"/>
      <c r="CE131" s="585"/>
      <c r="CF131" s="585"/>
      <c r="CG131" s="585"/>
      <c r="CH131" s="585"/>
      <c r="CI131" s="585"/>
      <c r="CJ131" s="585"/>
      <c r="CK131" s="585"/>
      <c r="CL131" s="585"/>
      <c r="CM131" s="585"/>
      <c r="CN131" s="585"/>
    </row>
    <row r="132" spans="1:92">
      <c r="A132" s="176" t="s">
        <v>151</v>
      </c>
      <c r="B132" s="178" t="s">
        <v>300</v>
      </c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S132" s="176" t="s">
        <v>151</v>
      </c>
      <c r="T132" s="178" t="s">
        <v>300</v>
      </c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K132" s="176" t="s">
        <v>151</v>
      </c>
      <c r="AL132" s="178" t="s">
        <v>300</v>
      </c>
      <c r="AM132" s="177">
        <v>0</v>
      </c>
      <c r="AN132" s="177">
        <v>0</v>
      </c>
      <c r="AO132" s="177">
        <v>0</v>
      </c>
      <c r="AP132" s="177">
        <v>0</v>
      </c>
      <c r="AQ132" s="177">
        <v>1</v>
      </c>
      <c r="AR132" s="177">
        <v>1</v>
      </c>
      <c r="AS132" s="177">
        <v>1</v>
      </c>
      <c r="AT132" s="177"/>
      <c r="AU132" s="177"/>
      <c r="AV132" s="177"/>
      <c r="AW132" s="177"/>
      <c r="AX132" s="177"/>
      <c r="AY132" s="177"/>
      <c r="AZ132" s="177">
        <f t="shared" si="334"/>
        <v>3</v>
      </c>
      <c r="BA132" s="177">
        <f t="shared" si="335"/>
        <v>1</v>
      </c>
      <c r="BB132" s="533"/>
      <c r="BC132" s="176" t="s">
        <v>151</v>
      </c>
      <c r="BD132" s="178" t="s">
        <v>300</v>
      </c>
      <c r="BE132" s="177">
        <f t="shared" ref="BE132:BP132" si="391">BE49+BE50+BE51</f>
        <v>0</v>
      </c>
      <c r="BF132" s="177">
        <f t="shared" si="391"/>
        <v>0</v>
      </c>
      <c r="BG132" s="177">
        <f t="shared" si="391"/>
        <v>0</v>
      </c>
      <c r="BH132" s="177">
        <f t="shared" si="391"/>
        <v>0</v>
      </c>
      <c r="BI132" s="177">
        <f t="shared" si="391"/>
        <v>0</v>
      </c>
      <c r="BJ132" s="177">
        <f t="shared" si="391"/>
        <v>0</v>
      </c>
      <c r="BK132" s="177">
        <f t="shared" si="391"/>
        <v>5</v>
      </c>
      <c r="BL132" s="177">
        <f t="shared" si="391"/>
        <v>11</v>
      </c>
      <c r="BM132" s="177">
        <f t="shared" si="391"/>
        <v>17</v>
      </c>
      <c r="BN132" s="177">
        <f t="shared" si="391"/>
        <v>25</v>
      </c>
      <c r="BO132" s="177">
        <f t="shared" si="391"/>
        <v>33</v>
      </c>
      <c r="BP132" s="177">
        <f t="shared" si="391"/>
        <v>41</v>
      </c>
      <c r="BQ132" s="177"/>
      <c r="BR132" s="177">
        <f t="shared" si="328"/>
        <v>5</v>
      </c>
      <c r="BS132" s="177">
        <f t="shared" si="329"/>
        <v>5</v>
      </c>
      <c r="BX132" s="194" t="s">
        <v>151</v>
      </c>
      <c r="BY132" s="197" t="s">
        <v>300</v>
      </c>
      <c r="BZ132" s="195"/>
      <c r="CA132" s="195"/>
      <c r="CB132" s="195"/>
      <c r="CC132" s="195"/>
      <c r="CD132" s="195"/>
      <c r="CE132" s="195"/>
      <c r="CF132" s="195"/>
      <c r="CG132" s="195"/>
      <c r="CH132" s="195"/>
      <c r="CI132" s="195"/>
      <c r="CJ132" s="195"/>
      <c r="CK132" s="195"/>
      <c r="CL132" s="195"/>
      <c r="CM132" s="195"/>
      <c r="CN132" s="195"/>
    </row>
    <row r="133" spans="1:92" s="548" customFormat="1">
      <c r="A133" s="548" t="s">
        <v>266</v>
      </c>
      <c r="B133" s="549" t="s">
        <v>309</v>
      </c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S133" s="548" t="s">
        <v>266</v>
      </c>
      <c r="T133" s="549" t="s">
        <v>309</v>
      </c>
      <c r="U133" s="239"/>
      <c r="V133" s="239"/>
      <c r="W133" s="239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K133" s="548" t="s">
        <v>266</v>
      </c>
      <c r="AL133" s="549" t="s">
        <v>309</v>
      </c>
      <c r="AM133" s="239"/>
      <c r="AN133" s="239"/>
      <c r="AO133" s="239">
        <v>68</v>
      </c>
      <c r="AP133" s="239">
        <v>228</v>
      </c>
      <c r="AQ133" s="239">
        <v>263</v>
      </c>
      <c r="AR133" s="239"/>
      <c r="AS133" s="239"/>
      <c r="AT133" s="239"/>
      <c r="AU133" s="239"/>
      <c r="AV133" s="239"/>
      <c r="AW133" s="239"/>
      <c r="AX133" s="239"/>
      <c r="AY133" s="239"/>
      <c r="AZ133" s="239">
        <f t="shared" si="334"/>
        <v>559</v>
      </c>
      <c r="BA133" s="239">
        <f t="shared" si="335"/>
        <v>0</v>
      </c>
      <c r="BB133" s="533"/>
      <c r="BC133" s="548" t="s">
        <v>153</v>
      </c>
      <c r="BD133" s="549" t="s">
        <v>165</v>
      </c>
      <c r="BE133" s="239"/>
      <c r="BF133" s="239"/>
      <c r="BG133" s="239"/>
      <c r="BH133" s="239"/>
      <c r="BI133" s="239"/>
      <c r="BJ133" s="239"/>
      <c r="BK133" s="239"/>
      <c r="BL133" s="239"/>
      <c r="BM133" s="239"/>
      <c r="BN133" s="239"/>
      <c r="BO133" s="239"/>
      <c r="BP133" s="239"/>
      <c r="BQ133" s="239"/>
      <c r="BR133" s="239">
        <f t="shared" si="328"/>
        <v>0</v>
      </c>
      <c r="BS133" s="239">
        <f t="shared" si="329"/>
        <v>0</v>
      </c>
      <c r="BT133" s="239"/>
      <c r="BU133" s="550"/>
      <c r="BX133" s="548" t="s">
        <v>153</v>
      </c>
      <c r="BY133" s="588" t="s">
        <v>165</v>
      </c>
      <c r="BZ133" s="589"/>
      <c r="CA133" s="589"/>
      <c r="CB133" s="589"/>
      <c r="CC133" s="589"/>
      <c r="CD133" s="589"/>
      <c r="CE133" s="589"/>
      <c r="CF133" s="589"/>
      <c r="CG133" s="589"/>
      <c r="CH133" s="589"/>
      <c r="CI133" s="589"/>
      <c r="CJ133" s="589"/>
      <c r="CK133" s="589"/>
      <c r="CL133" s="589"/>
      <c r="CM133" s="589"/>
      <c r="CN133" s="589"/>
    </row>
    <row r="134" spans="1:92" s="548" customFormat="1">
      <c r="B134" s="54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T134" s="54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K134" s="548" t="s">
        <v>266</v>
      </c>
      <c r="AL134" s="549" t="s">
        <v>205</v>
      </c>
      <c r="AM134" s="239"/>
      <c r="AN134" s="239"/>
      <c r="AO134" s="239"/>
      <c r="AP134" s="239"/>
      <c r="AQ134" s="239"/>
      <c r="AR134" s="239"/>
      <c r="AS134" s="239"/>
      <c r="AT134" s="239"/>
      <c r="AU134" s="239"/>
      <c r="AV134" s="239"/>
      <c r="AW134" s="239"/>
      <c r="AX134" s="239"/>
      <c r="AY134" s="239"/>
      <c r="AZ134" s="239"/>
      <c r="BA134" s="239"/>
      <c r="BB134" s="533"/>
      <c r="BC134" s="548" t="s">
        <v>266</v>
      </c>
      <c r="BD134" s="549" t="s">
        <v>205</v>
      </c>
      <c r="BE134" s="239"/>
      <c r="BF134" s="239"/>
      <c r="BG134" s="239"/>
      <c r="BH134" s="239"/>
      <c r="BI134" s="239"/>
      <c r="BJ134" s="239"/>
      <c r="BK134" s="239"/>
      <c r="BL134" s="239"/>
      <c r="BM134" s="239"/>
      <c r="BN134" s="239"/>
      <c r="BO134" s="239"/>
      <c r="BP134" s="239"/>
      <c r="BQ134" s="239"/>
      <c r="BR134" s="239"/>
      <c r="BS134" s="239"/>
      <c r="BT134" s="239"/>
      <c r="BU134" s="550"/>
      <c r="BX134" s="548" t="s">
        <v>266</v>
      </c>
      <c r="BY134" s="588" t="s">
        <v>205</v>
      </c>
      <c r="BZ134" s="589"/>
      <c r="CA134" s="589"/>
      <c r="CB134" s="589"/>
      <c r="CC134" s="589"/>
      <c r="CD134" s="589"/>
      <c r="CE134" s="589"/>
      <c r="CF134" s="589"/>
      <c r="CG134" s="589"/>
      <c r="CH134" s="589"/>
      <c r="CI134" s="589"/>
      <c r="CJ134" s="589"/>
      <c r="CK134" s="589"/>
      <c r="CL134" s="589"/>
      <c r="CM134" s="589"/>
      <c r="CN134" s="589"/>
    </row>
    <row r="135" spans="1:92">
      <c r="A135" s="65" t="s">
        <v>266</v>
      </c>
      <c r="B135" s="412" t="s">
        <v>310</v>
      </c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S135" s="65" t="s">
        <v>266</v>
      </c>
      <c r="T135" s="412" t="s">
        <v>310</v>
      </c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K135" s="65" t="s">
        <v>266</v>
      </c>
      <c r="AL135" s="412" t="s">
        <v>208</v>
      </c>
      <c r="AM135" s="174"/>
      <c r="AN135" s="174"/>
      <c r="AO135" s="174">
        <v>18</v>
      </c>
      <c r="AP135" s="174">
        <v>58</v>
      </c>
      <c r="AQ135" s="174">
        <v>72</v>
      </c>
      <c r="AR135" s="174">
        <v>111</v>
      </c>
      <c r="AS135" s="174">
        <v>159</v>
      </c>
      <c r="AT135" s="174"/>
      <c r="AU135" s="174"/>
      <c r="AV135" s="174"/>
      <c r="AW135" s="174"/>
      <c r="AX135" s="174"/>
      <c r="AZ135" s="69">
        <f>SUMIF(AM$3:AX$3,1,AM135:AX135)</f>
        <v>418</v>
      </c>
      <c r="BA135" s="69">
        <f>SUMIF(AN$2:AY$2,1,AN135:AY135)</f>
        <v>159</v>
      </c>
      <c r="BB135" s="533"/>
      <c r="BC135" s="65" t="s">
        <v>266</v>
      </c>
      <c r="BD135" s="412" t="s">
        <v>208</v>
      </c>
      <c r="BE135" s="180"/>
      <c r="BF135" s="180"/>
      <c r="BG135" s="180"/>
      <c r="BH135" s="180"/>
      <c r="BI135" s="180"/>
      <c r="BJ135" s="180"/>
      <c r="BK135" s="180"/>
      <c r="BL135" s="180"/>
      <c r="BM135" s="180"/>
      <c r="BN135" s="180"/>
      <c r="BO135" s="180"/>
      <c r="BP135" s="180"/>
      <c r="BR135" s="69">
        <f>SUMIF(BE$3:BP$3,1,BE135:BP135)</f>
        <v>0</v>
      </c>
      <c r="BS135" s="69">
        <f>SUMIF(BF$2:BQ$2,1,BF135:BQ135)</f>
        <v>0</v>
      </c>
      <c r="BU135" s="219"/>
      <c r="BX135" s="65" t="s">
        <v>266</v>
      </c>
      <c r="BY135" s="579" t="s">
        <v>208</v>
      </c>
      <c r="BZ135" s="189"/>
      <c r="CA135" s="189"/>
      <c r="CB135" s="189"/>
      <c r="CC135" s="189"/>
      <c r="CD135" s="189"/>
      <c r="CE135" s="189"/>
      <c r="CF135" s="189"/>
      <c r="CG135" s="189"/>
      <c r="CH135" s="189"/>
      <c r="CI135" s="189"/>
      <c r="CJ135" s="189"/>
      <c r="CK135" s="189"/>
      <c r="CL135" s="189"/>
      <c r="CM135" s="189"/>
      <c r="CN135" s="189"/>
    </row>
    <row r="136" spans="1:92" ht="15" customHeight="1">
      <c r="A136" s="65" t="s">
        <v>266</v>
      </c>
      <c r="B136" s="412" t="s">
        <v>166</v>
      </c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S136" s="65" t="s">
        <v>266</v>
      </c>
      <c r="T136" s="412" t="s">
        <v>166</v>
      </c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K136" s="65" t="s">
        <v>266</v>
      </c>
      <c r="AL136" s="412" t="s">
        <v>166</v>
      </c>
      <c r="AM136" s="174"/>
      <c r="AN136" s="174"/>
      <c r="AO136" s="174">
        <v>36</v>
      </c>
      <c r="AP136" s="174">
        <v>71</v>
      </c>
      <c r="AQ136" s="174">
        <v>81</v>
      </c>
      <c r="AR136" s="174">
        <v>82</v>
      </c>
      <c r="AS136" s="174">
        <v>40</v>
      </c>
      <c r="AT136" s="174"/>
      <c r="AU136" s="174"/>
      <c r="AV136" s="174"/>
      <c r="AW136" s="174"/>
      <c r="AX136" s="174"/>
      <c r="AZ136" s="69">
        <f t="shared" si="334"/>
        <v>310</v>
      </c>
      <c r="BA136" s="69">
        <f t="shared" si="335"/>
        <v>40</v>
      </c>
      <c r="BB136" s="533"/>
      <c r="BC136" s="65" t="s">
        <v>266</v>
      </c>
      <c r="BD136" s="412" t="s">
        <v>166</v>
      </c>
      <c r="BE136" s="180">
        <v>0</v>
      </c>
      <c r="BF136" s="180">
        <v>0</v>
      </c>
      <c r="BG136" s="180">
        <v>57.2</v>
      </c>
      <c r="BH136" s="180">
        <v>156.80000000000001</v>
      </c>
      <c r="BI136" s="180">
        <v>199.23840000000001</v>
      </c>
      <c r="BJ136" s="180">
        <v>193.58179199999998</v>
      </c>
      <c r="BK136" s="180">
        <v>198.42344639999999</v>
      </c>
      <c r="BL136" s="180">
        <v>201.579548544</v>
      </c>
      <c r="BM136" s="180">
        <v>205.570191744</v>
      </c>
      <c r="BN136" s="180">
        <v>208.81752998399998</v>
      </c>
      <c r="BO136" s="180">
        <v>270</v>
      </c>
      <c r="BP136" s="180">
        <v>270</v>
      </c>
      <c r="BR136" s="69">
        <f t="shared" si="328"/>
        <v>805.24363840000001</v>
      </c>
      <c r="BS136" s="69">
        <f t="shared" si="329"/>
        <v>198.42344639999999</v>
      </c>
      <c r="BT136" s="187" t="s">
        <v>294</v>
      </c>
      <c r="BU136" s="219"/>
      <c r="BX136" s="65" t="s">
        <v>266</v>
      </c>
      <c r="BY136" s="579" t="s">
        <v>166</v>
      </c>
      <c r="BZ136" s="189"/>
      <c r="CA136" s="189"/>
      <c r="CB136" s="189"/>
      <c r="CC136" s="189"/>
      <c r="CD136" s="189"/>
      <c r="CE136" s="189"/>
      <c r="CF136" s="189"/>
      <c r="CG136" s="189"/>
      <c r="CH136" s="189"/>
      <c r="CI136" s="189"/>
      <c r="CJ136" s="189"/>
      <c r="CK136" s="189"/>
      <c r="CL136" s="189"/>
      <c r="CM136" s="189"/>
      <c r="CN136" s="189"/>
    </row>
    <row r="137" spans="1:92">
      <c r="A137" s="65" t="s">
        <v>266</v>
      </c>
      <c r="B137" s="412" t="s">
        <v>295</v>
      </c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S137" s="65" t="s">
        <v>266</v>
      </c>
      <c r="T137" s="412" t="s">
        <v>295</v>
      </c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K137" s="65" t="s">
        <v>266</v>
      </c>
      <c r="AL137" s="412" t="s">
        <v>295</v>
      </c>
      <c r="AM137" s="174"/>
      <c r="AN137" s="174"/>
      <c r="AO137" s="174">
        <v>7</v>
      </c>
      <c r="AP137" s="174">
        <v>12</v>
      </c>
      <c r="AQ137" s="174">
        <v>15</v>
      </c>
      <c r="AR137" s="174">
        <v>15</v>
      </c>
      <c r="AS137" s="174">
        <v>30</v>
      </c>
      <c r="AT137" s="174"/>
      <c r="AU137" s="174"/>
      <c r="AV137" s="174"/>
      <c r="AW137" s="174"/>
      <c r="AX137" s="174"/>
      <c r="AY137" s="180"/>
      <c r="AZ137" s="180">
        <f t="shared" si="334"/>
        <v>79</v>
      </c>
      <c r="BA137" s="180">
        <f t="shared" si="335"/>
        <v>30</v>
      </c>
      <c r="BB137" s="533"/>
      <c r="BC137" s="65" t="s">
        <v>266</v>
      </c>
      <c r="BD137" s="412" t="s">
        <v>295</v>
      </c>
      <c r="BE137" s="180"/>
      <c r="BF137" s="180">
        <f>BH138/0.4+BE137-BF138</f>
        <v>0</v>
      </c>
      <c r="BG137" s="180">
        <f t="shared" ref="BG137" si="392">BI138/0.4+BF137-BG138</f>
        <v>10.799999999999997</v>
      </c>
      <c r="BH137" s="180">
        <f>BJ138/0.4+BG137-BH138</f>
        <v>43.199999999999989</v>
      </c>
      <c r="BI137" s="180">
        <f>BK138/0.4+BH137-BI138</f>
        <v>66.441599999999994</v>
      </c>
      <c r="BJ137" s="180">
        <f>BL138/0.4+BI137-BJ138</f>
        <v>63.458207999999999</v>
      </c>
      <c r="BK137" s="180">
        <f>BM138/0.4+BJ137-BK138</f>
        <v>60.551913599999999</v>
      </c>
      <c r="BL137" s="180">
        <f>BN138/0.4+BK137-BL138</f>
        <v>64.429808256000001</v>
      </c>
      <c r="BM137" s="180">
        <f t="shared" ref="BM137:BN137" si="393">BO138/0.4+BL137-BM138</f>
        <v>61.182470016000003</v>
      </c>
      <c r="BN137" s="180">
        <f t="shared" si="393"/>
        <v>58.035054873600004</v>
      </c>
      <c r="BO137" s="180"/>
      <c r="BP137" s="180"/>
      <c r="BQ137" s="180"/>
      <c r="BR137" s="180">
        <f t="shared" si="328"/>
        <v>244.45172159999998</v>
      </c>
      <c r="BS137" s="180">
        <f t="shared" si="329"/>
        <v>60.551913599999999</v>
      </c>
      <c r="BT137" s="187" t="s">
        <v>305</v>
      </c>
      <c r="BU137" s="219"/>
      <c r="BX137" s="65" t="s">
        <v>266</v>
      </c>
      <c r="BY137" s="579" t="s">
        <v>295</v>
      </c>
      <c r="BZ137" s="189"/>
      <c r="CA137" s="189"/>
      <c r="CB137" s="189"/>
      <c r="CC137" s="189"/>
      <c r="CD137" s="189"/>
      <c r="CE137" s="189"/>
      <c r="CF137" s="189"/>
      <c r="CG137" s="189"/>
      <c r="CH137" s="189"/>
      <c r="CI137" s="189"/>
      <c r="CJ137" s="189"/>
      <c r="CK137" s="189"/>
      <c r="CL137" s="189"/>
      <c r="CM137" s="189"/>
      <c r="CN137" s="189"/>
    </row>
    <row r="138" spans="1:92">
      <c r="A138" s="65" t="s">
        <v>266</v>
      </c>
      <c r="B138" s="412" t="s">
        <v>168</v>
      </c>
      <c r="C138" s="180"/>
      <c r="D138" s="420"/>
      <c r="E138" s="420"/>
      <c r="F138" s="420"/>
      <c r="G138" s="420"/>
      <c r="H138" s="420"/>
      <c r="I138" s="420"/>
      <c r="J138" s="420"/>
      <c r="K138" s="420"/>
      <c r="L138" s="420"/>
      <c r="M138" s="420"/>
      <c r="N138" s="421"/>
      <c r="O138" s="180"/>
      <c r="P138" s="180"/>
      <c r="Q138" s="180"/>
      <c r="S138" s="65" t="s">
        <v>266</v>
      </c>
      <c r="T138" s="412" t="s">
        <v>168</v>
      </c>
      <c r="U138" s="180"/>
      <c r="V138" s="420"/>
      <c r="W138" s="420"/>
      <c r="X138" s="420"/>
      <c r="Y138" s="420"/>
      <c r="Z138" s="420"/>
      <c r="AA138" s="420"/>
      <c r="AB138" s="420"/>
      <c r="AC138" s="420"/>
      <c r="AD138" s="420"/>
      <c r="AE138" s="420"/>
      <c r="AF138" s="421"/>
      <c r="AG138" s="180"/>
      <c r="AH138" s="180"/>
      <c r="AI138" s="180"/>
      <c r="AK138" s="65" t="s">
        <v>266</v>
      </c>
      <c r="AL138" s="412" t="s">
        <v>168</v>
      </c>
      <c r="AM138" s="174"/>
      <c r="AN138" s="536"/>
      <c r="AO138" s="536"/>
      <c r="AP138" s="536"/>
      <c r="AQ138" s="536"/>
      <c r="AR138" s="536"/>
      <c r="AS138" s="536"/>
      <c r="AT138" s="536"/>
      <c r="AU138" s="536"/>
      <c r="AV138" s="536"/>
      <c r="AW138" s="536"/>
      <c r="AX138" s="537"/>
      <c r="AY138" s="180"/>
      <c r="AZ138" s="180">
        <f t="shared" si="334"/>
        <v>0</v>
      </c>
      <c r="BA138" s="180">
        <f t="shared" si="335"/>
        <v>0</v>
      </c>
      <c r="BB138" s="533"/>
      <c r="BC138" s="65" t="s">
        <v>266</v>
      </c>
      <c r="BD138" s="412" t="s">
        <v>168</v>
      </c>
      <c r="BE138" s="180"/>
      <c r="BF138" s="420">
        <f t="shared" ref="BF138:BG138" si="394">BH139/0.9+BE138-BF139</f>
        <v>0</v>
      </c>
      <c r="BG138" s="420">
        <f t="shared" si="394"/>
        <v>0</v>
      </c>
      <c r="BH138" s="420">
        <f t="shared" ref="BH138" si="395">BJ139/0.9+BG138-BH139</f>
        <v>0</v>
      </c>
      <c r="BI138" s="420">
        <f t="shared" ref="BI138" si="396">BK139/0.9+BH138-BI139</f>
        <v>4.3199999999999994</v>
      </c>
      <c r="BJ138" s="420">
        <f>BL139/0.9+BI138-BJ139</f>
        <v>12.959999999999997</v>
      </c>
      <c r="BK138" s="420">
        <f>BM139/0.9+BJ138-BK139</f>
        <v>11.024639999999998</v>
      </c>
      <c r="BL138" s="420">
        <f t="shared" ref="BL138" si="397">BN139/0.9+BK138-BL139</f>
        <v>3.9906431999999983</v>
      </c>
      <c r="BM138" s="420">
        <f t="shared" ref="BM138" si="398">BO139/0.9+BL138-BM139</f>
        <v>3.2473382399999986</v>
      </c>
      <c r="BN138" s="420">
        <f t="shared" ref="BN138" si="399">BP139/0.9+BM138-BN139</f>
        <v>3.1474151423999985</v>
      </c>
      <c r="BO138" s="420"/>
      <c r="BP138" s="421"/>
      <c r="BQ138" s="180"/>
      <c r="BR138" s="180">
        <f t="shared" si="328"/>
        <v>28.304639999999996</v>
      </c>
      <c r="BS138" s="180">
        <f t="shared" si="329"/>
        <v>11.024639999999998</v>
      </c>
      <c r="BT138" s="187" t="s">
        <v>297</v>
      </c>
      <c r="BU138" s="219"/>
      <c r="BX138" s="65" t="s">
        <v>266</v>
      </c>
      <c r="BY138" s="579" t="s">
        <v>168</v>
      </c>
      <c r="BZ138" s="189"/>
      <c r="CA138" s="590"/>
      <c r="CB138" s="590"/>
      <c r="CC138" s="590"/>
      <c r="CD138" s="590"/>
      <c r="CE138" s="590"/>
      <c r="CF138" s="590"/>
      <c r="CG138" s="590"/>
      <c r="CH138" s="590"/>
      <c r="CI138" s="590"/>
      <c r="CJ138" s="590"/>
      <c r="CK138" s="590"/>
      <c r="CL138" s="189"/>
      <c r="CM138" s="189"/>
      <c r="CN138" s="189"/>
    </row>
    <row r="139" spans="1:92">
      <c r="A139" s="414" t="s">
        <v>266</v>
      </c>
      <c r="B139" s="415" t="s">
        <v>298</v>
      </c>
      <c r="C139" s="416"/>
      <c r="D139" s="416"/>
      <c r="E139" s="416"/>
      <c r="F139" s="416"/>
      <c r="G139" s="416"/>
      <c r="H139" s="416"/>
      <c r="I139" s="416"/>
      <c r="J139" s="416"/>
      <c r="K139" s="416"/>
      <c r="L139" s="416"/>
      <c r="M139" s="416"/>
      <c r="N139" s="416"/>
      <c r="O139" s="416"/>
      <c r="P139" s="416"/>
      <c r="Q139" s="416"/>
      <c r="S139" s="414" t="s">
        <v>266</v>
      </c>
      <c r="T139" s="415" t="s">
        <v>298</v>
      </c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  <c r="AE139" s="416"/>
      <c r="AF139" s="416"/>
      <c r="AG139" s="416"/>
      <c r="AH139" s="416"/>
      <c r="AI139" s="416"/>
      <c r="AK139" s="414" t="s">
        <v>266</v>
      </c>
      <c r="AL139" s="415" t="s">
        <v>298</v>
      </c>
      <c r="AM139" s="416"/>
      <c r="AN139" s="416"/>
      <c r="AO139" s="416"/>
      <c r="AP139" s="416"/>
      <c r="AQ139" s="416"/>
      <c r="AR139" s="416"/>
      <c r="AS139" s="416"/>
      <c r="AT139" s="416"/>
      <c r="AU139" s="416"/>
      <c r="AV139" s="416"/>
      <c r="AW139" s="416"/>
      <c r="AX139" s="416"/>
      <c r="AY139" s="416"/>
      <c r="AZ139" s="416">
        <f t="shared" si="334"/>
        <v>0</v>
      </c>
      <c r="BA139" s="416">
        <f t="shared" si="335"/>
        <v>0</v>
      </c>
      <c r="BB139" s="533"/>
      <c r="BC139" s="414" t="s">
        <v>266</v>
      </c>
      <c r="BD139" s="415" t="s">
        <v>298</v>
      </c>
      <c r="BE139" s="416">
        <v>0</v>
      </c>
      <c r="BF139" s="416">
        <v>0</v>
      </c>
      <c r="BG139" s="416">
        <v>0</v>
      </c>
      <c r="BH139" s="416">
        <v>0</v>
      </c>
      <c r="BI139" s="416">
        <v>0</v>
      </c>
      <c r="BJ139" s="416">
        <v>0</v>
      </c>
      <c r="BK139" s="416">
        <v>3.8879999999999995</v>
      </c>
      <c r="BL139" s="416">
        <v>7.7759999999999989</v>
      </c>
      <c r="BM139" s="416">
        <v>1.757376</v>
      </c>
      <c r="BN139" s="416">
        <v>0.6678028800000001</v>
      </c>
      <c r="BO139" s="416">
        <v>0.91266393599999995</v>
      </c>
      <c r="BP139" s="416">
        <v>0.51109180416</v>
      </c>
      <c r="BQ139" s="416"/>
      <c r="BR139" s="416">
        <f t="shared" si="328"/>
        <v>3.8879999999999995</v>
      </c>
      <c r="BS139" s="416">
        <f t="shared" si="329"/>
        <v>3.8879999999999995</v>
      </c>
      <c r="BU139" s="219"/>
      <c r="BX139" s="580" t="s">
        <v>266</v>
      </c>
      <c r="BY139" s="581" t="s">
        <v>298</v>
      </c>
      <c r="BZ139" s="582"/>
      <c r="CA139" s="582"/>
      <c r="CB139" s="582"/>
      <c r="CC139" s="582"/>
      <c r="CD139" s="582"/>
      <c r="CE139" s="582"/>
      <c r="CF139" s="582"/>
      <c r="CG139" s="582"/>
      <c r="CH139" s="582"/>
      <c r="CI139" s="582"/>
      <c r="CJ139" s="582"/>
      <c r="CK139" s="582"/>
      <c r="CL139" s="582"/>
      <c r="CM139" s="582"/>
      <c r="CN139" s="582"/>
    </row>
    <row r="140" spans="1:92">
      <c r="A140" s="409" t="s">
        <v>266</v>
      </c>
      <c r="B140" s="409" t="s">
        <v>299</v>
      </c>
      <c r="C140" s="410"/>
      <c r="D140" s="410"/>
      <c r="E140" s="410"/>
      <c r="F140" s="410"/>
      <c r="G140" s="410"/>
      <c r="H140" s="410"/>
      <c r="I140" s="410"/>
      <c r="J140" s="410"/>
      <c r="K140" s="410"/>
      <c r="L140" s="410"/>
      <c r="M140" s="410"/>
      <c r="N140" s="410"/>
      <c r="O140" s="410"/>
      <c r="P140" s="410"/>
      <c r="Q140" s="410"/>
      <c r="S140" s="409" t="s">
        <v>266</v>
      </c>
      <c r="T140" s="409" t="s">
        <v>299</v>
      </c>
      <c r="U140" s="410"/>
      <c r="V140" s="410"/>
      <c r="W140" s="410"/>
      <c r="X140" s="410"/>
      <c r="Y140" s="410"/>
      <c r="Z140" s="410"/>
      <c r="AA140" s="410"/>
      <c r="AB140" s="410"/>
      <c r="AC140" s="410"/>
      <c r="AD140" s="410"/>
      <c r="AE140" s="410"/>
      <c r="AF140" s="410"/>
      <c r="AG140" s="410"/>
      <c r="AH140" s="410"/>
      <c r="AI140" s="410"/>
      <c r="AK140" s="409" t="s">
        <v>266</v>
      </c>
      <c r="AL140" s="409" t="s">
        <v>299</v>
      </c>
      <c r="AM140" s="410"/>
      <c r="AN140" s="410"/>
      <c r="AO140" s="410"/>
      <c r="AP140" s="410"/>
      <c r="AQ140" s="410"/>
      <c r="AR140" s="410"/>
      <c r="AS140" s="410"/>
      <c r="AT140" s="410"/>
      <c r="AU140" s="410"/>
      <c r="AV140" s="410"/>
      <c r="AW140" s="410"/>
      <c r="AX140" s="410"/>
      <c r="AY140" s="410"/>
      <c r="AZ140" s="410">
        <f t="shared" si="334"/>
        <v>0</v>
      </c>
      <c r="BA140" s="410">
        <f t="shared" si="335"/>
        <v>0</v>
      </c>
      <c r="BB140" s="533"/>
      <c r="BC140" s="409" t="s">
        <v>266</v>
      </c>
      <c r="BD140" s="409" t="s">
        <v>299</v>
      </c>
      <c r="BE140" s="410">
        <f t="shared" ref="BE140:BJ140" si="400">BE53</f>
        <v>0</v>
      </c>
      <c r="BF140" s="410">
        <f t="shared" si="400"/>
        <v>0</v>
      </c>
      <c r="BG140" s="410">
        <f t="shared" si="400"/>
        <v>0</v>
      </c>
      <c r="BH140" s="410">
        <f t="shared" si="400"/>
        <v>0</v>
      </c>
      <c r="BI140" s="410">
        <f t="shared" si="400"/>
        <v>0</v>
      </c>
      <c r="BJ140" s="410">
        <f t="shared" si="400"/>
        <v>0</v>
      </c>
      <c r="BK140" s="410">
        <v>4</v>
      </c>
      <c r="BL140" s="410">
        <f>SUM($BK$139:BL139)</f>
        <v>11.663999999999998</v>
      </c>
      <c r="BM140" s="410">
        <f>SUM($BK$139:BM139)</f>
        <v>13.421375999999999</v>
      </c>
      <c r="BN140" s="410">
        <f>SUM($BK$139:BN139)</f>
        <v>14.089178879999999</v>
      </c>
      <c r="BO140" s="410">
        <f>SUM($BK$139:BO139)</f>
        <v>15.001842815999998</v>
      </c>
      <c r="BP140" s="410">
        <f>SUM($BK$139:BP139)</f>
        <v>15.512934620159998</v>
      </c>
      <c r="BQ140" s="410"/>
      <c r="BR140" s="410">
        <f t="shared" si="328"/>
        <v>4</v>
      </c>
      <c r="BS140" s="410">
        <f t="shared" si="329"/>
        <v>4</v>
      </c>
      <c r="BX140" s="583" t="s">
        <v>266</v>
      </c>
      <c r="BY140" s="583" t="s">
        <v>299</v>
      </c>
      <c r="BZ140" s="585"/>
      <c r="CA140" s="585"/>
      <c r="CB140" s="585"/>
      <c r="CC140" s="585"/>
      <c r="CD140" s="585"/>
      <c r="CE140" s="585"/>
      <c r="CF140" s="585"/>
      <c r="CG140" s="585"/>
      <c r="CH140" s="585"/>
      <c r="CI140" s="585"/>
      <c r="CJ140" s="585"/>
      <c r="CK140" s="585"/>
      <c r="CL140" s="585"/>
      <c r="CM140" s="585"/>
      <c r="CN140" s="585"/>
    </row>
    <row r="141" spans="1:92">
      <c r="G141" s="411"/>
      <c r="Y141" s="411"/>
      <c r="AQ141" s="411"/>
      <c r="BI141" s="411"/>
      <c r="BU141" s="219"/>
      <c r="BZ141" s="189"/>
      <c r="CA141" s="189"/>
      <c r="CB141" s="189"/>
      <c r="CC141" s="189"/>
      <c r="CD141" s="591"/>
      <c r="CE141" s="189"/>
      <c r="CF141" s="189"/>
      <c r="CG141" s="189"/>
      <c r="CH141" s="189"/>
      <c r="CI141" s="189"/>
      <c r="CJ141" s="189"/>
      <c r="CK141" s="189"/>
      <c r="CL141" s="189"/>
      <c r="CM141" s="189"/>
      <c r="CN141" s="189"/>
    </row>
    <row r="142" spans="1:92" s="408" customFormat="1">
      <c r="A142" s="440" t="s">
        <v>293</v>
      </c>
      <c r="B142" s="440"/>
      <c r="C142" s="432">
        <v>1</v>
      </c>
      <c r="D142" s="432">
        <v>2</v>
      </c>
      <c r="E142" s="432">
        <v>3</v>
      </c>
      <c r="F142" s="432">
        <v>4</v>
      </c>
      <c r="G142" s="432">
        <v>5</v>
      </c>
      <c r="H142" s="432">
        <v>6</v>
      </c>
      <c r="I142" s="432">
        <v>7</v>
      </c>
      <c r="J142" s="432">
        <v>8</v>
      </c>
      <c r="K142" s="432">
        <v>9</v>
      </c>
      <c r="L142" s="432">
        <v>10</v>
      </c>
      <c r="M142" s="432">
        <v>11</v>
      </c>
      <c r="N142" s="432">
        <v>12</v>
      </c>
      <c r="O142" s="433" t="s">
        <v>38</v>
      </c>
      <c r="P142" s="441">
        <f>サマリ!$A$1</f>
        <v>7</v>
      </c>
      <c r="Q142" s="532">
        <f>サマリ!$A$1</f>
        <v>7</v>
      </c>
      <c r="R142" s="434"/>
      <c r="S142" s="440" t="s">
        <v>293</v>
      </c>
      <c r="T142" s="434"/>
      <c r="U142" s="432">
        <v>1</v>
      </c>
      <c r="V142" s="432">
        <v>2</v>
      </c>
      <c r="W142" s="432">
        <v>3</v>
      </c>
      <c r="X142" s="432">
        <v>4</v>
      </c>
      <c r="Y142" s="432">
        <v>5</v>
      </c>
      <c r="Z142" s="432">
        <v>6</v>
      </c>
      <c r="AA142" s="432">
        <v>7</v>
      </c>
      <c r="AB142" s="432">
        <v>8</v>
      </c>
      <c r="AC142" s="432">
        <v>9</v>
      </c>
      <c r="AD142" s="432">
        <v>10</v>
      </c>
      <c r="AE142" s="432">
        <v>11</v>
      </c>
      <c r="AF142" s="432">
        <v>12</v>
      </c>
      <c r="AG142" s="433" t="s">
        <v>38</v>
      </c>
      <c r="AH142" s="441">
        <f>サマリ!$A$1</f>
        <v>7</v>
      </c>
      <c r="AI142" s="532">
        <f>サマリ!$A$1</f>
        <v>7</v>
      </c>
      <c r="AJ142" s="434"/>
      <c r="AK142" s="440" t="s">
        <v>214</v>
      </c>
      <c r="AL142" s="434"/>
      <c r="AM142" s="432">
        <v>1</v>
      </c>
      <c r="AN142" s="432">
        <v>2</v>
      </c>
      <c r="AO142" s="432">
        <v>3</v>
      </c>
      <c r="AP142" s="432">
        <v>4</v>
      </c>
      <c r="AQ142" s="432">
        <v>5</v>
      </c>
      <c r="AR142" s="432">
        <v>6</v>
      </c>
      <c r="AS142" s="432">
        <v>7</v>
      </c>
      <c r="AT142" s="432">
        <v>8</v>
      </c>
      <c r="AU142" s="432">
        <v>9</v>
      </c>
      <c r="AV142" s="432">
        <v>10</v>
      </c>
      <c r="AW142" s="432">
        <v>11</v>
      </c>
      <c r="AX142" s="432">
        <v>12</v>
      </c>
      <c r="AY142" s="433" t="s">
        <v>38</v>
      </c>
      <c r="AZ142" s="441">
        <f>サマリ!$A$1</f>
        <v>7</v>
      </c>
      <c r="BA142" s="532">
        <f>サマリ!$A$1</f>
        <v>7</v>
      </c>
      <c r="BB142" s="434"/>
      <c r="BC142" s="440" t="s">
        <v>214</v>
      </c>
      <c r="BD142" s="434"/>
      <c r="BE142" s="432">
        <v>1</v>
      </c>
      <c r="BF142" s="432">
        <v>2</v>
      </c>
      <c r="BG142" s="432">
        <v>3</v>
      </c>
      <c r="BH142" s="432">
        <v>4</v>
      </c>
      <c r="BI142" s="432">
        <v>5</v>
      </c>
      <c r="BJ142" s="432">
        <v>6</v>
      </c>
      <c r="BK142" s="432">
        <v>7</v>
      </c>
      <c r="BL142" s="432">
        <v>8</v>
      </c>
      <c r="BM142" s="432">
        <v>9</v>
      </c>
      <c r="BN142" s="432">
        <v>10</v>
      </c>
      <c r="BO142" s="432">
        <v>11</v>
      </c>
      <c r="BP142" s="432">
        <v>12</v>
      </c>
      <c r="BQ142" s="433" t="s">
        <v>38</v>
      </c>
      <c r="BR142" s="441">
        <f>サマリ!$A$1</f>
        <v>7</v>
      </c>
      <c r="BS142" s="532">
        <f>サマリ!$A$1</f>
        <v>7</v>
      </c>
      <c r="BT142" s="442"/>
      <c r="BU142" s="440"/>
      <c r="BV142" s="440"/>
      <c r="BX142" s="440" t="s">
        <v>214</v>
      </c>
      <c r="BY142" s="440"/>
      <c r="BZ142" s="575">
        <v>1</v>
      </c>
      <c r="CA142" s="575">
        <v>2</v>
      </c>
      <c r="CB142" s="575">
        <v>3</v>
      </c>
      <c r="CC142" s="575">
        <v>4</v>
      </c>
      <c r="CD142" s="575">
        <v>5</v>
      </c>
      <c r="CE142" s="575">
        <v>6</v>
      </c>
      <c r="CF142" s="575">
        <v>7</v>
      </c>
      <c r="CG142" s="575">
        <v>8</v>
      </c>
      <c r="CH142" s="575">
        <v>9</v>
      </c>
      <c r="CI142" s="575">
        <v>10</v>
      </c>
      <c r="CJ142" s="575">
        <v>11</v>
      </c>
      <c r="CK142" s="575">
        <v>12</v>
      </c>
      <c r="CL142" s="576" t="s">
        <v>38</v>
      </c>
      <c r="CM142" s="577">
        <f>サマリ!$A$1</f>
        <v>7</v>
      </c>
      <c r="CN142" s="578">
        <f>サマリ!$A$1</f>
        <v>7</v>
      </c>
    </row>
    <row r="143" spans="1:92">
      <c r="A143" s="65" t="s">
        <v>149</v>
      </c>
      <c r="B143" s="412" t="s">
        <v>208</v>
      </c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S143" s="65" t="s">
        <v>149</v>
      </c>
      <c r="T143" s="412" t="s">
        <v>208</v>
      </c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K143" s="65" t="s">
        <v>149</v>
      </c>
      <c r="AL143" s="412" t="s">
        <v>208</v>
      </c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Z143" s="69">
        <f>SUMIF(AM$3:AX$3,1,AM143:AX143)</f>
        <v>0</v>
      </c>
      <c r="BA143" s="69">
        <f>SUMIF(AN$2:AY$2,1,AN143:AY143)</f>
        <v>0</v>
      </c>
      <c r="BB143" s="533"/>
      <c r="BC143" s="65" t="s">
        <v>149</v>
      </c>
      <c r="BD143" s="412" t="s">
        <v>208</v>
      </c>
      <c r="BE143" s="180"/>
      <c r="BF143" s="180"/>
      <c r="BG143" s="180"/>
      <c r="BH143" s="180"/>
      <c r="BI143" s="180"/>
      <c r="BJ143" s="180"/>
      <c r="BK143" s="180"/>
      <c r="BL143" s="180"/>
      <c r="BM143" s="180"/>
      <c r="BN143" s="180"/>
      <c r="BO143" s="180"/>
      <c r="BP143" s="180"/>
      <c r="BT143" s="417"/>
      <c r="BU143" s="171"/>
      <c r="BX143" s="188"/>
      <c r="BY143" s="579"/>
      <c r="BZ143" s="189"/>
      <c r="CA143" s="189"/>
      <c r="CB143" s="189"/>
      <c r="CC143" s="189"/>
      <c r="CD143" s="189"/>
      <c r="CE143" s="189"/>
      <c r="CF143" s="189"/>
      <c r="CG143" s="189"/>
      <c r="CH143" s="189"/>
      <c r="CI143" s="189"/>
      <c r="CJ143" s="189"/>
      <c r="CK143" s="189"/>
      <c r="CL143" s="189"/>
      <c r="CM143" s="189"/>
      <c r="CN143" s="189"/>
    </row>
    <row r="144" spans="1:92">
      <c r="A144" s="65" t="s">
        <v>149</v>
      </c>
      <c r="B144" s="412" t="s">
        <v>166</v>
      </c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S144" s="65" t="s">
        <v>149</v>
      </c>
      <c r="T144" s="412" t="s">
        <v>166</v>
      </c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K144" s="65" t="s">
        <v>149</v>
      </c>
      <c r="AL144" s="412" t="s">
        <v>166</v>
      </c>
      <c r="AM144" s="174"/>
      <c r="AN144" s="174"/>
      <c r="AO144" s="174"/>
      <c r="AP144" s="174"/>
      <c r="AQ144" s="174"/>
      <c r="AR144" s="174"/>
      <c r="AS144" s="174"/>
      <c r="AT144" s="174"/>
      <c r="AU144" s="174"/>
      <c r="AV144" s="174"/>
      <c r="AW144" s="174"/>
      <c r="AX144" s="174"/>
      <c r="AZ144" s="69">
        <f t="shared" ref="AZ144:AZ146" si="401">SUMIF(AM$3:AX$3,1,AM144:AX144)</f>
        <v>0</v>
      </c>
      <c r="BA144" s="69">
        <f t="shared" ref="BA144:BA146" si="402">SUMIF(AN$2:AY$2,1,AN144:AY144)</f>
        <v>0</v>
      </c>
      <c r="BB144" s="533"/>
      <c r="BC144" s="65" t="s">
        <v>149</v>
      </c>
      <c r="BD144" s="412" t="s">
        <v>166</v>
      </c>
      <c r="BE144" s="180"/>
      <c r="BF144" s="180"/>
      <c r="BG144" s="180"/>
      <c r="BH144" s="180"/>
      <c r="BI144" s="180"/>
      <c r="BJ144" s="180"/>
      <c r="BK144" s="180"/>
      <c r="BL144" s="180"/>
      <c r="BM144" s="180"/>
      <c r="BN144" s="180"/>
      <c r="BO144" s="180"/>
      <c r="BP144" s="180"/>
      <c r="BT144" s="417" t="s">
        <v>294</v>
      </c>
      <c r="BU144" s="171"/>
      <c r="BX144" s="188"/>
      <c r="BY144" s="579"/>
      <c r="BZ144" s="189"/>
      <c r="CA144" s="189"/>
      <c r="CB144" s="189"/>
      <c r="CC144" s="189"/>
      <c r="CD144" s="189"/>
      <c r="CE144" s="189"/>
      <c r="CF144" s="189"/>
      <c r="CG144" s="189"/>
      <c r="CH144" s="189"/>
      <c r="CI144" s="189"/>
      <c r="CJ144" s="189"/>
      <c r="CK144" s="189"/>
      <c r="CL144" s="189"/>
      <c r="CM144" s="189"/>
      <c r="CN144" s="189"/>
    </row>
    <row r="145" spans="1:92">
      <c r="A145" s="65" t="s">
        <v>149</v>
      </c>
      <c r="B145" s="412" t="s">
        <v>295</v>
      </c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S145" s="65" t="s">
        <v>149</v>
      </c>
      <c r="T145" s="412" t="s">
        <v>295</v>
      </c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  <c r="AK145" s="65" t="s">
        <v>149</v>
      </c>
      <c r="AL145" s="412" t="s">
        <v>295</v>
      </c>
      <c r="AM145" s="174"/>
      <c r="AN145" s="174"/>
      <c r="AO145" s="174"/>
      <c r="AP145" s="174"/>
      <c r="AQ145" s="174"/>
      <c r="AR145" s="192"/>
      <c r="AS145" s="174"/>
      <c r="AT145" s="174"/>
      <c r="AU145" s="174"/>
      <c r="AV145" s="174"/>
      <c r="AW145" s="174"/>
      <c r="AX145" s="174"/>
      <c r="AY145" s="180"/>
      <c r="AZ145" s="180">
        <f t="shared" si="401"/>
        <v>0</v>
      </c>
      <c r="BA145" s="180">
        <f t="shared" si="402"/>
        <v>0</v>
      </c>
      <c r="BB145" s="533"/>
      <c r="BC145" s="65" t="s">
        <v>149</v>
      </c>
      <c r="BD145" s="412" t="s">
        <v>295</v>
      </c>
      <c r="BE145" s="180"/>
      <c r="BF145" s="180"/>
      <c r="BG145" s="180"/>
      <c r="BH145" s="180"/>
      <c r="BI145" s="180"/>
      <c r="BJ145" s="180"/>
      <c r="BK145" s="180"/>
      <c r="BL145" s="180"/>
      <c r="BM145" s="180"/>
      <c r="BN145" s="180"/>
      <c r="BO145" s="180"/>
      <c r="BP145" s="180"/>
      <c r="BQ145" s="180"/>
      <c r="BR145" s="180"/>
      <c r="BS145" s="180"/>
      <c r="BT145" s="417" t="s">
        <v>296</v>
      </c>
      <c r="BX145" s="188"/>
      <c r="BY145" s="579"/>
      <c r="BZ145" s="189"/>
      <c r="CA145" s="189"/>
      <c r="CB145" s="189"/>
      <c r="CC145" s="189"/>
      <c r="CD145" s="189"/>
      <c r="CE145" s="189"/>
      <c r="CF145" s="189"/>
      <c r="CG145" s="189"/>
      <c r="CH145" s="189"/>
      <c r="CI145" s="189"/>
      <c r="CJ145" s="189"/>
      <c r="CK145" s="189"/>
      <c r="CL145" s="189"/>
      <c r="CM145" s="189"/>
      <c r="CN145" s="189"/>
    </row>
    <row r="146" spans="1:92">
      <c r="A146" s="65" t="s">
        <v>149</v>
      </c>
      <c r="B146" s="412" t="s">
        <v>168</v>
      </c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S146" s="65" t="s">
        <v>149</v>
      </c>
      <c r="T146" s="412" t="s">
        <v>168</v>
      </c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  <c r="AK146" s="65" t="s">
        <v>149</v>
      </c>
      <c r="AL146" s="412" t="s">
        <v>168</v>
      </c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80"/>
      <c r="AZ146" s="180">
        <f t="shared" si="401"/>
        <v>0</v>
      </c>
      <c r="BA146" s="180">
        <f t="shared" si="402"/>
        <v>0</v>
      </c>
      <c r="BB146" s="533"/>
      <c r="BC146" s="65" t="s">
        <v>149</v>
      </c>
      <c r="BD146" s="412" t="s">
        <v>168</v>
      </c>
      <c r="BE146" s="180"/>
      <c r="BF146" s="180"/>
      <c r="BG146" s="180"/>
      <c r="BH146" s="180"/>
      <c r="BI146" s="180"/>
      <c r="BJ146" s="180"/>
      <c r="BK146" s="180"/>
      <c r="BL146" s="180"/>
      <c r="BM146" s="180"/>
      <c r="BN146" s="180"/>
      <c r="BO146" s="180"/>
      <c r="BP146" s="180"/>
      <c r="BQ146" s="180"/>
      <c r="BR146" s="180"/>
      <c r="BS146" s="180"/>
      <c r="BT146" s="417" t="s">
        <v>297</v>
      </c>
      <c r="BX146" s="188"/>
      <c r="BY146" s="579"/>
      <c r="BZ146" s="189"/>
      <c r="CA146" s="189"/>
      <c r="CB146" s="189"/>
      <c r="CC146" s="189"/>
      <c r="CD146" s="189"/>
      <c r="CE146" s="189"/>
      <c r="CF146" s="189"/>
      <c r="CG146" s="189"/>
      <c r="CH146" s="189"/>
      <c r="CI146" s="189"/>
      <c r="CJ146" s="189"/>
      <c r="CK146" s="189"/>
      <c r="CL146" s="189"/>
      <c r="CM146" s="189"/>
      <c r="CN146" s="189"/>
    </row>
    <row r="147" spans="1:92">
      <c r="A147" s="65" t="s">
        <v>150</v>
      </c>
      <c r="B147" s="412" t="s">
        <v>208</v>
      </c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S147" s="65" t="s">
        <v>150</v>
      </c>
      <c r="T147" s="412" t="s">
        <v>208</v>
      </c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K147" s="65" t="s">
        <v>150</v>
      </c>
      <c r="AL147" s="412" t="s">
        <v>208</v>
      </c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Z147" s="69">
        <f>SUMIF(AM$3:AX$3,1,AM147:AX147)</f>
        <v>0</v>
      </c>
      <c r="BA147" s="69">
        <f>SUMIF(AN$2:AY$2,1,AN147:AY147)</f>
        <v>0</v>
      </c>
      <c r="BB147" s="533"/>
      <c r="BC147" s="65" t="s">
        <v>150</v>
      </c>
      <c r="BD147" s="412" t="s">
        <v>208</v>
      </c>
      <c r="BE147" s="180"/>
      <c r="BF147" s="180"/>
      <c r="BG147" s="180"/>
      <c r="BH147" s="180"/>
      <c r="BI147" s="180"/>
      <c r="BJ147" s="180"/>
      <c r="BK147" s="180"/>
      <c r="BL147" s="180"/>
      <c r="BM147" s="180"/>
      <c r="BN147" s="180"/>
      <c r="BO147" s="180"/>
      <c r="BP147" s="180"/>
      <c r="BX147" s="188"/>
      <c r="BY147" s="579"/>
      <c r="BZ147" s="189"/>
      <c r="CA147" s="189"/>
      <c r="CB147" s="189"/>
      <c r="CC147" s="189"/>
      <c r="CD147" s="189"/>
      <c r="CE147" s="189"/>
      <c r="CF147" s="189"/>
      <c r="CG147" s="189"/>
      <c r="CH147" s="189"/>
      <c r="CI147" s="189"/>
      <c r="CJ147" s="189"/>
      <c r="CK147" s="189"/>
      <c r="CL147" s="189"/>
      <c r="CM147" s="189"/>
      <c r="CN147" s="189"/>
    </row>
    <row r="148" spans="1:92">
      <c r="A148" s="65" t="s">
        <v>150</v>
      </c>
      <c r="B148" s="412" t="s">
        <v>166</v>
      </c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S148" s="65" t="s">
        <v>150</v>
      </c>
      <c r="T148" s="412" t="s">
        <v>166</v>
      </c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  <c r="AK148" s="65" t="s">
        <v>150</v>
      </c>
      <c r="AL148" s="412" t="s">
        <v>166</v>
      </c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80"/>
      <c r="AZ148" s="180">
        <f>SUMIF(AM$3:AX$3,1,AM148:AX148)</f>
        <v>0</v>
      </c>
      <c r="BA148" s="180">
        <f t="shared" ref="BA148:BA150" si="403">SUMIF(AN$2:AY$2,1,AN148:AY148)</f>
        <v>0</v>
      </c>
      <c r="BB148" s="533"/>
      <c r="BC148" s="65" t="s">
        <v>150</v>
      </c>
      <c r="BD148" s="412" t="s">
        <v>166</v>
      </c>
      <c r="BE148" s="180"/>
      <c r="BF148" s="180"/>
      <c r="BG148" s="180"/>
      <c r="BH148" s="180"/>
      <c r="BI148" s="180"/>
      <c r="BJ148" s="180"/>
      <c r="BK148" s="180"/>
      <c r="BL148" s="180"/>
      <c r="BM148" s="180"/>
      <c r="BN148" s="180"/>
      <c r="BO148" s="180"/>
      <c r="BP148" s="180"/>
      <c r="BQ148" s="180"/>
      <c r="BR148" s="180"/>
      <c r="BS148" s="180"/>
      <c r="BX148" s="188"/>
      <c r="BY148" s="579"/>
      <c r="BZ148" s="189"/>
      <c r="CA148" s="189"/>
      <c r="CB148" s="189"/>
      <c r="CC148" s="189"/>
      <c r="CD148" s="189"/>
      <c r="CE148" s="189"/>
      <c r="CF148" s="189"/>
      <c r="CG148" s="189"/>
      <c r="CH148" s="189"/>
      <c r="CI148" s="189"/>
      <c r="CJ148" s="189"/>
      <c r="CK148" s="189"/>
      <c r="CL148" s="189"/>
      <c r="CM148" s="189"/>
      <c r="CN148" s="189"/>
    </row>
    <row r="149" spans="1:92">
      <c r="A149" s="65" t="s">
        <v>150</v>
      </c>
      <c r="B149" s="412" t="s">
        <v>295</v>
      </c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S149" s="65" t="s">
        <v>150</v>
      </c>
      <c r="T149" s="412" t="s">
        <v>295</v>
      </c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80"/>
      <c r="AI149" s="180"/>
      <c r="AK149" s="65" t="s">
        <v>150</v>
      </c>
      <c r="AL149" s="412" t="s">
        <v>295</v>
      </c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80"/>
      <c r="AZ149" s="180">
        <f t="shared" ref="AZ149:AZ150" si="404">SUMIF(AM$3:AX$3,1,AM149:AX149)</f>
        <v>0</v>
      </c>
      <c r="BA149" s="180">
        <f t="shared" si="403"/>
        <v>0</v>
      </c>
      <c r="BB149" s="533"/>
      <c r="BC149" s="65" t="s">
        <v>150</v>
      </c>
      <c r="BD149" s="412" t="s">
        <v>295</v>
      </c>
      <c r="BE149" s="180"/>
      <c r="BF149" s="180"/>
      <c r="BG149" s="180"/>
      <c r="BH149" s="180"/>
      <c r="BI149" s="180"/>
      <c r="BJ149" s="180"/>
      <c r="BK149" s="180"/>
      <c r="BL149" s="180"/>
      <c r="BM149" s="180"/>
      <c r="BN149" s="180"/>
      <c r="BO149" s="180"/>
      <c r="BP149" s="180"/>
      <c r="BQ149" s="180"/>
      <c r="BR149" s="180"/>
      <c r="BS149" s="180"/>
      <c r="BU149" s="171"/>
      <c r="BX149" s="188"/>
      <c r="BY149" s="579"/>
      <c r="BZ149" s="189"/>
      <c r="CA149" s="189"/>
      <c r="CB149" s="189"/>
      <c r="CC149" s="189"/>
      <c r="CD149" s="189"/>
      <c r="CE149" s="189"/>
      <c r="CF149" s="189"/>
      <c r="CG149" s="189"/>
      <c r="CH149" s="189"/>
      <c r="CI149" s="189"/>
      <c r="CJ149" s="189"/>
      <c r="CK149" s="189"/>
      <c r="CL149" s="189"/>
      <c r="CM149" s="189"/>
      <c r="CN149" s="189"/>
    </row>
    <row r="150" spans="1:92">
      <c r="A150" s="65" t="s">
        <v>150</v>
      </c>
      <c r="B150" s="412" t="s">
        <v>168</v>
      </c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S150" s="65" t="s">
        <v>150</v>
      </c>
      <c r="T150" s="412" t="s">
        <v>168</v>
      </c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  <c r="AI150" s="180"/>
      <c r="AK150" s="65" t="s">
        <v>150</v>
      </c>
      <c r="AL150" s="412" t="s">
        <v>168</v>
      </c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80"/>
      <c r="AZ150" s="180">
        <f t="shared" si="404"/>
        <v>0</v>
      </c>
      <c r="BA150" s="180">
        <f t="shared" si="403"/>
        <v>0</v>
      </c>
      <c r="BB150" s="533"/>
      <c r="BC150" s="65" t="s">
        <v>150</v>
      </c>
      <c r="BD150" s="412" t="s">
        <v>168</v>
      </c>
      <c r="BE150" s="180"/>
      <c r="BF150" s="180"/>
      <c r="BG150" s="180"/>
      <c r="BH150" s="180"/>
      <c r="BI150" s="180"/>
      <c r="BJ150" s="180"/>
      <c r="BK150" s="180"/>
      <c r="BL150" s="180"/>
      <c r="BM150" s="180"/>
      <c r="BN150" s="180"/>
      <c r="BO150" s="180"/>
      <c r="BP150" s="180"/>
      <c r="BQ150" s="180"/>
      <c r="BR150" s="180"/>
      <c r="BS150" s="180"/>
      <c r="BT150" s="69" t="s">
        <v>307</v>
      </c>
      <c r="BX150" s="188"/>
      <c r="BY150" s="579"/>
      <c r="BZ150" s="189"/>
      <c r="CA150" s="189"/>
      <c r="CB150" s="189"/>
      <c r="CC150" s="189"/>
      <c r="CD150" s="189"/>
      <c r="CE150" s="189"/>
      <c r="CF150" s="189"/>
      <c r="CG150" s="189"/>
      <c r="CH150" s="189"/>
      <c r="CI150" s="189"/>
      <c r="CJ150" s="189"/>
      <c r="CK150" s="189"/>
      <c r="CL150" s="189"/>
      <c r="CM150" s="189"/>
      <c r="CN150" s="189"/>
    </row>
    <row r="151" spans="1:92">
      <c r="A151" s="65" t="s">
        <v>151</v>
      </c>
      <c r="B151" s="412" t="s">
        <v>208</v>
      </c>
      <c r="C151" s="419"/>
      <c r="D151" s="419"/>
      <c r="E151" s="419"/>
      <c r="F151" s="419"/>
      <c r="G151" s="419"/>
      <c r="H151" s="419"/>
      <c r="I151" s="419"/>
      <c r="J151" s="419"/>
      <c r="K151" s="419"/>
      <c r="L151" s="419"/>
      <c r="M151" s="419"/>
      <c r="N151" s="419"/>
      <c r="S151" s="65" t="s">
        <v>151</v>
      </c>
      <c r="T151" s="412" t="s">
        <v>208</v>
      </c>
      <c r="U151" s="419"/>
      <c r="V151" s="419"/>
      <c r="W151" s="419"/>
      <c r="X151" s="419"/>
      <c r="Y151" s="419"/>
      <c r="Z151" s="419"/>
      <c r="AA151" s="419"/>
      <c r="AB151" s="419"/>
      <c r="AC151" s="419"/>
      <c r="AD151" s="419"/>
      <c r="AE151" s="419"/>
      <c r="AF151" s="419"/>
      <c r="AK151" s="65" t="s">
        <v>151</v>
      </c>
      <c r="AL151" s="412" t="s">
        <v>208</v>
      </c>
      <c r="AM151" s="535"/>
      <c r="AN151" s="535"/>
      <c r="AO151" s="535"/>
      <c r="AP151" s="535"/>
      <c r="AQ151" s="535"/>
      <c r="AR151" s="535"/>
      <c r="AS151" s="535"/>
      <c r="AT151" s="535"/>
      <c r="AU151" s="535"/>
      <c r="AV151" s="535"/>
      <c r="AW151" s="535"/>
      <c r="AX151" s="535"/>
      <c r="AZ151" s="69">
        <f>SUMIF(AM$3:AX$3,1,AM151:AX151)</f>
        <v>0</v>
      </c>
      <c r="BA151" s="69">
        <f>SUMIF(AN$2:AY$2,1,AN151:AY151)</f>
        <v>0</v>
      </c>
      <c r="BB151" s="533"/>
      <c r="BC151" s="65" t="s">
        <v>151</v>
      </c>
      <c r="BD151" s="412" t="s">
        <v>208</v>
      </c>
      <c r="BE151" s="419"/>
      <c r="BF151" s="419"/>
      <c r="BG151" s="419"/>
      <c r="BH151" s="419"/>
      <c r="BI151" s="419"/>
      <c r="BJ151" s="419"/>
      <c r="BK151" s="419"/>
      <c r="BL151" s="419"/>
      <c r="BM151" s="419"/>
      <c r="BN151" s="419"/>
      <c r="BO151" s="419"/>
      <c r="BP151" s="419"/>
      <c r="BX151" s="188"/>
      <c r="BY151" s="579"/>
      <c r="BZ151" s="586"/>
      <c r="CA151" s="586"/>
      <c r="CB151" s="586"/>
      <c r="CC151" s="586"/>
      <c r="CD151" s="586"/>
      <c r="CE151" s="586"/>
      <c r="CF151" s="586"/>
      <c r="CG151" s="586"/>
      <c r="CH151" s="586"/>
      <c r="CI151" s="586"/>
      <c r="CJ151" s="586"/>
      <c r="CK151" s="586"/>
      <c r="CL151" s="189"/>
      <c r="CM151" s="189"/>
      <c r="CN151" s="189"/>
    </row>
    <row r="152" spans="1:92">
      <c r="A152" s="65" t="s">
        <v>151</v>
      </c>
      <c r="B152" s="412" t="s">
        <v>166</v>
      </c>
      <c r="C152" s="419"/>
      <c r="D152" s="419"/>
      <c r="E152" s="419"/>
      <c r="F152" s="419"/>
      <c r="G152" s="419"/>
      <c r="H152" s="419"/>
      <c r="I152" s="419"/>
      <c r="J152" s="419"/>
      <c r="K152" s="419"/>
      <c r="L152" s="419"/>
      <c r="M152" s="419"/>
      <c r="N152" s="419"/>
      <c r="S152" s="65" t="s">
        <v>151</v>
      </c>
      <c r="T152" s="412" t="s">
        <v>166</v>
      </c>
      <c r="U152" s="419"/>
      <c r="V152" s="419"/>
      <c r="W152" s="419"/>
      <c r="X152" s="419"/>
      <c r="Y152" s="419"/>
      <c r="Z152" s="419"/>
      <c r="AA152" s="419"/>
      <c r="AB152" s="419"/>
      <c r="AC152" s="419"/>
      <c r="AD152" s="419"/>
      <c r="AE152" s="419"/>
      <c r="AF152" s="419"/>
      <c r="AK152" s="65" t="s">
        <v>151</v>
      </c>
      <c r="AL152" s="412" t="s">
        <v>166</v>
      </c>
      <c r="AM152" s="535"/>
      <c r="AN152" s="535"/>
      <c r="AO152" s="535"/>
      <c r="AP152" s="535"/>
      <c r="AQ152" s="538"/>
      <c r="AR152" s="535"/>
      <c r="AS152" s="535"/>
      <c r="AT152" s="535"/>
      <c r="AU152" s="535"/>
      <c r="AV152" s="535"/>
      <c r="AW152" s="535"/>
      <c r="AX152" s="535"/>
      <c r="AZ152" s="69">
        <f t="shared" ref="AZ152:AZ154" si="405">SUMIF(AM$3:AX$3,1,AM152:AX152)</f>
        <v>0</v>
      </c>
      <c r="BA152" s="69">
        <f t="shared" ref="BA152:BA154" si="406">SUMIF(AN$2:AY$2,1,AN152:AY152)</f>
        <v>0</v>
      </c>
      <c r="BB152" s="533"/>
      <c r="BC152" s="65" t="s">
        <v>151</v>
      </c>
      <c r="BD152" s="412" t="s">
        <v>166</v>
      </c>
      <c r="BE152" s="419"/>
      <c r="BF152" s="419"/>
      <c r="BG152" s="419"/>
      <c r="BH152" s="419"/>
      <c r="BI152" s="419"/>
      <c r="BJ152" s="419"/>
      <c r="BK152" s="419"/>
      <c r="BL152" s="419"/>
      <c r="BM152" s="419"/>
      <c r="BN152" s="419"/>
      <c r="BO152" s="419"/>
      <c r="BP152" s="419"/>
      <c r="BT152" s="417" t="s">
        <v>294</v>
      </c>
      <c r="BX152" s="188"/>
      <c r="BY152" s="579"/>
      <c r="BZ152" s="586"/>
      <c r="CA152" s="586"/>
      <c r="CB152" s="586"/>
      <c r="CC152" s="586"/>
      <c r="CD152" s="586"/>
      <c r="CE152" s="586"/>
      <c r="CF152" s="586"/>
      <c r="CG152" s="586"/>
      <c r="CH152" s="586"/>
      <c r="CI152" s="586"/>
      <c r="CJ152" s="586"/>
      <c r="CK152" s="586"/>
      <c r="CL152" s="189"/>
      <c r="CM152" s="189"/>
      <c r="CN152" s="189"/>
    </row>
    <row r="153" spans="1:92">
      <c r="A153" s="65" t="s">
        <v>151</v>
      </c>
      <c r="B153" s="412" t="s">
        <v>295</v>
      </c>
      <c r="C153" s="419"/>
      <c r="D153" s="419"/>
      <c r="E153" s="419"/>
      <c r="F153" s="419"/>
      <c r="G153" s="419"/>
      <c r="H153" s="419"/>
      <c r="I153" s="419"/>
      <c r="J153" s="419"/>
      <c r="K153" s="419"/>
      <c r="L153" s="419"/>
      <c r="M153" s="419"/>
      <c r="N153" s="419"/>
      <c r="O153" s="180"/>
      <c r="P153" s="180"/>
      <c r="Q153" s="180"/>
      <c r="S153" s="65" t="s">
        <v>151</v>
      </c>
      <c r="T153" s="412" t="s">
        <v>295</v>
      </c>
      <c r="U153" s="419"/>
      <c r="V153" s="419"/>
      <c r="W153" s="419"/>
      <c r="X153" s="419"/>
      <c r="Y153" s="419"/>
      <c r="Z153" s="419"/>
      <c r="AA153" s="419"/>
      <c r="AB153" s="419"/>
      <c r="AC153" s="419"/>
      <c r="AD153" s="419"/>
      <c r="AE153" s="419"/>
      <c r="AF153" s="419"/>
      <c r="AG153" s="180"/>
      <c r="AH153" s="180"/>
      <c r="AI153" s="180"/>
      <c r="AK153" s="65" t="s">
        <v>151</v>
      </c>
      <c r="AL153" s="412" t="s">
        <v>295</v>
      </c>
      <c r="AM153" s="535"/>
      <c r="AN153" s="535"/>
      <c r="AO153" s="535"/>
      <c r="AP153" s="535"/>
      <c r="AQ153" s="535"/>
      <c r="AR153" s="535"/>
      <c r="AS153" s="535"/>
      <c r="AT153" s="535"/>
      <c r="AU153" s="535"/>
      <c r="AV153" s="535"/>
      <c r="AW153" s="535"/>
      <c r="AX153" s="535"/>
      <c r="AY153" s="180"/>
      <c r="AZ153" s="180">
        <f t="shared" si="405"/>
        <v>0</v>
      </c>
      <c r="BA153" s="180">
        <f t="shared" si="406"/>
        <v>0</v>
      </c>
      <c r="BB153" s="533"/>
      <c r="BC153" s="65" t="s">
        <v>151</v>
      </c>
      <c r="BD153" s="412" t="s">
        <v>295</v>
      </c>
      <c r="BE153" s="419"/>
      <c r="BF153" s="419"/>
      <c r="BG153" s="419"/>
      <c r="BH153" s="419"/>
      <c r="BI153" s="419"/>
      <c r="BJ153" s="419"/>
      <c r="BK153" s="419"/>
      <c r="BL153" s="419"/>
      <c r="BM153" s="419"/>
      <c r="BN153" s="419"/>
      <c r="BO153" s="419"/>
      <c r="BP153" s="419"/>
      <c r="BQ153" s="180"/>
      <c r="BR153" s="180"/>
      <c r="BS153" s="180"/>
      <c r="BT153" s="69" t="s">
        <v>308</v>
      </c>
      <c r="BX153" s="188"/>
      <c r="BY153" s="579"/>
      <c r="BZ153" s="586"/>
      <c r="CA153" s="586"/>
      <c r="CB153" s="586"/>
      <c r="CC153" s="586"/>
      <c r="CD153" s="586"/>
      <c r="CE153" s="586"/>
      <c r="CF153" s="586"/>
      <c r="CG153" s="586"/>
      <c r="CH153" s="586"/>
      <c r="CI153" s="586"/>
      <c r="CJ153" s="586"/>
      <c r="CK153" s="586"/>
      <c r="CL153" s="189"/>
      <c r="CM153" s="189"/>
      <c r="CN153" s="189"/>
    </row>
    <row r="154" spans="1:92">
      <c r="A154" s="65" t="s">
        <v>151</v>
      </c>
      <c r="B154" s="412" t="s">
        <v>168</v>
      </c>
      <c r="C154" s="419"/>
      <c r="D154" s="419"/>
      <c r="E154" s="419"/>
      <c r="F154" s="419"/>
      <c r="G154" s="419"/>
      <c r="H154" s="419"/>
      <c r="I154" s="419"/>
      <c r="J154" s="419"/>
      <c r="K154" s="419"/>
      <c r="L154" s="419"/>
      <c r="M154" s="419"/>
      <c r="N154" s="419"/>
      <c r="O154" s="180"/>
      <c r="P154" s="180"/>
      <c r="Q154" s="180"/>
      <c r="S154" s="65" t="s">
        <v>151</v>
      </c>
      <c r="T154" s="412" t="s">
        <v>168</v>
      </c>
      <c r="U154" s="419"/>
      <c r="V154" s="419"/>
      <c r="W154" s="419"/>
      <c r="X154" s="419"/>
      <c r="Y154" s="419"/>
      <c r="Z154" s="419"/>
      <c r="AA154" s="419"/>
      <c r="AB154" s="419"/>
      <c r="AC154" s="419"/>
      <c r="AD154" s="419"/>
      <c r="AE154" s="419"/>
      <c r="AF154" s="419"/>
      <c r="AG154" s="180"/>
      <c r="AH154" s="180"/>
      <c r="AI154" s="180"/>
      <c r="AK154" s="65" t="s">
        <v>151</v>
      </c>
      <c r="AL154" s="412" t="s">
        <v>168</v>
      </c>
      <c r="AM154" s="535"/>
      <c r="AN154" s="535"/>
      <c r="AO154" s="535"/>
      <c r="AP154" s="535"/>
      <c r="AQ154" s="535"/>
      <c r="AR154" s="535"/>
      <c r="AS154" s="535"/>
      <c r="AT154" s="535"/>
      <c r="AU154" s="535"/>
      <c r="AV154" s="535"/>
      <c r="AW154" s="535"/>
      <c r="AX154" s="535"/>
      <c r="AY154" s="180"/>
      <c r="AZ154" s="180">
        <f t="shared" si="405"/>
        <v>0</v>
      </c>
      <c r="BA154" s="180">
        <f t="shared" si="406"/>
        <v>0</v>
      </c>
      <c r="BB154" s="533"/>
      <c r="BC154" s="65" t="s">
        <v>151</v>
      </c>
      <c r="BD154" s="412" t="s">
        <v>168</v>
      </c>
      <c r="BE154" s="419"/>
      <c r="BF154" s="419"/>
      <c r="BG154" s="419"/>
      <c r="BH154" s="419"/>
      <c r="BI154" s="419"/>
      <c r="BJ154" s="419"/>
      <c r="BK154" s="419"/>
      <c r="BL154" s="419"/>
      <c r="BM154" s="419"/>
      <c r="BN154" s="419"/>
      <c r="BO154" s="419"/>
      <c r="BP154" s="419"/>
      <c r="BQ154" s="180"/>
      <c r="BR154" s="180"/>
      <c r="BS154" s="180"/>
      <c r="BT154" s="69" t="s">
        <v>307</v>
      </c>
      <c r="BX154" s="188"/>
      <c r="BY154" s="579"/>
      <c r="BZ154" s="586"/>
      <c r="CA154" s="586"/>
      <c r="CB154" s="586"/>
      <c r="CC154" s="586"/>
      <c r="CD154" s="586"/>
      <c r="CE154" s="586"/>
      <c r="CF154" s="586"/>
      <c r="CG154" s="586"/>
      <c r="CH154" s="586"/>
      <c r="CI154" s="586"/>
      <c r="CJ154" s="586"/>
      <c r="CK154" s="586"/>
      <c r="CL154" s="189"/>
      <c r="CM154" s="189"/>
      <c r="CN154" s="189"/>
    </row>
    <row r="155" spans="1:92">
      <c r="A155" s="65" t="s">
        <v>266</v>
      </c>
      <c r="B155" s="412" t="s">
        <v>310</v>
      </c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S155" s="65" t="s">
        <v>266</v>
      </c>
      <c r="T155" s="412" t="s">
        <v>310</v>
      </c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K155" s="65" t="s">
        <v>266</v>
      </c>
      <c r="AL155" s="412" t="s">
        <v>208</v>
      </c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Z155" s="69">
        <f>SUMIF(AM$3:AX$3,1,AM155:AX155)</f>
        <v>0</v>
      </c>
      <c r="BA155" s="69">
        <f>SUMIF(AN$2:AY$2,1,AN155:AY155)</f>
        <v>0</v>
      </c>
      <c r="BB155" s="533"/>
      <c r="BC155" s="65" t="s">
        <v>266</v>
      </c>
      <c r="BD155" s="412" t="s">
        <v>208</v>
      </c>
      <c r="BE155" s="180"/>
      <c r="BF155" s="180"/>
      <c r="BG155" s="180"/>
      <c r="BH155" s="180"/>
      <c r="BI155" s="180"/>
      <c r="BJ155" s="180"/>
      <c r="BK155" s="180"/>
      <c r="BL155" s="180"/>
      <c r="BM155" s="180"/>
      <c r="BN155" s="180"/>
      <c r="BO155" s="180"/>
      <c r="BP155" s="180"/>
      <c r="BU155" s="219"/>
      <c r="BX155" s="188"/>
      <c r="BY155" s="579"/>
      <c r="BZ155" s="189"/>
      <c r="CA155" s="189"/>
      <c r="CB155" s="189"/>
      <c r="CC155" s="189"/>
      <c r="CD155" s="189"/>
      <c r="CE155" s="189"/>
      <c r="CF155" s="189"/>
      <c r="CG155" s="189"/>
      <c r="CH155" s="189"/>
      <c r="CI155" s="189"/>
      <c r="CJ155" s="189"/>
      <c r="CK155" s="189"/>
      <c r="CL155" s="189"/>
      <c r="CM155" s="189"/>
      <c r="CN155" s="189"/>
    </row>
    <row r="156" spans="1:92" ht="15" customHeight="1">
      <c r="A156" s="65" t="s">
        <v>266</v>
      </c>
      <c r="B156" s="412" t="s">
        <v>166</v>
      </c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S156" s="65" t="s">
        <v>266</v>
      </c>
      <c r="T156" s="412" t="s">
        <v>166</v>
      </c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K156" s="65" t="s">
        <v>266</v>
      </c>
      <c r="AL156" s="412" t="s">
        <v>166</v>
      </c>
      <c r="AM156" s="174"/>
      <c r="AN156" s="174"/>
      <c r="AO156" s="174"/>
      <c r="AP156" s="174"/>
      <c r="AQ156" s="174"/>
      <c r="AR156" s="174"/>
      <c r="AS156" s="174"/>
      <c r="AT156" s="174"/>
      <c r="AU156" s="174"/>
      <c r="AV156" s="174"/>
      <c r="AW156" s="174"/>
      <c r="AX156" s="174"/>
      <c r="AZ156" s="69">
        <f t="shared" ref="AZ156:AZ158" si="407">SUMIF(AM$3:AX$3,1,AM156:AX156)</f>
        <v>0</v>
      </c>
      <c r="BA156" s="69">
        <f t="shared" ref="BA156:BA158" si="408">SUMIF(AN$2:AY$2,1,AN156:AY156)</f>
        <v>0</v>
      </c>
      <c r="BB156" s="533"/>
      <c r="BC156" s="65" t="s">
        <v>266</v>
      </c>
      <c r="BD156" s="412" t="s">
        <v>166</v>
      </c>
      <c r="BE156" s="180"/>
      <c r="BF156" s="180"/>
      <c r="BG156" s="180"/>
      <c r="BH156" s="180"/>
      <c r="BI156" s="180"/>
      <c r="BJ156" s="180"/>
      <c r="BK156" s="180"/>
      <c r="BL156" s="180"/>
      <c r="BM156" s="180"/>
      <c r="BN156" s="180"/>
      <c r="BO156" s="180"/>
      <c r="BP156" s="180"/>
      <c r="BT156" s="187" t="s">
        <v>294</v>
      </c>
      <c r="BU156" s="219"/>
      <c r="BX156" s="188"/>
      <c r="BY156" s="579"/>
      <c r="BZ156" s="189"/>
      <c r="CA156" s="189"/>
      <c r="CB156" s="189"/>
      <c r="CC156" s="189"/>
      <c r="CD156" s="189"/>
      <c r="CE156" s="189"/>
      <c r="CF156" s="189"/>
      <c r="CG156" s="189"/>
      <c r="CH156" s="189"/>
      <c r="CI156" s="189"/>
      <c r="CJ156" s="189"/>
      <c r="CK156" s="189"/>
      <c r="CL156" s="189"/>
      <c r="CM156" s="189"/>
      <c r="CN156" s="189"/>
    </row>
    <row r="157" spans="1:92">
      <c r="A157" s="65" t="s">
        <v>266</v>
      </c>
      <c r="B157" s="412" t="s">
        <v>295</v>
      </c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S157" s="65" t="s">
        <v>266</v>
      </c>
      <c r="T157" s="412" t="s">
        <v>295</v>
      </c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  <c r="AI157" s="180"/>
      <c r="AK157" s="65" t="s">
        <v>266</v>
      </c>
      <c r="AL157" s="412" t="s">
        <v>295</v>
      </c>
      <c r="AM157" s="174"/>
      <c r="AN157" s="174"/>
      <c r="AO157" s="174"/>
      <c r="AP157" s="174"/>
      <c r="AQ157" s="174"/>
      <c r="AR157" s="174"/>
      <c r="AS157" s="174"/>
      <c r="AT157" s="174"/>
      <c r="AU157" s="174"/>
      <c r="AV157" s="174"/>
      <c r="AW157" s="174"/>
      <c r="AX157" s="174"/>
      <c r="AY157" s="180"/>
      <c r="AZ157" s="180">
        <f t="shared" si="407"/>
        <v>0</v>
      </c>
      <c r="BA157" s="180">
        <f t="shared" si="408"/>
        <v>0</v>
      </c>
      <c r="BB157" s="533"/>
      <c r="BC157" s="65" t="s">
        <v>266</v>
      </c>
      <c r="BD157" s="412" t="s">
        <v>295</v>
      </c>
      <c r="BE157" s="180"/>
      <c r="BF157" s="180"/>
      <c r="BG157" s="180"/>
      <c r="BH157" s="180"/>
      <c r="BI157" s="180"/>
      <c r="BJ157" s="180"/>
      <c r="BK157" s="180"/>
      <c r="BL157" s="180"/>
      <c r="BM157" s="180"/>
      <c r="BN157" s="180"/>
      <c r="BO157" s="180"/>
      <c r="BP157" s="180"/>
      <c r="BQ157" s="180"/>
      <c r="BR157" s="180"/>
      <c r="BS157" s="180"/>
      <c r="BT157" s="187" t="s">
        <v>305</v>
      </c>
      <c r="BU157" s="219"/>
      <c r="BX157" s="188"/>
      <c r="BY157" s="579"/>
      <c r="BZ157" s="189"/>
      <c r="CA157" s="189"/>
      <c r="CB157" s="189"/>
      <c r="CC157" s="189"/>
      <c r="CD157" s="189"/>
      <c r="CE157" s="189"/>
      <c r="CF157" s="189"/>
      <c r="CG157" s="189"/>
      <c r="CH157" s="189"/>
      <c r="CI157" s="189"/>
      <c r="CJ157" s="189"/>
      <c r="CK157" s="189"/>
      <c r="CL157" s="189"/>
      <c r="CM157" s="189"/>
      <c r="CN157" s="189"/>
    </row>
    <row r="158" spans="1:92">
      <c r="A158" s="65" t="s">
        <v>266</v>
      </c>
      <c r="B158" s="412" t="s">
        <v>168</v>
      </c>
      <c r="C158" s="180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1"/>
      <c r="O158" s="180"/>
      <c r="P158" s="180"/>
      <c r="Q158" s="180"/>
      <c r="S158" s="65" t="s">
        <v>266</v>
      </c>
      <c r="T158" s="412" t="s">
        <v>168</v>
      </c>
      <c r="U158" s="180"/>
      <c r="V158" s="420"/>
      <c r="W158" s="420"/>
      <c r="X158" s="420"/>
      <c r="Y158" s="420"/>
      <c r="Z158" s="420"/>
      <c r="AA158" s="420"/>
      <c r="AB158" s="420"/>
      <c r="AC158" s="420"/>
      <c r="AD158" s="420"/>
      <c r="AE158" s="420"/>
      <c r="AF158" s="421"/>
      <c r="AG158" s="180"/>
      <c r="AH158" s="180"/>
      <c r="AI158" s="180"/>
      <c r="AK158" s="65" t="s">
        <v>266</v>
      </c>
      <c r="AL158" s="412" t="s">
        <v>168</v>
      </c>
      <c r="AM158" s="174"/>
      <c r="AN158" s="536"/>
      <c r="AO158" s="536"/>
      <c r="AP158" s="536"/>
      <c r="AQ158" s="536"/>
      <c r="AR158" s="536"/>
      <c r="AS158" s="536"/>
      <c r="AT158" s="536"/>
      <c r="AU158" s="536"/>
      <c r="AV158" s="536"/>
      <c r="AW158" s="536"/>
      <c r="AX158" s="537"/>
      <c r="AY158" s="180"/>
      <c r="AZ158" s="180">
        <f t="shared" si="407"/>
        <v>0</v>
      </c>
      <c r="BA158" s="180">
        <f t="shared" si="408"/>
        <v>0</v>
      </c>
      <c r="BB158" s="533"/>
      <c r="BC158" s="65" t="s">
        <v>266</v>
      </c>
      <c r="BD158" s="412" t="s">
        <v>168</v>
      </c>
      <c r="BE158" s="180"/>
      <c r="BF158" s="420"/>
      <c r="BG158" s="420"/>
      <c r="BH158" s="420"/>
      <c r="BI158" s="420"/>
      <c r="BJ158" s="420"/>
      <c r="BK158" s="420"/>
      <c r="BL158" s="420"/>
      <c r="BM158" s="420"/>
      <c r="BN158" s="420"/>
      <c r="BO158" s="420"/>
      <c r="BP158" s="421"/>
      <c r="BQ158" s="180"/>
      <c r="BR158" s="180"/>
      <c r="BS158" s="180"/>
      <c r="BT158" s="187" t="s">
        <v>297</v>
      </c>
      <c r="BU158" s="219"/>
      <c r="BX158" s="188"/>
      <c r="BY158" s="579"/>
      <c r="BZ158" s="189"/>
      <c r="CA158" s="590"/>
      <c r="CB158" s="590"/>
      <c r="CC158" s="590"/>
      <c r="CD158" s="590"/>
      <c r="CE158" s="590"/>
      <c r="CF158" s="590"/>
      <c r="CG158" s="590"/>
      <c r="CH158" s="590"/>
      <c r="CI158" s="590"/>
      <c r="CJ158" s="590"/>
      <c r="CK158" s="590"/>
      <c r="CL158" s="189"/>
      <c r="CM158" s="189"/>
      <c r="CN158" s="189"/>
    </row>
    <row r="159" spans="1:92">
      <c r="BZ159" s="189"/>
      <c r="CA159" s="189"/>
      <c r="CB159" s="189"/>
      <c r="CC159" s="189"/>
      <c r="CD159" s="189"/>
      <c r="CE159" s="189"/>
      <c r="CF159" s="189"/>
      <c r="CG159" s="189"/>
      <c r="CH159" s="189"/>
      <c r="CI159" s="189"/>
      <c r="CJ159" s="189"/>
      <c r="CK159" s="189"/>
      <c r="CL159" s="189"/>
      <c r="CM159" s="189"/>
      <c r="CN159" s="189"/>
    </row>
    <row r="160" spans="1:92" s="408" customFormat="1">
      <c r="A160" s="440" t="s">
        <v>293</v>
      </c>
      <c r="B160" s="440"/>
      <c r="C160" s="432">
        <v>1</v>
      </c>
      <c r="D160" s="432">
        <v>2</v>
      </c>
      <c r="E160" s="432">
        <v>3</v>
      </c>
      <c r="F160" s="432">
        <v>4</v>
      </c>
      <c r="G160" s="432">
        <v>5</v>
      </c>
      <c r="H160" s="432">
        <v>6</v>
      </c>
      <c r="I160" s="432">
        <v>7</v>
      </c>
      <c r="J160" s="432">
        <v>8</v>
      </c>
      <c r="K160" s="432">
        <v>9</v>
      </c>
      <c r="L160" s="432">
        <v>10</v>
      </c>
      <c r="M160" s="432">
        <v>11</v>
      </c>
      <c r="N160" s="432">
        <v>12</v>
      </c>
      <c r="O160" s="433" t="s">
        <v>38</v>
      </c>
      <c r="P160" s="441">
        <f>サマリ!$A$1</f>
        <v>7</v>
      </c>
      <c r="Q160" s="532">
        <f>サマリ!$A$1</f>
        <v>7</v>
      </c>
      <c r="R160" s="434"/>
      <c r="S160" s="440" t="s">
        <v>293</v>
      </c>
      <c r="T160" s="434"/>
      <c r="U160" s="432">
        <v>1</v>
      </c>
      <c r="V160" s="432">
        <v>2</v>
      </c>
      <c r="W160" s="432">
        <v>3</v>
      </c>
      <c r="X160" s="432">
        <v>4</v>
      </c>
      <c r="Y160" s="432">
        <v>5</v>
      </c>
      <c r="Z160" s="432">
        <v>6</v>
      </c>
      <c r="AA160" s="432">
        <v>7</v>
      </c>
      <c r="AB160" s="432">
        <v>8</v>
      </c>
      <c r="AC160" s="432">
        <v>9</v>
      </c>
      <c r="AD160" s="432">
        <v>10</v>
      </c>
      <c r="AE160" s="432">
        <v>11</v>
      </c>
      <c r="AF160" s="432">
        <v>12</v>
      </c>
      <c r="AG160" s="433" t="s">
        <v>38</v>
      </c>
      <c r="AH160" s="441">
        <f>サマリ!$A$1</f>
        <v>7</v>
      </c>
      <c r="AI160" s="532">
        <f>サマリ!$A$1</f>
        <v>7</v>
      </c>
      <c r="AJ160" s="434"/>
      <c r="AK160" s="440" t="s">
        <v>311</v>
      </c>
      <c r="AL160" s="434"/>
      <c r="AM160" s="432">
        <v>1</v>
      </c>
      <c r="AN160" s="432">
        <v>2</v>
      </c>
      <c r="AO160" s="432">
        <v>3</v>
      </c>
      <c r="AP160" s="432">
        <v>4</v>
      </c>
      <c r="AQ160" s="432">
        <v>5</v>
      </c>
      <c r="AR160" s="432">
        <v>6</v>
      </c>
      <c r="AS160" s="432">
        <v>7</v>
      </c>
      <c r="AT160" s="432">
        <v>8</v>
      </c>
      <c r="AU160" s="432">
        <v>9</v>
      </c>
      <c r="AV160" s="432">
        <v>10</v>
      </c>
      <c r="AW160" s="432">
        <v>11</v>
      </c>
      <c r="AX160" s="432">
        <v>12</v>
      </c>
      <c r="AY160" s="433" t="s">
        <v>38</v>
      </c>
      <c r="AZ160" s="441">
        <f>サマリ!$A$1</f>
        <v>7</v>
      </c>
      <c r="BA160" s="532">
        <f>サマリ!$A$1</f>
        <v>7</v>
      </c>
      <c r="BB160" s="434"/>
      <c r="BC160" s="440" t="s">
        <v>311</v>
      </c>
      <c r="BD160" s="434"/>
      <c r="BE160" s="432">
        <v>1</v>
      </c>
      <c r="BF160" s="432">
        <v>2</v>
      </c>
      <c r="BG160" s="432">
        <v>3</v>
      </c>
      <c r="BH160" s="432">
        <v>4</v>
      </c>
      <c r="BI160" s="432">
        <v>5</v>
      </c>
      <c r="BJ160" s="432">
        <v>6</v>
      </c>
      <c r="BK160" s="432">
        <v>7</v>
      </c>
      <c r="BL160" s="432">
        <v>8</v>
      </c>
      <c r="BM160" s="432">
        <v>9</v>
      </c>
      <c r="BN160" s="432">
        <v>10</v>
      </c>
      <c r="BO160" s="432">
        <v>11</v>
      </c>
      <c r="BP160" s="432">
        <v>12</v>
      </c>
      <c r="BQ160" s="433" t="s">
        <v>38</v>
      </c>
      <c r="BR160" s="441">
        <f>サマリ!$A$1</f>
        <v>7</v>
      </c>
      <c r="BS160" s="532">
        <f>サマリ!$A$1</f>
        <v>7</v>
      </c>
      <c r="BT160" s="442"/>
      <c r="BU160" s="440"/>
      <c r="BV160" s="440"/>
      <c r="BX160" s="440" t="s">
        <v>311</v>
      </c>
      <c r="BY160" s="440"/>
      <c r="BZ160" s="575">
        <v>1</v>
      </c>
      <c r="CA160" s="575">
        <v>2</v>
      </c>
      <c r="CB160" s="575">
        <v>3</v>
      </c>
      <c r="CC160" s="575">
        <v>4</v>
      </c>
      <c r="CD160" s="575">
        <v>5</v>
      </c>
      <c r="CE160" s="575">
        <v>6</v>
      </c>
      <c r="CF160" s="575">
        <v>7</v>
      </c>
      <c r="CG160" s="575">
        <v>8</v>
      </c>
      <c r="CH160" s="575">
        <v>9</v>
      </c>
      <c r="CI160" s="575">
        <v>10</v>
      </c>
      <c r="CJ160" s="575">
        <v>11</v>
      </c>
      <c r="CK160" s="575">
        <v>12</v>
      </c>
      <c r="CL160" s="576" t="s">
        <v>38</v>
      </c>
      <c r="CM160" s="577">
        <f>サマリ!$A$1</f>
        <v>7</v>
      </c>
      <c r="CN160" s="578">
        <f>サマリ!$A$1</f>
        <v>7</v>
      </c>
    </row>
    <row r="161" spans="1:92">
      <c r="A161" s="65" t="s">
        <v>149</v>
      </c>
      <c r="B161" s="412" t="s">
        <v>208</v>
      </c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S161" s="65" t="s">
        <v>149</v>
      </c>
      <c r="T161" s="412" t="s">
        <v>208</v>
      </c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K161" s="65" t="s">
        <v>201</v>
      </c>
      <c r="AL161" s="412" t="s">
        <v>202</v>
      </c>
      <c r="AM161" s="192">
        <v>0</v>
      </c>
      <c r="AN161" s="192">
        <v>0</v>
      </c>
      <c r="AO161" s="192">
        <v>3</v>
      </c>
      <c r="AP161" s="192">
        <v>2</v>
      </c>
      <c r="AQ161" s="192">
        <v>6</v>
      </c>
      <c r="AR161" s="192">
        <v>2</v>
      </c>
      <c r="AS161" s="192">
        <v>1</v>
      </c>
      <c r="AT161" s="174"/>
      <c r="AU161" s="174"/>
      <c r="AV161" s="174"/>
      <c r="AW161" s="174"/>
      <c r="AX161" s="174"/>
      <c r="AZ161" s="69">
        <f>SUMIF(AM$3:AX$3,1,AM161:AX161)</f>
        <v>14</v>
      </c>
      <c r="BA161" s="69">
        <f>SUMIF(AN$2:AY$2,1,AN161:AY161)</f>
        <v>1</v>
      </c>
      <c r="BB161" s="533"/>
      <c r="BC161" s="65" t="s">
        <v>201</v>
      </c>
      <c r="BD161" s="412" t="s">
        <v>202</v>
      </c>
      <c r="BE161" s="180"/>
      <c r="BF161" s="180"/>
      <c r="BG161" s="180">
        <v>27.777777777777782</v>
      </c>
      <c r="BH161" s="180">
        <v>72.222222222222243</v>
      </c>
      <c r="BI161" s="180">
        <v>80</v>
      </c>
      <c r="BJ161" s="180">
        <v>98</v>
      </c>
      <c r="BK161" s="180">
        <v>19</v>
      </c>
      <c r="BL161" s="180">
        <v>21</v>
      </c>
      <c r="BM161" s="180">
        <v>16</v>
      </c>
      <c r="BN161" s="180">
        <v>16</v>
      </c>
      <c r="BO161" s="180">
        <v>0</v>
      </c>
      <c r="BP161" s="180"/>
      <c r="BT161" s="417"/>
      <c r="BU161" s="171"/>
      <c r="BX161" s="188"/>
      <c r="BY161" s="579"/>
      <c r="BZ161" s="189"/>
      <c r="CA161" s="189"/>
      <c r="CB161" s="189"/>
      <c r="CC161" s="189"/>
      <c r="CD161" s="189"/>
      <c r="CE161" s="189"/>
      <c r="CF161" s="189"/>
      <c r="CG161" s="189"/>
      <c r="CH161" s="189"/>
      <c r="CI161" s="189"/>
      <c r="CJ161" s="189"/>
      <c r="CK161" s="189"/>
      <c r="CL161" s="189"/>
      <c r="CM161" s="189"/>
      <c r="CN161" s="189"/>
    </row>
    <row r="162" spans="1:92">
      <c r="A162" s="65" t="s">
        <v>149</v>
      </c>
      <c r="B162" s="412" t="s">
        <v>166</v>
      </c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S162" s="65" t="s">
        <v>149</v>
      </c>
      <c r="T162" s="412" t="s">
        <v>166</v>
      </c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K162" s="65" t="s">
        <v>201</v>
      </c>
      <c r="AL162" s="412" t="s">
        <v>203</v>
      </c>
      <c r="AM162" s="192">
        <v>2</v>
      </c>
      <c r="AN162" s="192">
        <v>2</v>
      </c>
      <c r="AO162" s="192">
        <v>1</v>
      </c>
      <c r="AP162" s="192">
        <v>0</v>
      </c>
      <c r="AQ162" s="192">
        <v>0</v>
      </c>
      <c r="AR162" s="192">
        <v>0</v>
      </c>
      <c r="AS162" s="192">
        <v>0</v>
      </c>
      <c r="AT162" s="174"/>
      <c r="AU162" s="174"/>
      <c r="AV162" s="174"/>
      <c r="AW162" s="174"/>
      <c r="AX162" s="174"/>
      <c r="AZ162" s="69">
        <f t="shared" ref="AZ162:AZ164" si="409">SUMIF(AM$3:AX$3,1,AM162:AX162)</f>
        <v>5</v>
      </c>
      <c r="BA162" s="69">
        <f t="shared" ref="BA162:BA164" si="410">SUMIF(AN$2:AY$2,1,AN162:AY162)</f>
        <v>0</v>
      </c>
      <c r="BB162" s="533"/>
      <c r="BC162" s="65" t="s">
        <v>201</v>
      </c>
      <c r="BD162" s="412" t="s">
        <v>203</v>
      </c>
      <c r="BE162" s="180"/>
      <c r="BF162" s="180"/>
      <c r="BG162" s="180"/>
      <c r="BH162" s="180"/>
      <c r="BI162" s="180">
        <v>20</v>
      </c>
      <c r="BJ162" s="180">
        <v>28</v>
      </c>
      <c r="BK162" s="180">
        <v>36</v>
      </c>
      <c r="BL162" s="180">
        <v>44</v>
      </c>
      <c r="BM162" s="180">
        <v>33</v>
      </c>
      <c r="BN162" s="180">
        <v>33</v>
      </c>
      <c r="BO162" s="180">
        <v>0</v>
      </c>
      <c r="BP162" s="180"/>
      <c r="BT162" s="417" t="s">
        <v>294</v>
      </c>
      <c r="BU162" s="171"/>
      <c r="BX162" s="188"/>
      <c r="BY162" s="579"/>
      <c r="BZ162" s="189"/>
      <c r="CA162" s="189"/>
      <c r="CB162" s="189"/>
      <c r="CC162" s="189"/>
      <c r="CD162" s="189"/>
      <c r="CE162" s="189"/>
      <c r="CF162" s="189"/>
      <c r="CG162" s="189"/>
      <c r="CH162" s="189"/>
      <c r="CI162" s="189"/>
      <c r="CJ162" s="189"/>
      <c r="CK162" s="189"/>
      <c r="CL162" s="189"/>
      <c r="CM162" s="189"/>
      <c r="CN162" s="189"/>
    </row>
    <row r="163" spans="1:92">
      <c r="A163" s="65" t="s">
        <v>149</v>
      </c>
      <c r="B163" s="412" t="s">
        <v>295</v>
      </c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S163" s="65" t="s">
        <v>149</v>
      </c>
      <c r="T163" s="412" t="s">
        <v>295</v>
      </c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  <c r="AK163" s="65" t="s">
        <v>201</v>
      </c>
      <c r="AL163" s="412" t="s">
        <v>207</v>
      </c>
      <c r="AM163" s="192">
        <v>0</v>
      </c>
      <c r="AN163" s="537">
        <v>0</v>
      </c>
      <c r="AO163" s="537">
        <v>0</v>
      </c>
      <c r="AP163" s="537">
        <v>0</v>
      </c>
      <c r="AQ163" s="537">
        <v>1</v>
      </c>
      <c r="AR163" s="192">
        <v>1</v>
      </c>
      <c r="AS163" s="192">
        <v>0</v>
      </c>
      <c r="AT163" s="174"/>
      <c r="AU163" s="174"/>
      <c r="AV163" s="174"/>
      <c r="AW163" s="174"/>
      <c r="AX163" s="174"/>
      <c r="AY163" s="180"/>
      <c r="AZ163" s="180">
        <f t="shared" si="409"/>
        <v>2</v>
      </c>
      <c r="BA163" s="180">
        <f t="shared" si="410"/>
        <v>0</v>
      </c>
      <c r="BB163" s="533"/>
      <c r="BC163" s="65" t="s">
        <v>201</v>
      </c>
      <c r="BD163" s="412" t="s">
        <v>207</v>
      </c>
      <c r="BE163" s="180"/>
      <c r="BF163" s="180"/>
      <c r="BG163" s="180"/>
      <c r="BH163" s="180"/>
      <c r="BI163" s="180">
        <v>2</v>
      </c>
      <c r="BJ163" s="180">
        <v>14</v>
      </c>
      <c r="BK163" s="180">
        <v>127</v>
      </c>
      <c r="BL163" s="180">
        <v>153</v>
      </c>
      <c r="BM163" s="180">
        <v>115</v>
      </c>
      <c r="BN163" s="180">
        <v>115</v>
      </c>
      <c r="BO163" s="180">
        <v>0</v>
      </c>
      <c r="BP163" s="180"/>
      <c r="BQ163" s="180"/>
      <c r="BR163" s="180"/>
      <c r="BS163" s="180"/>
      <c r="BT163" s="417" t="s">
        <v>296</v>
      </c>
      <c r="BX163" s="188"/>
      <c r="BY163" s="579"/>
      <c r="BZ163" s="189"/>
      <c r="CA163" s="189"/>
      <c r="CB163" s="189"/>
      <c r="CC163" s="189"/>
      <c r="CD163" s="189"/>
      <c r="CE163" s="189"/>
      <c r="CF163" s="189"/>
      <c r="CG163" s="189"/>
      <c r="CH163" s="189"/>
      <c r="CI163" s="189"/>
      <c r="CJ163" s="189"/>
      <c r="CK163" s="189"/>
      <c r="CL163" s="189"/>
      <c r="CM163" s="189"/>
      <c r="CN163" s="189"/>
    </row>
    <row r="164" spans="1:92">
      <c r="A164" s="65" t="s">
        <v>149</v>
      </c>
      <c r="B164" s="412" t="s">
        <v>168</v>
      </c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S164" s="65" t="s">
        <v>149</v>
      </c>
      <c r="T164" s="412" t="s">
        <v>168</v>
      </c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  <c r="AK164" s="65" t="s">
        <v>205</v>
      </c>
      <c r="AL164" s="412" t="s">
        <v>202</v>
      </c>
      <c r="AM164" s="192">
        <v>0</v>
      </c>
      <c r="AN164" s="192">
        <v>0</v>
      </c>
      <c r="AO164" s="192">
        <v>3</v>
      </c>
      <c r="AP164" s="192">
        <v>3</v>
      </c>
      <c r="AQ164" s="192">
        <v>3</v>
      </c>
      <c r="AR164" s="192">
        <v>3</v>
      </c>
      <c r="AS164" s="192">
        <v>3</v>
      </c>
      <c r="AT164" s="174"/>
      <c r="AU164" s="174"/>
      <c r="AV164" s="174"/>
      <c r="AW164" s="174"/>
      <c r="AX164" s="174"/>
      <c r="AY164" s="180"/>
      <c r="AZ164" s="180">
        <f t="shared" si="409"/>
        <v>15</v>
      </c>
      <c r="BA164" s="180">
        <f t="shared" si="410"/>
        <v>3</v>
      </c>
      <c r="BB164" s="533"/>
      <c r="BC164" s="65" t="s">
        <v>205</v>
      </c>
      <c r="BD164" s="412" t="s">
        <v>202</v>
      </c>
      <c r="BE164" s="180"/>
      <c r="BF164" s="180"/>
      <c r="BG164" s="180"/>
      <c r="BH164" s="180"/>
      <c r="BI164" s="180"/>
      <c r="BJ164" s="180"/>
      <c r="BK164" s="180"/>
      <c r="BL164" s="180"/>
      <c r="BM164" s="180"/>
      <c r="BN164" s="180"/>
      <c r="BO164" s="180"/>
      <c r="BP164" s="180"/>
      <c r="BQ164" s="180"/>
      <c r="BR164" s="180"/>
      <c r="BS164" s="180"/>
      <c r="BT164" s="417" t="s">
        <v>297</v>
      </c>
      <c r="BX164" s="188"/>
      <c r="BY164" s="579"/>
      <c r="BZ164" s="189"/>
      <c r="CA164" s="189"/>
      <c r="CB164" s="189"/>
      <c r="CC164" s="189"/>
      <c r="CD164" s="189"/>
      <c r="CE164" s="189"/>
      <c r="CF164" s="189"/>
      <c r="CG164" s="189"/>
      <c r="CH164" s="189"/>
      <c r="CI164" s="189"/>
      <c r="CJ164" s="189"/>
      <c r="CK164" s="189"/>
      <c r="CL164" s="189"/>
      <c r="CM164" s="189"/>
      <c r="CN164" s="189"/>
    </row>
    <row r="165" spans="1:92">
      <c r="A165" s="65" t="s">
        <v>150</v>
      </c>
      <c r="B165" s="412" t="s">
        <v>208</v>
      </c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S165" s="65" t="s">
        <v>150</v>
      </c>
      <c r="T165" s="412" t="s">
        <v>208</v>
      </c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K165" s="65" t="s">
        <v>205</v>
      </c>
      <c r="AL165" s="412" t="s">
        <v>203</v>
      </c>
      <c r="AM165" s="192">
        <v>1</v>
      </c>
      <c r="AN165" s="192">
        <v>1</v>
      </c>
      <c r="AO165" s="192">
        <v>0</v>
      </c>
      <c r="AP165" s="192">
        <v>0</v>
      </c>
      <c r="AQ165" s="192">
        <v>0</v>
      </c>
      <c r="AR165" s="192">
        <v>0</v>
      </c>
      <c r="AS165" s="192">
        <v>0</v>
      </c>
      <c r="AT165" s="174"/>
      <c r="AU165" s="174"/>
      <c r="AV165" s="174"/>
      <c r="AW165" s="174"/>
      <c r="AX165" s="174"/>
      <c r="AZ165" s="69">
        <f>SUMIF(AM$3:AX$3,1,AM165:AX165)</f>
        <v>2</v>
      </c>
      <c r="BA165" s="69">
        <f>SUMIF(AN$2:AY$2,1,AN165:AY165)</f>
        <v>0</v>
      </c>
      <c r="BB165" s="533"/>
      <c r="BC165" s="65" t="s">
        <v>205</v>
      </c>
      <c r="BD165" s="412" t="s">
        <v>203</v>
      </c>
      <c r="BE165" s="180"/>
      <c r="BF165" s="180"/>
      <c r="BG165" s="180"/>
      <c r="BH165" s="180"/>
      <c r="BI165" s="180"/>
      <c r="BJ165" s="180"/>
      <c r="BK165" s="180"/>
      <c r="BL165" s="180"/>
      <c r="BM165" s="180"/>
      <c r="BN165" s="180"/>
      <c r="BO165" s="180"/>
      <c r="BP165" s="180"/>
      <c r="BX165" s="188"/>
      <c r="BY165" s="579"/>
      <c r="BZ165" s="189"/>
      <c r="CA165" s="189"/>
      <c r="CB165" s="189"/>
      <c r="CC165" s="189"/>
      <c r="CD165" s="189"/>
      <c r="CE165" s="189"/>
      <c r="CF165" s="189"/>
      <c r="CG165" s="189"/>
      <c r="CH165" s="189"/>
      <c r="CI165" s="189"/>
      <c r="CJ165" s="189"/>
      <c r="CK165" s="189"/>
      <c r="CL165" s="189"/>
      <c r="CM165" s="189"/>
      <c r="CN165" s="189"/>
    </row>
    <row r="166" spans="1:92">
      <c r="A166" s="65" t="s">
        <v>150</v>
      </c>
      <c r="B166" s="412" t="s">
        <v>166</v>
      </c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S166" s="65" t="s">
        <v>150</v>
      </c>
      <c r="T166" s="412" t="s">
        <v>166</v>
      </c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K166" s="65" t="s">
        <v>205</v>
      </c>
      <c r="AL166" s="412" t="s">
        <v>207</v>
      </c>
      <c r="AM166" s="192">
        <v>0</v>
      </c>
      <c r="AN166" s="192">
        <v>0</v>
      </c>
      <c r="AO166" s="192">
        <v>0</v>
      </c>
      <c r="AP166" s="192">
        <v>0</v>
      </c>
      <c r="AQ166" s="192">
        <v>1</v>
      </c>
      <c r="AR166" s="192">
        <v>0</v>
      </c>
      <c r="AS166" s="192">
        <v>1</v>
      </c>
      <c r="AT166" s="174"/>
      <c r="AU166" s="174"/>
      <c r="AV166" s="174"/>
      <c r="AW166" s="174"/>
      <c r="AX166" s="174"/>
      <c r="AY166" s="180"/>
      <c r="AZ166" s="180">
        <f>SUMIF(AM$3:AX$3,1,AM166:AX166)</f>
        <v>2</v>
      </c>
      <c r="BA166" s="180">
        <f t="shared" ref="BA166:BA168" si="411">SUMIF(AN$2:AY$2,1,AN166:AY166)</f>
        <v>1</v>
      </c>
      <c r="BB166" s="533"/>
      <c r="BC166" s="65" t="s">
        <v>205</v>
      </c>
      <c r="BD166" s="412" t="s">
        <v>207</v>
      </c>
      <c r="BE166" s="180"/>
      <c r="BF166" s="180"/>
      <c r="BG166" s="180"/>
      <c r="BH166" s="180"/>
      <c r="BI166" s="180"/>
      <c r="BJ166" s="180"/>
      <c r="BK166" s="180"/>
      <c r="BL166" s="180"/>
      <c r="BM166" s="180"/>
      <c r="BN166" s="180"/>
      <c r="BO166" s="180"/>
      <c r="BP166" s="180"/>
      <c r="BQ166" s="180"/>
      <c r="BR166" s="180"/>
      <c r="BS166" s="180"/>
      <c r="BX166" s="188"/>
      <c r="BY166" s="579"/>
      <c r="BZ166" s="189"/>
      <c r="CA166" s="189"/>
      <c r="CB166" s="189"/>
      <c r="CC166" s="189"/>
      <c r="CD166" s="189"/>
      <c r="CE166" s="189"/>
      <c r="CF166" s="189"/>
      <c r="CG166" s="189"/>
      <c r="CH166" s="189"/>
      <c r="CI166" s="189"/>
      <c r="CJ166" s="189"/>
      <c r="CK166" s="189"/>
      <c r="CL166" s="189"/>
      <c r="CM166" s="189"/>
      <c r="CN166" s="189"/>
    </row>
    <row r="167" spans="1:92">
      <c r="A167" s="65" t="s">
        <v>150</v>
      </c>
      <c r="B167" s="412" t="s">
        <v>295</v>
      </c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S167" s="65" t="s">
        <v>150</v>
      </c>
      <c r="T167" s="412" t="s">
        <v>295</v>
      </c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K167" s="65" t="s">
        <v>208</v>
      </c>
      <c r="AL167" s="412" t="s">
        <v>202</v>
      </c>
      <c r="AM167" s="192">
        <v>0</v>
      </c>
      <c r="AN167" s="192">
        <v>0</v>
      </c>
      <c r="AO167" s="192">
        <v>0</v>
      </c>
      <c r="AP167" s="192">
        <v>1</v>
      </c>
      <c r="AQ167" s="192">
        <v>0</v>
      </c>
      <c r="AR167" s="192">
        <v>0</v>
      </c>
      <c r="AS167" s="192">
        <v>0</v>
      </c>
      <c r="AT167" s="174"/>
      <c r="AU167" s="174"/>
      <c r="AV167" s="174"/>
      <c r="AW167" s="174"/>
      <c r="AX167" s="174"/>
      <c r="AY167" s="180"/>
      <c r="AZ167" s="180">
        <f t="shared" ref="AZ167:AZ168" si="412">SUMIF(AM$3:AX$3,1,AM167:AX167)</f>
        <v>1</v>
      </c>
      <c r="BA167" s="180">
        <f t="shared" si="411"/>
        <v>0</v>
      </c>
      <c r="BB167" s="533"/>
      <c r="BC167" s="65" t="s">
        <v>208</v>
      </c>
      <c r="BD167" s="412" t="s">
        <v>202</v>
      </c>
      <c r="BE167" s="180"/>
      <c r="BF167" s="180"/>
      <c r="BG167" s="180"/>
      <c r="BH167" s="180"/>
      <c r="BI167" s="180"/>
      <c r="BJ167" s="180"/>
      <c r="BK167" s="180"/>
      <c r="BL167" s="180"/>
      <c r="BM167" s="180"/>
      <c r="BN167" s="180"/>
      <c r="BO167" s="180"/>
      <c r="BP167" s="180"/>
      <c r="BQ167" s="180"/>
      <c r="BR167" s="180"/>
      <c r="BS167" s="180"/>
      <c r="BU167" s="171"/>
      <c r="BX167" s="188"/>
      <c r="BY167" s="579"/>
      <c r="BZ167" s="189"/>
      <c r="CA167" s="189"/>
      <c r="CB167" s="189"/>
      <c r="CC167" s="189"/>
      <c r="CD167" s="189"/>
      <c r="CE167" s="189"/>
      <c r="CF167" s="189"/>
      <c r="CG167" s="189"/>
      <c r="CH167" s="189"/>
      <c r="CI167" s="189"/>
      <c r="CJ167" s="189"/>
      <c r="CK167" s="189"/>
      <c r="CL167" s="189"/>
      <c r="CM167" s="189"/>
      <c r="CN167" s="189"/>
    </row>
    <row r="168" spans="1:92">
      <c r="A168" s="65" t="s">
        <v>150</v>
      </c>
      <c r="B168" s="412" t="s">
        <v>168</v>
      </c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S168" s="65" t="s">
        <v>150</v>
      </c>
      <c r="T168" s="412" t="s">
        <v>168</v>
      </c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K168" s="65" t="s">
        <v>208</v>
      </c>
      <c r="AL168" s="412" t="s">
        <v>203</v>
      </c>
      <c r="AM168" s="192">
        <v>0</v>
      </c>
      <c r="AN168" s="192">
        <v>0</v>
      </c>
      <c r="AO168" s="192">
        <v>1</v>
      </c>
      <c r="AP168" s="192">
        <v>1</v>
      </c>
      <c r="AQ168" s="192">
        <v>1</v>
      </c>
      <c r="AR168" s="192">
        <v>1</v>
      </c>
      <c r="AS168" s="192">
        <v>1</v>
      </c>
      <c r="AT168" s="174"/>
      <c r="AU168" s="174"/>
      <c r="AV168" s="174"/>
      <c r="AW168" s="174"/>
      <c r="AX168" s="174"/>
      <c r="AY168" s="180"/>
      <c r="AZ168" s="180">
        <f t="shared" si="412"/>
        <v>5</v>
      </c>
      <c r="BA168" s="180">
        <f t="shared" si="411"/>
        <v>1</v>
      </c>
      <c r="BB168" s="533"/>
      <c r="BC168" s="65" t="s">
        <v>208</v>
      </c>
      <c r="BD168" s="412" t="s">
        <v>203</v>
      </c>
      <c r="BE168" s="180"/>
      <c r="BF168" s="180"/>
      <c r="BG168" s="180"/>
      <c r="BH168" s="180"/>
      <c r="BI168" s="180"/>
      <c r="BJ168" s="180"/>
      <c r="BK168" s="180"/>
      <c r="BL168" s="180"/>
      <c r="BM168" s="180"/>
      <c r="BN168" s="180"/>
      <c r="BO168" s="180"/>
      <c r="BP168" s="180"/>
      <c r="BQ168" s="180"/>
      <c r="BR168" s="180"/>
      <c r="BS168" s="180"/>
      <c r="BT168" s="69" t="s">
        <v>307</v>
      </c>
      <c r="BX168" s="188"/>
      <c r="BY168" s="579"/>
      <c r="BZ168" s="189"/>
      <c r="CA168" s="189"/>
      <c r="CB168" s="189"/>
      <c r="CC168" s="189"/>
      <c r="CD168" s="189"/>
      <c r="CE168" s="189"/>
      <c r="CF168" s="189"/>
      <c r="CG168" s="189"/>
      <c r="CH168" s="189"/>
      <c r="CI168" s="189"/>
      <c r="CJ168" s="189"/>
      <c r="CK168" s="189"/>
      <c r="CL168" s="189"/>
      <c r="CM168" s="189"/>
      <c r="CN168" s="189"/>
    </row>
    <row r="169" spans="1:92">
      <c r="A169" s="65" t="s">
        <v>151</v>
      </c>
      <c r="B169" s="412" t="s">
        <v>208</v>
      </c>
      <c r="C169" s="419"/>
      <c r="D169" s="419"/>
      <c r="E169" s="419"/>
      <c r="F169" s="419"/>
      <c r="G169" s="419"/>
      <c r="H169" s="419"/>
      <c r="I169" s="419"/>
      <c r="J169" s="419"/>
      <c r="K169" s="419"/>
      <c r="L169" s="419"/>
      <c r="M169" s="419"/>
      <c r="N169" s="419"/>
      <c r="S169" s="65" t="s">
        <v>151</v>
      </c>
      <c r="T169" s="412" t="s">
        <v>208</v>
      </c>
      <c r="U169" s="419"/>
      <c r="V169" s="419"/>
      <c r="W169" s="419"/>
      <c r="X169" s="419"/>
      <c r="Y169" s="419"/>
      <c r="Z169" s="419"/>
      <c r="AA169" s="419"/>
      <c r="AB169" s="419"/>
      <c r="AC169" s="419"/>
      <c r="AD169" s="419"/>
      <c r="AE169" s="419"/>
      <c r="AF169" s="419"/>
      <c r="AK169" s="65" t="s">
        <v>208</v>
      </c>
      <c r="AL169" s="412" t="s">
        <v>207</v>
      </c>
      <c r="AM169" s="192">
        <v>0</v>
      </c>
      <c r="AN169" s="192">
        <v>0</v>
      </c>
      <c r="AO169" s="192">
        <v>0</v>
      </c>
      <c r="AP169" s="192">
        <v>0</v>
      </c>
      <c r="AQ169" s="192">
        <v>0</v>
      </c>
      <c r="AR169" s="192">
        <v>0</v>
      </c>
      <c r="AS169" s="192">
        <v>0</v>
      </c>
      <c r="AT169" s="535"/>
      <c r="AU169" s="535"/>
      <c r="AV169" s="535"/>
      <c r="AW169" s="535"/>
      <c r="AX169" s="535"/>
      <c r="AZ169" s="69">
        <f>SUMIF(AM$3:AX$3,1,AM169:AX169)</f>
        <v>0</v>
      </c>
      <c r="BA169" s="69">
        <f>SUMIF(AN$2:AY$2,1,AN169:AY169)</f>
        <v>0</v>
      </c>
      <c r="BB169" s="533"/>
      <c r="BC169" s="65" t="s">
        <v>208</v>
      </c>
      <c r="BD169" s="412" t="s">
        <v>207</v>
      </c>
      <c r="BE169" s="419"/>
      <c r="BF169" s="419"/>
      <c r="BG169" s="419"/>
      <c r="BH169" s="419"/>
      <c r="BI169" s="419"/>
      <c r="BJ169" s="419"/>
      <c r="BK169" s="419"/>
      <c r="BL169" s="419"/>
      <c r="BM169" s="419"/>
      <c r="BN169" s="419"/>
      <c r="BO169" s="419"/>
      <c r="BP169" s="419"/>
      <c r="BX169" s="188"/>
      <c r="BY169" s="579"/>
      <c r="BZ169" s="586"/>
      <c r="CA169" s="586"/>
      <c r="CB169" s="586"/>
      <c r="CC169" s="586"/>
      <c r="CD169" s="586"/>
      <c r="CE169" s="586"/>
      <c r="CF169" s="586"/>
      <c r="CG169" s="586"/>
      <c r="CH169" s="586"/>
      <c r="CI169" s="586"/>
      <c r="CJ169" s="586"/>
      <c r="CK169" s="586"/>
      <c r="CL169" s="189"/>
      <c r="CM169" s="189"/>
      <c r="CN169" s="189"/>
    </row>
    <row r="170" spans="1:92">
      <c r="A170" s="65" t="s">
        <v>151</v>
      </c>
      <c r="B170" s="412" t="s">
        <v>166</v>
      </c>
      <c r="C170" s="419"/>
      <c r="D170" s="419"/>
      <c r="E170" s="419"/>
      <c r="F170" s="419"/>
      <c r="G170" s="419"/>
      <c r="H170" s="419"/>
      <c r="I170" s="419"/>
      <c r="J170" s="419"/>
      <c r="K170" s="419"/>
      <c r="L170" s="419"/>
      <c r="M170" s="419"/>
      <c r="N170" s="419"/>
      <c r="S170" s="65" t="s">
        <v>151</v>
      </c>
      <c r="T170" s="412" t="s">
        <v>166</v>
      </c>
      <c r="U170" s="419"/>
      <c r="V170" s="419"/>
      <c r="W170" s="419"/>
      <c r="X170" s="419"/>
      <c r="Y170" s="419"/>
      <c r="Z170" s="419"/>
      <c r="AA170" s="419"/>
      <c r="AB170" s="419"/>
      <c r="AC170" s="419"/>
      <c r="AD170" s="419"/>
      <c r="AE170" s="419"/>
      <c r="AF170" s="419"/>
      <c r="AK170" s="65" t="s">
        <v>166</v>
      </c>
      <c r="AL170" s="412" t="s">
        <v>202</v>
      </c>
      <c r="AM170" s="538">
        <v>0</v>
      </c>
      <c r="AN170" s="538">
        <v>0</v>
      </c>
      <c r="AO170" s="538">
        <v>0</v>
      </c>
      <c r="AP170" s="538">
        <v>1</v>
      </c>
      <c r="AQ170" s="538">
        <v>2</v>
      </c>
      <c r="AR170" s="538">
        <v>1</v>
      </c>
      <c r="AS170" s="192">
        <v>1</v>
      </c>
      <c r="AT170" s="535"/>
      <c r="AU170" s="535"/>
      <c r="AV170" s="535"/>
      <c r="AW170" s="535"/>
      <c r="AX170" s="535"/>
      <c r="AZ170" s="69">
        <f t="shared" ref="AZ170:AZ172" si="413">SUMIF(AM$3:AX$3,1,AM170:AX170)</f>
        <v>5</v>
      </c>
      <c r="BA170" s="69">
        <f t="shared" ref="BA170:BA172" si="414">SUMIF(AN$2:AY$2,1,AN170:AY170)</f>
        <v>1</v>
      </c>
      <c r="BB170" s="533"/>
      <c r="BC170" s="65" t="s">
        <v>166</v>
      </c>
      <c r="BD170" s="412" t="s">
        <v>202</v>
      </c>
      <c r="BE170" s="419"/>
      <c r="BF170" s="419"/>
      <c r="BG170" s="419">
        <v>27.777777777777782</v>
      </c>
      <c r="BH170" s="419">
        <v>91.6666666666667</v>
      </c>
      <c r="BI170" s="419">
        <v>120</v>
      </c>
      <c r="BJ170" s="419">
        <v>197</v>
      </c>
      <c r="BK170" s="419">
        <v>43</v>
      </c>
      <c r="BL170" s="419">
        <v>58</v>
      </c>
      <c r="BM170" s="419">
        <v>68</v>
      </c>
      <c r="BN170" s="419">
        <v>80</v>
      </c>
      <c r="BO170" s="419">
        <v>75</v>
      </c>
      <c r="BP170" s="419"/>
      <c r="BT170" s="417" t="s">
        <v>294</v>
      </c>
      <c r="BX170" s="188"/>
      <c r="BY170" s="579"/>
      <c r="BZ170" s="586"/>
      <c r="CA170" s="586"/>
      <c r="CB170" s="586"/>
      <c r="CC170" s="586"/>
      <c r="CD170" s="586"/>
      <c r="CE170" s="586"/>
      <c r="CF170" s="586"/>
      <c r="CG170" s="586"/>
      <c r="CH170" s="586"/>
      <c r="CI170" s="586"/>
      <c r="CJ170" s="586"/>
      <c r="CK170" s="586"/>
      <c r="CL170" s="189"/>
      <c r="CM170" s="189"/>
      <c r="CN170" s="189"/>
    </row>
    <row r="171" spans="1:92">
      <c r="A171" s="65" t="s">
        <v>151</v>
      </c>
      <c r="B171" s="412" t="s">
        <v>295</v>
      </c>
      <c r="C171" s="419"/>
      <c r="D171" s="419"/>
      <c r="E171" s="419"/>
      <c r="F171" s="419"/>
      <c r="G171" s="419"/>
      <c r="H171" s="419"/>
      <c r="I171" s="419"/>
      <c r="J171" s="419"/>
      <c r="K171" s="419"/>
      <c r="L171" s="419"/>
      <c r="M171" s="419"/>
      <c r="N171" s="419"/>
      <c r="O171" s="180"/>
      <c r="P171" s="180"/>
      <c r="Q171" s="180"/>
      <c r="S171" s="65" t="s">
        <v>151</v>
      </c>
      <c r="T171" s="412" t="s">
        <v>295</v>
      </c>
      <c r="U171" s="419"/>
      <c r="V171" s="419"/>
      <c r="W171" s="419"/>
      <c r="X171" s="419"/>
      <c r="Y171" s="419"/>
      <c r="Z171" s="419"/>
      <c r="AA171" s="419"/>
      <c r="AB171" s="419"/>
      <c r="AC171" s="419"/>
      <c r="AD171" s="419"/>
      <c r="AE171" s="419"/>
      <c r="AF171" s="419"/>
      <c r="AG171" s="180"/>
      <c r="AH171" s="180"/>
      <c r="AI171" s="180"/>
      <c r="AK171" s="65" t="s">
        <v>166</v>
      </c>
      <c r="AL171" s="412" t="s">
        <v>203</v>
      </c>
      <c r="AM171" s="538">
        <v>1</v>
      </c>
      <c r="AN171" s="538">
        <v>3</v>
      </c>
      <c r="AO171" s="538">
        <v>3</v>
      </c>
      <c r="AP171" s="538">
        <v>3</v>
      </c>
      <c r="AQ171" s="538">
        <v>3</v>
      </c>
      <c r="AR171" s="538">
        <v>3</v>
      </c>
      <c r="AS171" s="192">
        <v>4</v>
      </c>
      <c r="AT171" s="535"/>
      <c r="AU171" s="535"/>
      <c r="AV171" s="535"/>
      <c r="AW171" s="535"/>
      <c r="AX171" s="535"/>
      <c r="AY171" s="180"/>
      <c r="AZ171" s="180">
        <f t="shared" si="413"/>
        <v>20</v>
      </c>
      <c r="BA171" s="180">
        <f t="shared" si="414"/>
        <v>4</v>
      </c>
      <c r="BB171" s="533"/>
      <c r="BC171" s="65" t="s">
        <v>166</v>
      </c>
      <c r="BD171" s="412" t="s">
        <v>203</v>
      </c>
      <c r="BE171" s="419"/>
      <c r="BF171" s="419"/>
      <c r="BG171" s="419"/>
      <c r="BH171" s="419"/>
      <c r="BI171" s="419">
        <v>34</v>
      </c>
      <c r="BJ171" s="419">
        <v>56</v>
      </c>
      <c r="BK171" s="419">
        <v>84</v>
      </c>
      <c r="BL171" s="419">
        <v>117</v>
      </c>
      <c r="BM171" s="419">
        <v>137</v>
      </c>
      <c r="BN171" s="419">
        <v>160</v>
      </c>
      <c r="BO171" s="419">
        <v>150</v>
      </c>
      <c r="BP171" s="419"/>
      <c r="BQ171" s="180"/>
      <c r="BR171" s="180"/>
      <c r="BS171" s="180"/>
      <c r="BT171" s="69" t="s">
        <v>308</v>
      </c>
      <c r="BX171" s="188"/>
      <c r="BY171" s="579"/>
      <c r="BZ171" s="586"/>
      <c r="CA171" s="586"/>
      <c r="CB171" s="586"/>
      <c r="CC171" s="586"/>
      <c r="CD171" s="586"/>
      <c r="CE171" s="586"/>
      <c r="CF171" s="586"/>
      <c r="CG171" s="586"/>
      <c r="CH171" s="586"/>
      <c r="CI171" s="586"/>
      <c r="CJ171" s="586"/>
      <c r="CK171" s="586"/>
      <c r="CL171" s="189"/>
      <c r="CM171" s="189"/>
      <c r="CN171" s="189"/>
    </row>
    <row r="172" spans="1:92">
      <c r="A172" s="65" t="s">
        <v>151</v>
      </c>
      <c r="B172" s="412" t="s">
        <v>168</v>
      </c>
      <c r="C172" s="419"/>
      <c r="D172" s="419"/>
      <c r="E172" s="419"/>
      <c r="F172" s="419"/>
      <c r="G172" s="419"/>
      <c r="H172" s="419"/>
      <c r="I172" s="419"/>
      <c r="J172" s="419"/>
      <c r="K172" s="419"/>
      <c r="L172" s="419"/>
      <c r="M172" s="419"/>
      <c r="N172" s="419"/>
      <c r="O172" s="180"/>
      <c r="P172" s="180"/>
      <c r="Q172" s="180"/>
      <c r="S172" s="65" t="s">
        <v>151</v>
      </c>
      <c r="T172" s="412" t="s">
        <v>168</v>
      </c>
      <c r="U172" s="419"/>
      <c r="V172" s="419"/>
      <c r="W172" s="419"/>
      <c r="X172" s="419"/>
      <c r="Y172" s="419"/>
      <c r="Z172" s="419"/>
      <c r="AA172" s="419"/>
      <c r="AB172" s="419"/>
      <c r="AC172" s="419"/>
      <c r="AD172" s="419"/>
      <c r="AE172" s="419"/>
      <c r="AF172" s="419"/>
      <c r="AG172" s="180"/>
      <c r="AH172" s="180"/>
      <c r="AI172" s="180"/>
      <c r="AK172" s="65" t="s">
        <v>166</v>
      </c>
      <c r="AL172" s="412" t="s">
        <v>207</v>
      </c>
      <c r="AM172" s="192">
        <v>0</v>
      </c>
      <c r="AN172" s="537">
        <v>0</v>
      </c>
      <c r="AO172" s="537">
        <v>0</v>
      </c>
      <c r="AP172" s="537">
        <v>0</v>
      </c>
      <c r="AQ172" s="537">
        <v>0</v>
      </c>
      <c r="AR172" s="538">
        <v>1</v>
      </c>
      <c r="AS172" s="192">
        <v>1</v>
      </c>
      <c r="AT172" s="535"/>
      <c r="AU172" s="535"/>
      <c r="AV172" s="535"/>
      <c r="AW172" s="535"/>
      <c r="AX172" s="535"/>
      <c r="AY172" s="180"/>
      <c r="AZ172" s="180">
        <f t="shared" si="413"/>
        <v>2</v>
      </c>
      <c r="BA172" s="180">
        <f t="shared" si="414"/>
        <v>1</v>
      </c>
      <c r="BB172" s="533"/>
      <c r="BC172" s="65" t="s">
        <v>166</v>
      </c>
      <c r="BD172" s="412" t="s">
        <v>207</v>
      </c>
      <c r="BE172" s="419"/>
      <c r="BF172" s="419"/>
      <c r="BG172" s="419"/>
      <c r="BH172" s="419"/>
      <c r="BI172" s="419">
        <v>18</v>
      </c>
      <c r="BJ172" s="419">
        <v>29</v>
      </c>
      <c r="BK172" s="586">
        <v>295</v>
      </c>
      <c r="BL172" s="586">
        <v>410</v>
      </c>
      <c r="BM172" s="586">
        <v>479</v>
      </c>
      <c r="BN172" s="586">
        <v>559</v>
      </c>
      <c r="BO172" s="586">
        <v>525</v>
      </c>
      <c r="BP172" s="419"/>
      <c r="BQ172" s="180"/>
      <c r="BR172" s="180"/>
      <c r="BS172" s="180"/>
      <c r="BT172" s="69" t="s">
        <v>307</v>
      </c>
      <c r="BX172" s="188"/>
      <c r="BY172" s="579"/>
      <c r="BZ172" s="586"/>
      <c r="CA172" s="586"/>
      <c r="CB172" s="586"/>
      <c r="CC172" s="586"/>
      <c r="CD172" s="586"/>
      <c r="CE172" s="586"/>
      <c r="CF172" s="586"/>
      <c r="CG172" s="586"/>
      <c r="CH172" s="586"/>
      <c r="CI172" s="586"/>
      <c r="CJ172" s="586"/>
      <c r="CK172" s="586"/>
      <c r="CL172" s="189"/>
      <c r="CM172" s="189"/>
      <c r="CN172" s="189"/>
    </row>
    <row r="173" spans="1:92">
      <c r="A173" s="65" t="s">
        <v>266</v>
      </c>
      <c r="B173" s="412" t="s">
        <v>310</v>
      </c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S173" s="65" t="s">
        <v>266</v>
      </c>
      <c r="T173" s="412" t="s">
        <v>310</v>
      </c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K173" s="65" t="s">
        <v>209</v>
      </c>
      <c r="AL173" s="412" t="s">
        <v>202</v>
      </c>
      <c r="AM173" s="192">
        <v>0</v>
      </c>
      <c r="AN173" s="192">
        <v>0</v>
      </c>
      <c r="AO173" s="192">
        <v>0</v>
      </c>
      <c r="AP173" s="192">
        <v>0</v>
      </c>
      <c r="AQ173" s="192">
        <v>1</v>
      </c>
      <c r="AR173" s="192">
        <v>3</v>
      </c>
      <c r="AS173" s="192">
        <v>3</v>
      </c>
      <c r="AT173" s="174"/>
      <c r="AU173" s="174"/>
      <c r="AV173" s="174"/>
      <c r="AW173" s="174"/>
      <c r="AX173" s="174"/>
      <c r="AZ173" s="69">
        <f>SUMIF(AM$3:AX$3,1,AM173:AX173)</f>
        <v>7</v>
      </c>
      <c r="BA173" s="69">
        <f>SUMIF(AN$2:AY$2,1,AN173:AY173)</f>
        <v>3</v>
      </c>
      <c r="BB173" s="533"/>
      <c r="BC173" s="65" t="s">
        <v>209</v>
      </c>
      <c r="BD173" s="412" t="s">
        <v>202</v>
      </c>
      <c r="BE173" s="180"/>
      <c r="BF173" s="180"/>
      <c r="BG173" s="180"/>
      <c r="BH173" s="180">
        <v>8.3333333333333339</v>
      </c>
      <c r="BI173" s="180">
        <v>15</v>
      </c>
      <c r="BJ173" s="180">
        <v>22</v>
      </c>
      <c r="BK173" s="180">
        <v>5</v>
      </c>
      <c r="BL173" s="180">
        <v>6</v>
      </c>
      <c r="BM173" s="180">
        <v>6</v>
      </c>
      <c r="BN173" s="180">
        <v>5</v>
      </c>
      <c r="BO173" s="180">
        <v>5</v>
      </c>
      <c r="BP173" s="180"/>
      <c r="BU173" s="219"/>
      <c r="BX173" s="188"/>
      <c r="BY173" s="579"/>
      <c r="BZ173" s="189"/>
      <c r="CA173" s="189"/>
      <c r="CB173" s="189"/>
      <c r="CC173" s="189"/>
      <c r="CD173" s="189"/>
      <c r="CE173" s="189"/>
      <c r="CF173" s="189"/>
      <c r="CG173" s="189"/>
      <c r="CH173" s="189"/>
      <c r="CI173" s="189"/>
      <c r="CJ173" s="189"/>
      <c r="CK173" s="189"/>
      <c r="CL173" s="189"/>
      <c r="CM173" s="189"/>
      <c r="CN173" s="189"/>
    </row>
    <row r="174" spans="1:92" ht="15" customHeight="1">
      <c r="A174" s="65" t="s">
        <v>266</v>
      </c>
      <c r="B174" s="412" t="s">
        <v>166</v>
      </c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S174" s="65" t="s">
        <v>266</v>
      </c>
      <c r="T174" s="412" t="s">
        <v>166</v>
      </c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K174" s="65" t="s">
        <v>209</v>
      </c>
      <c r="AL174" s="412" t="s">
        <v>203</v>
      </c>
      <c r="AM174" s="192">
        <v>0</v>
      </c>
      <c r="AN174" s="537">
        <v>0</v>
      </c>
      <c r="AO174" s="537">
        <v>0</v>
      </c>
      <c r="AP174" s="537">
        <v>0</v>
      </c>
      <c r="AQ174" s="537">
        <v>0</v>
      </c>
      <c r="AR174" s="192">
        <v>0</v>
      </c>
      <c r="AS174" s="192">
        <v>0</v>
      </c>
      <c r="AT174" s="174"/>
      <c r="AU174" s="174"/>
      <c r="AV174" s="174"/>
      <c r="AW174" s="174"/>
      <c r="AX174" s="174"/>
      <c r="AZ174" s="69">
        <f t="shared" ref="AZ174:AZ176" si="415">SUMIF(AM$3:AX$3,1,AM174:AX174)</f>
        <v>0</v>
      </c>
      <c r="BA174" s="69">
        <f t="shared" ref="BA174:BA176" si="416">SUMIF(AN$2:AY$2,1,AN174:AY174)</f>
        <v>0</v>
      </c>
      <c r="BB174" s="533"/>
      <c r="BC174" s="65" t="s">
        <v>209</v>
      </c>
      <c r="BD174" s="412" t="s">
        <v>203</v>
      </c>
      <c r="BE174" s="180"/>
      <c r="BF174" s="180"/>
      <c r="BG174" s="180"/>
      <c r="BH174" s="180"/>
      <c r="BI174" s="180">
        <v>4</v>
      </c>
      <c r="BJ174" s="180">
        <v>6</v>
      </c>
      <c r="BK174" s="180">
        <v>8</v>
      </c>
      <c r="BL174" s="180">
        <v>11</v>
      </c>
      <c r="BM174" s="180">
        <v>13</v>
      </c>
      <c r="BN174" s="180">
        <v>10</v>
      </c>
      <c r="BO174" s="180">
        <v>10</v>
      </c>
      <c r="BP174" s="180"/>
      <c r="BT174" s="187" t="s">
        <v>294</v>
      </c>
      <c r="BU174" s="219"/>
      <c r="BX174" s="188"/>
      <c r="BY174" s="579"/>
      <c r="BZ174" s="189"/>
      <c r="CA174" s="189"/>
      <c r="CB174" s="189"/>
      <c r="CC174" s="189"/>
      <c r="CD174" s="189"/>
      <c r="CE174" s="189"/>
      <c r="CF174" s="189"/>
      <c r="CG174" s="189"/>
      <c r="CH174" s="189"/>
      <c r="CI174" s="189"/>
      <c r="CJ174" s="189"/>
      <c r="CK174" s="189"/>
      <c r="CL174" s="189"/>
      <c r="CM174" s="189"/>
      <c r="CN174" s="189"/>
    </row>
    <row r="175" spans="1:92">
      <c r="A175" s="65" t="s">
        <v>266</v>
      </c>
      <c r="B175" s="412" t="s">
        <v>295</v>
      </c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S175" s="65" t="s">
        <v>266</v>
      </c>
      <c r="T175" s="412" t="s">
        <v>295</v>
      </c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K175" s="65" t="s">
        <v>209</v>
      </c>
      <c r="AL175" s="412" t="s">
        <v>207</v>
      </c>
      <c r="AM175" s="192">
        <v>0</v>
      </c>
      <c r="AN175" s="192">
        <v>0</v>
      </c>
      <c r="AO175" s="192">
        <v>0</v>
      </c>
      <c r="AP175" s="192">
        <v>0</v>
      </c>
      <c r="AQ175" s="192">
        <v>0</v>
      </c>
      <c r="AR175" s="192">
        <v>0</v>
      </c>
      <c r="AS175" s="192">
        <v>0</v>
      </c>
      <c r="AT175" s="174"/>
      <c r="AU175" s="174"/>
      <c r="AV175" s="174"/>
      <c r="AW175" s="174"/>
      <c r="AX175" s="174"/>
      <c r="AY175" s="180"/>
      <c r="AZ175" s="180">
        <f t="shared" si="415"/>
        <v>0</v>
      </c>
      <c r="BA175" s="180">
        <f t="shared" si="416"/>
        <v>0</v>
      </c>
      <c r="BB175" s="533"/>
      <c r="BC175" s="65" t="s">
        <v>209</v>
      </c>
      <c r="BD175" s="412" t="s">
        <v>207</v>
      </c>
      <c r="BE175" s="180"/>
      <c r="BF175" s="180"/>
      <c r="BG175" s="180"/>
      <c r="BH175" s="180"/>
      <c r="BI175" s="180">
        <v>3</v>
      </c>
      <c r="BJ175" s="180">
        <v>3</v>
      </c>
      <c r="BK175" s="189">
        <v>29</v>
      </c>
      <c r="BL175" s="189">
        <v>38</v>
      </c>
      <c r="BM175" s="189">
        <v>46</v>
      </c>
      <c r="BN175" s="189">
        <v>34</v>
      </c>
      <c r="BO175" s="189">
        <v>34</v>
      </c>
      <c r="BP175" s="180"/>
      <c r="BQ175" s="180"/>
      <c r="BR175" s="180"/>
      <c r="BS175" s="180"/>
      <c r="BT175" s="187" t="s">
        <v>305</v>
      </c>
      <c r="BU175" s="219"/>
      <c r="BX175" s="188"/>
      <c r="BY175" s="579"/>
      <c r="BZ175" s="189"/>
      <c r="CA175" s="189"/>
      <c r="CB175" s="189"/>
      <c r="CC175" s="189"/>
      <c r="CD175" s="189"/>
      <c r="CE175" s="189"/>
      <c r="CF175" s="189"/>
      <c r="CG175" s="189"/>
      <c r="CH175" s="189"/>
      <c r="CI175" s="189"/>
      <c r="CJ175" s="189"/>
      <c r="CK175" s="189"/>
      <c r="CL175" s="189"/>
      <c r="CM175" s="189"/>
      <c r="CN175" s="189"/>
    </row>
    <row r="176" spans="1:92">
      <c r="A176" s="65" t="s">
        <v>266</v>
      </c>
      <c r="B176" s="412" t="s">
        <v>168</v>
      </c>
      <c r="C176" s="180"/>
      <c r="D176" s="420"/>
      <c r="E176" s="420"/>
      <c r="F176" s="420"/>
      <c r="G176" s="420"/>
      <c r="H176" s="420"/>
      <c r="I176" s="420"/>
      <c r="J176" s="420"/>
      <c r="K176" s="420"/>
      <c r="L176" s="420"/>
      <c r="M176" s="420"/>
      <c r="N176" s="421"/>
      <c r="O176" s="180"/>
      <c r="P176" s="180"/>
      <c r="Q176" s="180"/>
      <c r="S176" s="65" t="s">
        <v>266</v>
      </c>
      <c r="T176" s="412" t="s">
        <v>168</v>
      </c>
      <c r="U176" s="180"/>
      <c r="V176" s="420"/>
      <c r="W176" s="420"/>
      <c r="X176" s="420"/>
      <c r="Y176" s="420"/>
      <c r="Z176" s="420"/>
      <c r="AA176" s="420"/>
      <c r="AB176" s="420"/>
      <c r="AC176" s="420"/>
      <c r="AD176" s="420"/>
      <c r="AE176" s="420"/>
      <c r="AF176" s="421"/>
      <c r="AG176" s="180"/>
      <c r="AH176" s="180"/>
      <c r="AI176" s="180"/>
      <c r="AK176" s="65" t="s">
        <v>168</v>
      </c>
      <c r="AL176" s="412" t="s">
        <v>202</v>
      </c>
      <c r="AM176" s="192">
        <v>0</v>
      </c>
      <c r="AN176" s="537">
        <v>0</v>
      </c>
      <c r="AO176" s="537">
        <v>0</v>
      </c>
      <c r="AP176" s="537">
        <v>0</v>
      </c>
      <c r="AQ176" s="537">
        <v>0</v>
      </c>
      <c r="AR176" s="537">
        <v>0</v>
      </c>
      <c r="AS176" s="192">
        <v>0</v>
      </c>
      <c r="AT176" s="536"/>
      <c r="AU176" s="536"/>
      <c r="AV176" s="536"/>
      <c r="AW176" s="536"/>
      <c r="AX176" s="537"/>
      <c r="AY176" s="180"/>
      <c r="AZ176" s="180">
        <f t="shared" si="415"/>
        <v>0</v>
      </c>
      <c r="BA176" s="180">
        <f t="shared" si="416"/>
        <v>0</v>
      </c>
      <c r="BB176" s="533"/>
      <c r="BC176" s="65" t="s">
        <v>168</v>
      </c>
      <c r="BD176" s="412" t="s">
        <v>202</v>
      </c>
      <c r="BE176" s="180"/>
      <c r="BF176" s="420"/>
      <c r="BG176" s="420"/>
      <c r="BH176" s="420"/>
      <c r="BI176" s="420">
        <v>4</v>
      </c>
      <c r="BJ176" s="420">
        <v>8</v>
      </c>
      <c r="BK176" s="69">
        <v>2</v>
      </c>
      <c r="BL176" s="69">
        <v>1</v>
      </c>
      <c r="BM176" s="69">
        <v>2</v>
      </c>
      <c r="BN176" s="69">
        <v>2</v>
      </c>
      <c r="BO176" s="69">
        <v>0</v>
      </c>
      <c r="BP176" s="421"/>
      <c r="BQ176" s="180"/>
      <c r="BR176" s="180"/>
      <c r="BS176" s="180"/>
      <c r="BT176" s="187" t="s">
        <v>297</v>
      </c>
      <c r="BU176" s="219"/>
      <c r="BX176" s="188"/>
      <c r="BY176" s="579"/>
      <c r="BZ176" s="189"/>
      <c r="CA176" s="590"/>
      <c r="CB176" s="590"/>
      <c r="CC176" s="590"/>
      <c r="CD176" s="590"/>
      <c r="CE176" s="590"/>
      <c r="CF176" s="590"/>
      <c r="CG176" s="590"/>
      <c r="CH176" s="590"/>
      <c r="CI176" s="590"/>
      <c r="CJ176" s="590"/>
      <c r="CK176" s="590"/>
      <c r="CL176" s="189"/>
      <c r="CM176" s="189"/>
      <c r="CN176" s="189"/>
    </row>
    <row r="177" spans="37:92">
      <c r="AK177" s="65" t="s">
        <v>168</v>
      </c>
      <c r="AL177" s="412" t="s">
        <v>203</v>
      </c>
      <c r="AM177" s="192">
        <v>0</v>
      </c>
      <c r="AN177" s="192">
        <v>0</v>
      </c>
      <c r="AO177" s="192">
        <v>0</v>
      </c>
      <c r="AP177" s="192">
        <v>0</v>
      </c>
      <c r="AQ177" s="192">
        <v>0</v>
      </c>
      <c r="AR177" s="192">
        <v>0</v>
      </c>
      <c r="AS177" s="192">
        <v>0</v>
      </c>
      <c r="AT177" s="174"/>
      <c r="AU177" s="174"/>
      <c r="AV177" s="174"/>
      <c r="AW177" s="174"/>
      <c r="AX177" s="174"/>
      <c r="BC177" s="65" t="s">
        <v>168</v>
      </c>
      <c r="BD177" s="412" t="s">
        <v>203</v>
      </c>
      <c r="BI177" s="69">
        <v>1</v>
      </c>
      <c r="BJ177" s="69">
        <v>2</v>
      </c>
      <c r="BK177" s="69">
        <v>2</v>
      </c>
      <c r="BL177" s="69">
        <v>3</v>
      </c>
      <c r="BM177" s="69">
        <v>3</v>
      </c>
      <c r="BN177" s="69">
        <v>3</v>
      </c>
      <c r="BO177" s="69">
        <v>0</v>
      </c>
      <c r="BY177" s="579"/>
      <c r="BZ177" s="189"/>
      <c r="CA177" s="189"/>
      <c r="CB177" s="189"/>
      <c r="CC177" s="189"/>
      <c r="CD177" s="189"/>
      <c r="CE177" s="189"/>
      <c r="CF177" s="189"/>
      <c r="CG177" s="189"/>
      <c r="CH177" s="189"/>
      <c r="CI177" s="189"/>
      <c r="CJ177" s="189"/>
      <c r="CK177" s="189"/>
      <c r="CL177" s="189"/>
      <c r="CM177" s="189"/>
      <c r="CN177" s="189"/>
    </row>
    <row r="178" spans="37:92">
      <c r="AK178" s="65" t="s">
        <v>168</v>
      </c>
      <c r="AL178" s="412" t="s">
        <v>207</v>
      </c>
      <c r="AM178" s="192">
        <v>0</v>
      </c>
      <c r="AN178" s="192">
        <v>0</v>
      </c>
      <c r="AO178" s="192">
        <v>0</v>
      </c>
      <c r="AP178" s="192">
        <v>0</v>
      </c>
      <c r="AQ178" s="192">
        <v>0</v>
      </c>
      <c r="AR178" s="192">
        <v>0</v>
      </c>
      <c r="AS178" s="192">
        <v>0</v>
      </c>
      <c r="AT178" s="174"/>
      <c r="AU178" s="174"/>
      <c r="AV178" s="174"/>
      <c r="AW178" s="174"/>
      <c r="AX178" s="174"/>
      <c r="BC178" s="65" t="s">
        <v>168</v>
      </c>
      <c r="BD178" s="412" t="s">
        <v>207</v>
      </c>
      <c r="BJ178" s="69">
        <v>1</v>
      </c>
      <c r="BK178" s="420">
        <v>8</v>
      </c>
      <c r="BL178" s="420">
        <v>10</v>
      </c>
      <c r="BM178" s="420">
        <v>11</v>
      </c>
      <c r="BN178" s="420">
        <v>11</v>
      </c>
      <c r="BO178" s="420">
        <v>0</v>
      </c>
      <c r="BY178" s="579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  <c r="CJ178" s="189"/>
      <c r="CK178" s="189"/>
      <c r="CL178" s="189"/>
      <c r="CM178" s="189"/>
      <c r="CN178" s="189"/>
    </row>
    <row r="179" spans="37:92">
      <c r="AK179" s="65" t="s">
        <v>210</v>
      </c>
      <c r="AL179" s="412" t="s">
        <v>202</v>
      </c>
      <c r="AM179" s="232">
        <v>0</v>
      </c>
      <c r="AN179" s="592">
        <v>0</v>
      </c>
      <c r="AO179" s="592">
        <v>0</v>
      </c>
      <c r="AP179" s="592">
        <v>0</v>
      </c>
      <c r="AQ179" s="592">
        <v>0</v>
      </c>
      <c r="AR179" s="592">
        <v>0</v>
      </c>
      <c r="AS179" s="592">
        <v>0</v>
      </c>
      <c r="AT179" s="232"/>
      <c r="AU179" s="232"/>
      <c r="AV179" s="232"/>
      <c r="AW179" s="232"/>
      <c r="AX179" s="232"/>
      <c r="BC179" s="65" t="s">
        <v>210</v>
      </c>
      <c r="BD179" s="412" t="s">
        <v>202</v>
      </c>
      <c r="BE179" s="232"/>
      <c r="BF179" s="232"/>
      <c r="BG179" s="232"/>
      <c r="BH179" s="232"/>
      <c r="BI179" s="232"/>
      <c r="BJ179" s="232">
        <v>2</v>
      </c>
      <c r="BK179" s="592">
        <v>1</v>
      </c>
      <c r="BL179" s="592">
        <v>2</v>
      </c>
      <c r="BM179" s="592">
        <v>2</v>
      </c>
      <c r="BN179" s="592">
        <v>3</v>
      </c>
      <c r="BO179" s="592">
        <v>4</v>
      </c>
      <c r="BP179" s="232"/>
      <c r="BY179" s="579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189"/>
      <c r="CM179" s="189"/>
      <c r="CN179" s="189"/>
    </row>
    <row r="180" spans="37:92">
      <c r="AK180" s="65" t="s">
        <v>210</v>
      </c>
      <c r="AL180" s="412" t="s">
        <v>203</v>
      </c>
      <c r="AM180" s="232">
        <v>0</v>
      </c>
      <c r="AN180" s="592">
        <v>0</v>
      </c>
      <c r="AO180" s="592">
        <v>0</v>
      </c>
      <c r="AP180" s="592">
        <v>0</v>
      </c>
      <c r="AQ180" s="592">
        <v>0</v>
      </c>
      <c r="AR180" s="592">
        <v>0</v>
      </c>
      <c r="AS180" s="592">
        <v>0</v>
      </c>
      <c r="AT180" s="232"/>
      <c r="AU180" s="232"/>
      <c r="AV180" s="232"/>
      <c r="AW180" s="232"/>
      <c r="AX180" s="232"/>
      <c r="BC180" s="65" t="s">
        <v>210</v>
      </c>
      <c r="BD180" s="412" t="s">
        <v>203</v>
      </c>
      <c r="BE180" s="232"/>
      <c r="BF180" s="232"/>
      <c r="BG180" s="232"/>
      <c r="BH180" s="232"/>
      <c r="BI180" s="232"/>
      <c r="BJ180" s="232">
        <v>1</v>
      </c>
      <c r="BK180" s="232">
        <v>1</v>
      </c>
      <c r="BL180" s="232">
        <v>1</v>
      </c>
      <c r="BM180" s="232">
        <v>2</v>
      </c>
      <c r="BN180" s="232">
        <v>3</v>
      </c>
      <c r="BO180" s="232">
        <v>4</v>
      </c>
      <c r="BP180" s="232"/>
      <c r="BY180" s="579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189"/>
      <c r="CM180" s="189"/>
      <c r="CN180" s="189"/>
    </row>
    <row r="181" spans="37:92">
      <c r="AK181" s="65" t="s">
        <v>210</v>
      </c>
      <c r="AL181" s="412" t="s">
        <v>207</v>
      </c>
      <c r="AM181" s="232">
        <v>0</v>
      </c>
      <c r="AN181" s="592">
        <v>0</v>
      </c>
      <c r="AO181" s="592">
        <v>0</v>
      </c>
      <c r="AP181" s="592">
        <v>0</v>
      </c>
      <c r="AQ181" s="592">
        <v>1</v>
      </c>
      <c r="AR181" s="592">
        <v>1</v>
      </c>
      <c r="AS181" s="592">
        <v>1</v>
      </c>
      <c r="AT181" s="232"/>
      <c r="AU181" s="232"/>
      <c r="AV181" s="232"/>
      <c r="AW181" s="232"/>
      <c r="AX181" s="232"/>
      <c r="BC181" s="65" t="s">
        <v>210</v>
      </c>
      <c r="BD181" s="412" t="s">
        <v>207</v>
      </c>
      <c r="BE181" s="232"/>
      <c r="BF181" s="232"/>
      <c r="BG181" s="232"/>
      <c r="BH181" s="232"/>
      <c r="BI181" s="232"/>
      <c r="BJ181" s="232">
        <v>1</v>
      </c>
      <c r="BK181" s="232">
        <v>2</v>
      </c>
      <c r="BL181" s="232">
        <v>3</v>
      </c>
      <c r="BM181" s="232">
        <v>3</v>
      </c>
      <c r="BN181" s="232">
        <v>3</v>
      </c>
      <c r="BO181" s="232">
        <v>4</v>
      </c>
      <c r="BP181" s="232"/>
      <c r="BY181" s="579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189"/>
      <c r="CM181" s="189"/>
      <c r="CN181" s="189"/>
    </row>
    <row r="182" spans="37:92">
      <c r="AN182" s="189"/>
    </row>
    <row r="183" spans="37:92"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</row>
    <row r="184" spans="37:92"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</row>
    <row r="185" spans="37:92">
      <c r="BK185" s="189"/>
      <c r="BL185" s="189"/>
      <c r="BM185" s="189"/>
      <c r="BN185" s="189"/>
      <c r="BO185" s="189"/>
    </row>
  </sheetData>
  <phoneticPr fontId="4"/>
  <pageMargins left="0.7" right="0.7" top="0.75" bottom="0.75" header="0.3" footer="0.3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5692-53F4-4199-B558-715557957A65}">
  <sheetPr>
    <tabColor theme="1"/>
  </sheetPr>
  <dimension ref="A1"/>
  <sheetViews>
    <sheetView workbookViewId="0">
      <selection activeCell="O34" sqref="O34"/>
    </sheetView>
  </sheetViews>
  <sheetFormatPr defaultRowHeight="12"/>
  <sheetData/>
  <phoneticPr fontId="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8C1-E1C2-4F59-AAFA-955A13149D39}">
  <dimension ref="A1:AY134"/>
  <sheetViews>
    <sheetView topLeftCell="G88" workbookViewId="0">
      <selection activeCell="U5" sqref="U5"/>
    </sheetView>
  </sheetViews>
  <sheetFormatPr defaultColWidth="9.140625" defaultRowHeight="11.25" outlineLevelCol="1"/>
  <cols>
    <col min="1" max="1" width="14" style="65" bestFit="1" customWidth="1"/>
    <col min="2" max="2" width="22.5703125" style="65" customWidth="1"/>
    <col min="3" max="14" width="9.140625" style="69" customWidth="1" outlineLevel="1"/>
    <col min="15" max="15" width="9.140625" style="69"/>
    <col min="16" max="16" width="9.140625" style="65"/>
    <col min="17" max="17" width="12.28515625" style="65" customWidth="1"/>
    <col min="18" max="18" width="22.5703125" style="65" customWidth="1"/>
    <col min="19" max="30" width="9.140625" style="69" customWidth="1" outlineLevel="1"/>
    <col min="31" max="31" width="9.140625" style="69" customWidth="1"/>
    <col min="32" max="32" width="9.140625" style="65"/>
    <col min="33" max="33" width="14" style="65" bestFit="1" customWidth="1"/>
    <col min="34" max="34" width="22.5703125" style="65" customWidth="1"/>
    <col min="35" max="46" width="9.140625" style="69" customWidth="1" outlineLevel="1"/>
    <col min="47" max="48" width="9.140625" style="69"/>
    <col min="49" max="49" width="11" style="65" bestFit="1" customWidth="1"/>
    <col min="50" max="50" width="12" style="65" bestFit="1" customWidth="1"/>
    <col min="51" max="16384" width="9.140625" style="65"/>
  </cols>
  <sheetData>
    <row r="1" spans="1:50" ht="12" thickBot="1">
      <c r="A1" s="171" t="s">
        <v>253</v>
      </c>
      <c r="B1" s="171" t="s">
        <v>253</v>
      </c>
      <c r="C1" s="171" t="s">
        <v>253</v>
      </c>
      <c r="D1" s="171" t="s">
        <v>253</v>
      </c>
      <c r="E1" s="171" t="s">
        <v>253</v>
      </c>
      <c r="F1" s="171" t="s">
        <v>253</v>
      </c>
      <c r="G1" s="171" t="s">
        <v>253</v>
      </c>
      <c r="H1" s="171" t="s">
        <v>253</v>
      </c>
      <c r="I1" s="171" t="s">
        <v>253</v>
      </c>
      <c r="J1" s="171" t="s">
        <v>253</v>
      </c>
      <c r="K1" s="171" t="s">
        <v>253</v>
      </c>
      <c r="L1" s="171" t="s">
        <v>253</v>
      </c>
      <c r="M1" s="171" t="s">
        <v>253</v>
      </c>
      <c r="N1" s="171" t="s">
        <v>253</v>
      </c>
      <c r="O1" s="171" t="s">
        <v>253</v>
      </c>
      <c r="Q1" s="171" t="s">
        <v>142</v>
      </c>
      <c r="R1" s="171" t="s">
        <v>142</v>
      </c>
      <c r="S1" s="171" t="s">
        <v>142</v>
      </c>
      <c r="T1" s="171" t="s">
        <v>142</v>
      </c>
      <c r="U1" s="171" t="s">
        <v>142</v>
      </c>
      <c r="V1" s="171" t="s">
        <v>142</v>
      </c>
      <c r="W1" s="171" t="s">
        <v>142</v>
      </c>
      <c r="X1" s="171" t="s">
        <v>142</v>
      </c>
      <c r="Y1" s="171" t="s">
        <v>142</v>
      </c>
      <c r="Z1" s="171" t="s">
        <v>142</v>
      </c>
      <c r="AA1" s="171" t="s">
        <v>142</v>
      </c>
      <c r="AB1" s="171" t="s">
        <v>142</v>
      </c>
      <c r="AC1" s="171" t="s">
        <v>142</v>
      </c>
      <c r="AD1" s="171" t="s">
        <v>142</v>
      </c>
      <c r="AE1" s="171" t="s">
        <v>142</v>
      </c>
      <c r="AG1" s="171" t="s">
        <v>143</v>
      </c>
      <c r="AH1" s="171" t="s">
        <v>143</v>
      </c>
      <c r="AI1" s="171" t="s">
        <v>143</v>
      </c>
      <c r="AJ1" s="171" t="s">
        <v>143</v>
      </c>
      <c r="AK1" s="171" t="s">
        <v>143</v>
      </c>
      <c r="AL1" s="171" t="s">
        <v>143</v>
      </c>
      <c r="AM1" s="171" t="s">
        <v>143</v>
      </c>
      <c r="AN1" s="171" t="s">
        <v>143</v>
      </c>
      <c r="AO1" s="171" t="s">
        <v>143</v>
      </c>
      <c r="AP1" s="171" t="s">
        <v>143</v>
      </c>
      <c r="AQ1" s="171" t="s">
        <v>143</v>
      </c>
      <c r="AR1" s="171" t="s">
        <v>143</v>
      </c>
      <c r="AS1" s="171" t="s">
        <v>143</v>
      </c>
      <c r="AT1" s="171" t="s">
        <v>143</v>
      </c>
      <c r="AU1" s="171" t="s">
        <v>143</v>
      </c>
    </row>
    <row r="2" spans="1:50" s="185" customFormat="1" ht="12" thickBot="1">
      <c r="A2" s="185" t="s">
        <v>37</v>
      </c>
      <c r="C2" s="186" t="s">
        <v>188</v>
      </c>
      <c r="D2" s="186" t="s">
        <v>312</v>
      </c>
      <c r="E2" s="186" t="s">
        <v>191</v>
      </c>
      <c r="F2" s="186" t="s">
        <v>192</v>
      </c>
      <c r="G2" s="186" t="s">
        <v>193</v>
      </c>
      <c r="H2" s="186" t="s">
        <v>194</v>
      </c>
      <c r="I2" s="186" t="s">
        <v>195</v>
      </c>
      <c r="J2" s="186" t="s">
        <v>196</v>
      </c>
      <c r="K2" s="186" t="s">
        <v>197</v>
      </c>
      <c r="L2" s="186" t="s">
        <v>198</v>
      </c>
      <c r="M2" s="186" t="s">
        <v>199</v>
      </c>
      <c r="N2" s="186" t="s">
        <v>200</v>
      </c>
      <c r="O2" s="186" t="s">
        <v>38</v>
      </c>
      <c r="Q2" s="185" t="s">
        <v>37</v>
      </c>
      <c r="S2" s="186" t="s">
        <v>188</v>
      </c>
      <c r="T2" s="186" t="s">
        <v>312</v>
      </c>
      <c r="U2" s="186" t="s">
        <v>191</v>
      </c>
      <c r="V2" s="186" t="s">
        <v>192</v>
      </c>
      <c r="W2" s="186" t="s">
        <v>193</v>
      </c>
      <c r="X2" s="186" t="s">
        <v>194</v>
      </c>
      <c r="Y2" s="186" t="s">
        <v>195</v>
      </c>
      <c r="Z2" s="186" t="s">
        <v>196</v>
      </c>
      <c r="AA2" s="186" t="s">
        <v>197</v>
      </c>
      <c r="AB2" s="186" t="s">
        <v>198</v>
      </c>
      <c r="AC2" s="186" t="s">
        <v>199</v>
      </c>
      <c r="AD2" s="186" t="s">
        <v>200</v>
      </c>
      <c r="AE2" s="186" t="s">
        <v>38</v>
      </c>
      <c r="AG2" s="679" t="s">
        <v>37</v>
      </c>
      <c r="AH2" s="680"/>
      <c r="AI2" s="286" t="s">
        <v>188</v>
      </c>
      <c r="AJ2" s="287" t="s">
        <v>312</v>
      </c>
      <c r="AK2" s="287" t="s">
        <v>191</v>
      </c>
      <c r="AL2" s="287" t="s">
        <v>192</v>
      </c>
      <c r="AM2" s="287" t="s">
        <v>193</v>
      </c>
      <c r="AN2" s="287" t="s">
        <v>194</v>
      </c>
      <c r="AO2" s="287" t="s">
        <v>195</v>
      </c>
      <c r="AP2" s="287" t="s">
        <v>196</v>
      </c>
      <c r="AQ2" s="287" t="s">
        <v>197</v>
      </c>
      <c r="AR2" s="287" t="s">
        <v>198</v>
      </c>
      <c r="AS2" s="287" t="s">
        <v>199</v>
      </c>
      <c r="AT2" s="287" t="s">
        <v>200</v>
      </c>
      <c r="AU2" s="288" t="s">
        <v>38</v>
      </c>
      <c r="AV2" s="186" t="s">
        <v>255</v>
      </c>
      <c r="AW2" s="185" t="s">
        <v>256</v>
      </c>
      <c r="AX2" s="185" t="s">
        <v>257</v>
      </c>
    </row>
    <row r="3" spans="1:50">
      <c r="A3" s="65" t="s">
        <v>149</v>
      </c>
      <c r="B3" s="65" t="s">
        <v>260</v>
      </c>
      <c r="C3" s="224" t="e">
        <f>S3/AI3</f>
        <v>#DIV/0!</v>
      </c>
      <c r="D3" s="224" t="e">
        <f t="shared" ref="C3:O36" si="0">T3/AJ3</f>
        <v>#DIV/0!</v>
      </c>
      <c r="E3" s="224" t="e">
        <f t="shared" si="0"/>
        <v>#DIV/0!</v>
      </c>
      <c r="F3" s="224" t="e">
        <f t="shared" si="0"/>
        <v>#DIV/0!</v>
      </c>
      <c r="G3" s="224" t="e">
        <f t="shared" si="0"/>
        <v>#DIV/0!</v>
      </c>
      <c r="H3" s="224" t="e">
        <f t="shared" si="0"/>
        <v>#DIV/0!</v>
      </c>
      <c r="I3" s="224">
        <f t="shared" si="0"/>
        <v>0</v>
      </c>
      <c r="J3" s="224">
        <f t="shared" si="0"/>
        <v>0</v>
      </c>
      <c r="K3" s="224">
        <f t="shared" si="0"/>
        <v>0</v>
      </c>
      <c r="L3" s="224">
        <f t="shared" si="0"/>
        <v>0</v>
      </c>
      <c r="M3" s="224">
        <f t="shared" si="0"/>
        <v>0</v>
      </c>
      <c r="N3" s="224">
        <f t="shared" si="0"/>
        <v>0</v>
      </c>
      <c r="O3" s="228">
        <f>AE3/AU3</f>
        <v>0</v>
      </c>
      <c r="Q3" s="65" t="s">
        <v>149</v>
      </c>
      <c r="R3" s="65" t="s">
        <v>260</v>
      </c>
      <c r="S3" s="174">
        <v>0</v>
      </c>
      <c r="T3" s="174">
        <v>0</v>
      </c>
      <c r="U3" s="174">
        <v>0</v>
      </c>
      <c r="V3" s="174"/>
      <c r="W3" s="174"/>
      <c r="X3" s="174"/>
      <c r="Y3" s="174"/>
      <c r="Z3" s="174"/>
      <c r="AA3" s="174"/>
      <c r="AB3" s="174"/>
      <c r="AC3" s="174"/>
      <c r="AD3" s="174"/>
      <c r="AE3" s="69">
        <f>SUM(S3:AD3)</f>
        <v>0</v>
      </c>
      <c r="AG3" s="684" t="s">
        <v>149</v>
      </c>
      <c r="AH3" s="305" t="s">
        <v>260</v>
      </c>
      <c r="AI3" s="306">
        <f t="shared" ref="AI3:AT3" si="1">AI55*AI83</f>
        <v>0</v>
      </c>
      <c r="AJ3" s="307">
        <f t="shared" si="1"/>
        <v>0</v>
      </c>
      <c r="AK3" s="307">
        <f t="shared" si="1"/>
        <v>0</v>
      </c>
      <c r="AL3" s="307">
        <f t="shared" si="1"/>
        <v>0</v>
      </c>
      <c r="AM3" s="307">
        <f t="shared" si="1"/>
        <v>0</v>
      </c>
      <c r="AN3" s="307">
        <f t="shared" si="1"/>
        <v>0</v>
      </c>
      <c r="AO3" s="307">
        <f>AO55*AO83</f>
        <v>1995</v>
      </c>
      <c r="AP3" s="307">
        <f t="shared" si="1"/>
        <v>3420</v>
      </c>
      <c r="AQ3" s="307">
        <f t="shared" si="1"/>
        <v>5130</v>
      </c>
      <c r="AR3" s="307">
        <f t="shared" si="1"/>
        <v>6840</v>
      </c>
      <c r="AS3" s="307">
        <f t="shared" si="1"/>
        <v>8265</v>
      </c>
      <c r="AT3" s="307">
        <f t="shared" si="1"/>
        <v>10830</v>
      </c>
      <c r="AU3" s="308">
        <f>SUM(AI3:AT3)</f>
        <v>36480</v>
      </c>
      <c r="AV3" s="180"/>
    </row>
    <row r="4" spans="1:50">
      <c r="A4" s="175" t="s">
        <v>149</v>
      </c>
      <c r="B4" s="65" t="s">
        <v>24</v>
      </c>
      <c r="C4" s="224">
        <f>S4/AI4</f>
        <v>2.3407924822932351</v>
      </c>
      <c r="D4" s="224">
        <f t="shared" si="0"/>
        <v>0.37187691707099435</v>
      </c>
      <c r="E4" s="224">
        <f t="shared" si="0"/>
        <v>2.0883060993066009</v>
      </c>
      <c r="F4" s="224">
        <f t="shared" si="0"/>
        <v>0</v>
      </c>
      <c r="G4" s="224">
        <f t="shared" si="0"/>
        <v>0</v>
      </c>
      <c r="H4" s="224">
        <f t="shared" si="0"/>
        <v>0</v>
      </c>
      <c r="I4" s="224">
        <f t="shared" si="0"/>
        <v>0</v>
      </c>
      <c r="J4" s="224">
        <f t="shared" si="0"/>
        <v>0</v>
      </c>
      <c r="K4" s="224">
        <f t="shared" si="0"/>
        <v>0</v>
      </c>
      <c r="L4" s="224">
        <f t="shared" si="0"/>
        <v>0</v>
      </c>
      <c r="M4" s="224">
        <f t="shared" si="0"/>
        <v>0</v>
      </c>
      <c r="N4" s="224">
        <f t="shared" si="0"/>
        <v>0</v>
      </c>
      <c r="O4" s="228">
        <f t="shared" si="0"/>
        <v>6.2538224845184121E-2</v>
      </c>
      <c r="Q4" s="175" t="s">
        <v>149</v>
      </c>
      <c r="R4" s="65" t="s">
        <v>24</v>
      </c>
      <c r="S4" s="174">
        <v>167.89099999999999</v>
      </c>
      <c r="T4" s="174">
        <v>53.344999999999999</v>
      </c>
      <c r="U4" s="174">
        <v>449.34500000000003</v>
      </c>
      <c r="V4" s="174"/>
      <c r="W4" s="174"/>
      <c r="X4" s="174"/>
      <c r="Y4" s="174"/>
      <c r="Z4" s="174"/>
      <c r="AA4" s="174"/>
      <c r="AB4" s="174"/>
      <c r="AC4" s="174"/>
      <c r="AD4" s="174"/>
      <c r="AE4" s="69">
        <f t="shared" ref="AE4:AE46" si="2">SUM(S4:AD4)</f>
        <v>670.58100000000002</v>
      </c>
      <c r="AG4" s="685"/>
      <c r="AH4" s="309" t="s">
        <v>24</v>
      </c>
      <c r="AI4" s="310">
        <f>AI56*AI84</f>
        <v>71.724000000000004</v>
      </c>
      <c r="AJ4" s="311">
        <f t="shared" ref="AJ4:AT4" si="3">AJ56*AJ84</f>
        <v>143.44800000000001</v>
      </c>
      <c r="AK4" s="311">
        <f>AK56*AK84</f>
        <v>215.17200000000003</v>
      </c>
      <c r="AL4" s="311">
        <f t="shared" si="3"/>
        <v>251.03400000000002</v>
      </c>
      <c r="AM4" s="311">
        <f>AM56*AM84</f>
        <v>358.62</v>
      </c>
      <c r="AN4" s="311">
        <f t="shared" si="3"/>
        <v>609.654</v>
      </c>
      <c r="AO4" s="311">
        <f t="shared" si="3"/>
        <v>860.6880000000001</v>
      </c>
      <c r="AP4" s="311">
        <f t="shared" si="3"/>
        <v>1075.8600000000001</v>
      </c>
      <c r="AQ4" s="311">
        <f t="shared" si="3"/>
        <v>1362.7560000000001</v>
      </c>
      <c r="AR4" s="311">
        <f t="shared" si="3"/>
        <v>1577.9280000000001</v>
      </c>
      <c r="AS4" s="311">
        <f t="shared" si="3"/>
        <v>1864.8240000000001</v>
      </c>
      <c r="AT4" s="311">
        <f t="shared" si="3"/>
        <v>2331.0300000000002</v>
      </c>
      <c r="AU4" s="312">
        <f t="shared" ref="AU4:AU46" si="4">SUM(AI4:AT4)</f>
        <v>10722.738000000001</v>
      </c>
      <c r="AV4" s="180"/>
    </row>
    <row r="5" spans="1:50">
      <c r="A5" s="175" t="s">
        <v>149</v>
      </c>
      <c r="B5" s="65" t="s">
        <v>262</v>
      </c>
      <c r="C5" s="224" t="e">
        <f t="shared" ref="C5:C51" si="5">S5/AI5</f>
        <v>#DIV/0!</v>
      </c>
      <c r="D5" s="224" t="e">
        <f t="shared" si="0"/>
        <v>#DIV/0!</v>
      </c>
      <c r="E5" s="224">
        <f t="shared" si="0"/>
        <v>0.40153923372929562</v>
      </c>
      <c r="F5" s="224">
        <f t="shared" si="0"/>
        <v>0</v>
      </c>
      <c r="G5" s="224">
        <f t="shared" si="0"/>
        <v>0</v>
      </c>
      <c r="H5" s="224">
        <f t="shared" si="0"/>
        <v>0</v>
      </c>
      <c r="I5" s="224">
        <f t="shared" si="0"/>
        <v>0</v>
      </c>
      <c r="J5" s="224">
        <f t="shared" si="0"/>
        <v>0</v>
      </c>
      <c r="K5" s="224">
        <f t="shared" si="0"/>
        <v>0</v>
      </c>
      <c r="L5" s="224">
        <f t="shared" si="0"/>
        <v>0</v>
      </c>
      <c r="M5" s="224">
        <f t="shared" si="0"/>
        <v>0</v>
      </c>
      <c r="N5" s="224">
        <f t="shared" si="0"/>
        <v>0</v>
      </c>
      <c r="O5" s="228">
        <f t="shared" si="0"/>
        <v>1.6706073631075273E-3</v>
      </c>
      <c r="Q5" s="175" t="s">
        <v>149</v>
      </c>
      <c r="R5" s="65" t="s">
        <v>262</v>
      </c>
      <c r="S5" s="174">
        <v>8.6</v>
      </c>
      <c r="T5" s="174">
        <v>0</v>
      </c>
      <c r="U5" s="174">
        <v>14.4</v>
      </c>
      <c r="V5" s="174"/>
      <c r="W5" s="174"/>
      <c r="X5" s="174"/>
      <c r="Y5" s="174"/>
      <c r="Z5" s="174"/>
      <c r="AA5" s="174"/>
      <c r="AB5" s="174"/>
      <c r="AC5" s="174"/>
      <c r="AD5" s="174"/>
      <c r="AE5" s="69">
        <f t="shared" si="2"/>
        <v>23</v>
      </c>
      <c r="AG5" s="685"/>
      <c r="AH5" s="309" t="s">
        <v>262</v>
      </c>
      <c r="AI5" s="310">
        <f t="shared" ref="AI5:AT5" si="6">AI57*AI85</f>
        <v>0</v>
      </c>
      <c r="AJ5" s="311">
        <f t="shared" si="6"/>
        <v>0</v>
      </c>
      <c r="AK5" s="311">
        <f t="shared" si="6"/>
        <v>35.862000000000002</v>
      </c>
      <c r="AL5" s="311">
        <f>AL57*AL85</f>
        <v>35.862000000000002</v>
      </c>
      <c r="AM5" s="311">
        <f t="shared" si="6"/>
        <v>35.862000000000002</v>
      </c>
      <c r="AN5" s="311">
        <f t="shared" si="6"/>
        <v>35.862000000000002</v>
      </c>
      <c r="AO5" s="311">
        <f t="shared" si="6"/>
        <v>780</v>
      </c>
      <c r="AP5" s="311">
        <f t="shared" si="6"/>
        <v>1300</v>
      </c>
      <c r="AQ5" s="311">
        <f t="shared" si="6"/>
        <v>1924</v>
      </c>
      <c r="AR5" s="311">
        <f t="shared" si="6"/>
        <v>2548</v>
      </c>
      <c r="AS5" s="311">
        <f t="shared" si="6"/>
        <v>3068</v>
      </c>
      <c r="AT5" s="311">
        <f t="shared" si="6"/>
        <v>4004</v>
      </c>
      <c r="AU5" s="312">
        <f t="shared" si="4"/>
        <v>13767.448</v>
      </c>
      <c r="AV5" s="180"/>
    </row>
    <row r="6" spans="1:50" ht="12" thickBot="1">
      <c r="A6" s="175" t="s">
        <v>149</v>
      </c>
      <c r="B6" s="65" t="s">
        <v>26</v>
      </c>
      <c r="C6" s="224" t="e">
        <f t="shared" si="5"/>
        <v>#DIV/0!</v>
      </c>
      <c r="D6" s="224" t="e">
        <f t="shared" si="0"/>
        <v>#DIV/0!</v>
      </c>
      <c r="E6" s="224" t="e">
        <f t="shared" si="0"/>
        <v>#DIV/0!</v>
      </c>
      <c r="F6" s="224" t="e">
        <f t="shared" si="0"/>
        <v>#DIV/0!</v>
      </c>
      <c r="G6" s="224" t="e">
        <f t="shared" si="0"/>
        <v>#DIV/0!</v>
      </c>
      <c r="H6" s="224" t="e">
        <f t="shared" si="0"/>
        <v>#DIV/0!</v>
      </c>
      <c r="I6" s="224">
        <f t="shared" si="0"/>
        <v>0</v>
      </c>
      <c r="J6" s="224">
        <f t="shared" si="0"/>
        <v>0</v>
      </c>
      <c r="K6" s="224">
        <f t="shared" si="0"/>
        <v>0</v>
      </c>
      <c r="L6" s="224">
        <f t="shared" si="0"/>
        <v>0</v>
      </c>
      <c r="M6" s="224">
        <f t="shared" si="0"/>
        <v>0</v>
      </c>
      <c r="N6" s="224">
        <f t="shared" si="0"/>
        <v>0</v>
      </c>
      <c r="O6" s="228">
        <f t="shared" si="0"/>
        <v>0</v>
      </c>
      <c r="Q6" s="175" t="s">
        <v>149</v>
      </c>
      <c r="R6" s="65" t="s">
        <v>26</v>
      </c>
      <c r="S6" s="174">
        <v>0</v>
      </c>
      <c r="T6" s="174">
        <v>0</v>
      </c>
      <c r="U6" s="174">
        <v>0</v>
      </c>
      <c r="V6" s="174"/>
      <c r="W6" s="174"/>
      <c r="X6" s="174"/>
      <c r="Y6" s="174"/>
      <c r="Z6" s="174"/>
      <c r="AA6" s="174"/>
      <c r="AB6" s="174"/>
      <c r="AC6" s="174"/>
      <c r="AD6" s="174"/>
      <c r="AE6" s="69">
        <f t="shared" si="2"/>
        <v>0</v>
      </c>
      <c r="AG6" s="685"/>
      <c r="AH6" s="313" t="s">
        <v>26</v>
      </c>
      <c r="AI6" s="314">
        <f t="shared" ref="AI6:AT6" si="7">AI58*AI86</f>
        <v>0</v>
      </c>
      <c r="AJ6" s="315">
        <f t="shared" si="7"/>
        <v>0</v>
      </c>
      <c r="AK6" s="315">
        <f t="shared" si="7"/>
        <v>0</v>
      </c>
      <c r="AL6" s="315">
        <f t="shared" si="7"/>
        <v>0</v>
      </c>
      <c r="AM6" s="315">
        <f t="shared" si="7"/>
        <v>0</v>
      </c>
      <c r="AN6" s="315">
        <f t="shared" si="7"/>
        <v>0</v>
      </c>
      <c r="AO6" s="315">
        <f t="shared" si="7"/>
        <v>415.44749999999999</v>
      </c>
      <c r="AP6" s="315">
        <f t="shared" si="7"/>
        <v>692.41250000000002</v>
      </c>
      <c r="AQ6" s="315">
        <f t="shared" si="7"/>
        <v>1024.7705000000001</v>
      </c>
      <c r="AR6" s="315">
        <f t="shared" si="7"/>
        <v>1357.1285</v>
      </c>
      <c r="AS6" s="315">
        <f t="shared" si="7"/>
        <v>1634.0934999999999</v>
      </c>
      <c r="AT6" s="315">
        <f t="shared" si="7"/>
        <v>2132.6305000000002</v>
      </c>
      <c r="AU6" s="316">
        <f t="shared" si="4"/>
        <v>7256.4830000000002</v>
      </c>
      <c r="AV6" s="180"/>
    </row>
    <row r="7" spans="1:50">
      <c r="A7" s="176" t="s">
        <v>149</v>
      </c>
      <c r="B7" s="176" t="s">
        <v>162</v>
      </c>
      <c r="C7" s="226">
        <f t="shared" si="5"/>
        <v>2.4606965590318439</v>
      </c>
      <c r="D7" s="226">
        <f t="shared" si="0"/>
        <v>0.37187691707099435</v>
      </c>
      <c r="E7" s="226">
        <f t="shared" si="0"/>
        <v>1.8473394042241289</v>
      </c>
      <c r="F7" s="226">
        <f t="shared" si="0"/>
        <v>0</v>
      </c>
      <c r="G7" s="226">
        <f t="shared" si="0"/>
        <v>0</v>
      </c>
      <c r="H7" s="226">
        <f t="shared" si="0"/>
        <v>0</v>
      </c>
      <c r="I7" s="226">
        <f t="shared" si="0"/>
        <v>0</v>
      </c>
      <c r="J7" s="226">
        <f t="shared" si="0"/>
        <v>0</v>
      </c>
      <c r="K7" s="226">
        <f t="shared" si="0"/>
        <v>0</v>
      </c>
      <c r="L7" s="226">
        <f t="shared" si="0"/>
        <v>0</v>
      </c>
      <c r="M7" s="226">
        <f t="shared" si="0"/>
        <v>0</v>
      </c>
      <c r="N7" s="226">
        <f t="shared" si="0"/>
        <v>0</v>
      </c>
      <c r="O7" s="226">
        <f t="shared" si="0"/>
        <v>1.0165834125655469E-2</v>
      </c>
      <c r="Q7" s="176" t="s">
        <v>149</v>
      </c>
      <c r="R7" s="176" t="s">
        <v>162</v>
      </c>
      <c r="S7" s="177">
        <f>SUM(S3:S6)</f>
        <v>176.49099999999999</v>
      </c>
      <c r="T7" s="177">
        <f t="shared" ref="T7:AD7" si="8">SUM(T3:T6)</f>
        <v>53.344999999999999</v>
      </c>
      <c r="U7" s="177">
        <f>SUM(U3:U6)</f>
        <v>463.745</v>
      </c>
      <c r="V7" s="177">
        <f t="shared" si="8"/>
        <v>0</v>
      </c>
      <c r="W7" s="177">
        <f t="shared" si="8"/>
        <v>0</v>
      </c>
      <c r="X7" s="177">
        <f t="shared" si="8"/>
        <v>0</v>
      </c>
      <c r="Y7" s="177">
        <f t="shared" si="8"/>
        <v>0</v>
      </c>
      <c r="Z7" s="177">
        <f t="shared" si="8"/>
        <v>0</v>
      </c>
      <c r="AA7" s="177">
        <f t="shared" si="8"/>
        <v>0</v>
      </c>
      <c r="AB7" s="177">
        <f t="shared" si="8"/>
        <v>0</v>
      </c>
      <c r="AC7" s="177">
        <f t="shared" si="8"/>
        <v>0</v>
      </c>
      <c r="AD7" s="177">
        <f t="shared" si="8"/>
        <v>0</v>
      </c>
      <c r="AE7" s="177">
        <f t="shared" si="2"/>
        <v>693.58100000000002</v>
      </c>
      <c r="AG7" s="685"/>
      <c r="AH7" s="289" t="s">
        <v>143</v>
      </c>
      <c r="AI7" s="290">
        <f>SUM(AI3:AI6)</f>
        <v>71.724000000000004</v>
      </c>
      <c r="AJ7" s="291">
        <f t="shared" ref="AJ7:AT7" si="9">SUM(AJ3:AJ6)</f>
        <v>143.44800000000001</v>
      </c>
      <c r="AK7" s="291">
        <f>SUM(AK3:AK6)</f>
        <v>251.03400000000002</v>
      </c>
      <c r="AL7" s="291">
        <f t="shared" si="9"/>
        <v>286.89600000000002</v>
      </c>
      <c r="AM7" s="291">
        <f t="shared" si="9"/>
        <v>394.48200000000003</v>
      </c>
      <c r="AN7" s="291">
        <f t="shared" si="9"/>
        <v>645.51599999999996</v>
      </c>
      <c r="AO7" s="291">
        <f t="shared" si="9"/>
        <v>4051.1355000000003</v>
      </c>
      <c r="AP7" s="291">
        <f t="shared" si="9"/>
        <v>6488.2725000000009</v>
      </c>
      <c r="AQ7" s="291">
        <f t="shared" si="9"/>
        <v>9441.5265000000018</v>
      </c>
      <c r="AR7" s="291">
        <f t="shared" si="9"/>
        <v>12323.056500000001</v>
      </c>
      <c r="AS7" s="291">
        <f t="shared" si="9"/>
        <v>14831.9175</v>
      </c>
      <c r="AT7" s="291">
        <f t="shared" si="9"/>
        <v>19297.660499999998</v>
      </c>
      <c r="AU7" s="292">
        <f t="shared" si="4"/>
        <v>68226.668999999994</v>
      </c>
      <c r="AV7" s="180"/>
      <c r="AX7" s="219">
        <f>AU7/$AU$51</f>
        <v>0.20386113568273767</v>
      </c>
    </row>
    <row r="8" spans="1:50">
      <c r="A8" s="176"/>
      <c r="B8" s="17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Q8" s="176"/>
      <c r="R8" s="17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G8" s="685"/>
      <c r="AH8" s="101" t="s">
        <v>142</v>
      </c>
      <c r="AI8" s="255">
        <f>SUM($S$7:S7)</f>
        <v>176.49099999999999</v>
      </c>
      <c r="AJ8" s="248">
        <f>SUM($S$7:T7)</f>
        <v>229.83599999999998</v>
      </c>
      <c r="AK8" s="248">
        <f>SUM($S$7:U7)</f>
        <v>693.58100000000002</v>
      </c>
      <c r="AL8" s="248">
        <f t="shared" ref="AL8:AT8" si="10">V7</f>
        <v>0</v>
      </c>
      <c r="AM8" s="248">
        <f t="shared" si="10"/>
        <v>0</v>
      </c>
      <c r="AN8" s="248">
        <f t="shared" si="10"/>
        <v>0</v>
      </c>
      <c r="AO8" s="248">
        <f t="shared" si="10"/>
        <v>0</v>
      </c>
      <c r="AP8" s="248">
        <f t="shared" si="10"/>
        <v>0</v>
      </c>
      <c r="AQ8" s="248">
        <f t="shared" si="10"/>
        <v>0</v>
      </c>
      <c r="AR8" s="248">
        <f t="shared" si="10"/>
        <v>0</v>
      </c>
      <c r="AS8" s="248">
        <f t="shared" si="10"/>
        <v>0</v>
      </c>
      <c r="AT8" s="248">
        <f t="shared" si="10"/>
        <v>0</v>
      </c>
      <c r="AU8" s="251">
        <f>AE7</f>
        <v>693.58100000000002</v>
      </c>
      <c r="AV8" s="180"/>
      <c r="AX8" s="219"/>
    </row>
    <row r="9" spans="1:50">
      <c r="A9" s="176"/>
      <c r="B9" s="17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Q9" s="176"/>
      <c r="R9" s="176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G9" s="685"/>
      <c r="AH9" s="259" t="s">
        <v>146</v>
      </c>
      <c r="AI9" s="256">
        <f>AI8-AI7</f>
        <v>104.76699999999998</v>
      </c>
      <c r="AJ9" s="247">
        <f t="shared" ref="AJ9:AU9" si="11">AJ8-AJ7</f>
        <v>86.387999999999977</v>
      </c>
      <c r="AK9" s="247">
        <f t="shared" si="11"/>
        <v>442.54700000000003</v>
      </c>
      <c r="AL9" s="247"/>
      <c r="AM9" s="247"/>
      <c r="AN9" s="247"/>
      <c r="AO9" s="247"/>
      <c r="AP9" s="247"/>
      <c r="AQ9" s="247"/>
      <c r="AR9" s="247"/>
      <c r="AS9" s="247"/>
      <c r="AT9" s="247"/>
      <c r="AU9" s="252">
        <f t="shared" si="11"/>
        <v>-67533.087999999989</v>
      </c>
      <c r="AV9" s="180"/>
      <c r="AX9" s="219"/>
    </row>
    <row r="10" spans="1:50" ht="12" thickBot="1">
      <c r="A10" s="176"/>
      <c r="B10" s="17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Q10" s="176"/>
      <c r="R10" s="176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G10" s="686"/>
      <c r="AH10" s="103" t="s">
        <v>145</v>
      </c>
      <c r="AI10" s="257">
        <f>AI8/AI7</f>
        <v>2.4606965590318439</v>
      </c>
      <c r="AJ10" s="253">
        <f t="shared" ref="AJ10:AK10" si="12">AJ8/AJ7</f>
        <v>1.6022251965869163</v>
      </c>
      <c r="AK10" s="253">
        <f t="shared" si="12"/>
        <v>2.7628966594166524</v>
      </c>
      <c r="AL10" s="293"/>
      <c r="AM10" s="293"/>
      <c r="AN10" s="293"/>
      <c r="AO10" s="293"/>
      <c r="AP10" s="293"/>
      <c r="AQ10" s="293"/>
      <c r="AR10" s="293"/>
      <c r="AS10" s="293"/>
      <c r="AT10" s="293"/>
      <c r="AU10" s="294"/>
      <c r="AV10" s="180"/>
      <c r="AX10" s="219"/>
    </row>
    <row r="11" spans="1:50">
      <c r="A11" s="65" t="s">
        <v>150</v>
      </c>
      <c r="B11" s="65" t="s">
        <v>260</v>
      </c>
      <c r="C11" s="224" t="e">
        <f t="shared" si="5"/>
        <v>#DIV/0!</v>
      </c>
      <c r="D11" s="224" t="e">
        <f t="shared" si="0"/>
        <v>#DIV/0!</v>
      </c>
      <c r="E11" s="224" t="e">
        <f t="shared" si="0"/>
        <v>#DIV/0!</v>
      </c>
      <c r="F11" s="224" t="e">
        <f t="shared" si="0"/>
        <v>#DIV/0!</v>
      </c>
      <c r="G11" s="224" t="e">
        <f t="shared" si="0"/>
        <v>#DIV/0!</v>
      </c>
      <c r="H11" s="224" t="e">
        <f t="shared" si="0"/>
        <v>#DIV/0!</v>
      </c>
      <c r="I11" s="224">
        <f t="shared" si="0"/>
        <v>0</v>
      </c>
      <c r="J11" s="224">
        <f t="shared" si="0"/>
        <v>0</v>
      </c>
      <c r="K11" s="224">
        <f t="shared" si="0"/>
        <v>0</v>
      </c>
      <c r="L11" s="224">
        <f t="shared" si="0"/>
        <v>0</v>
      </c>
      <c r="M11" s="224">
        <f t="shared" si="0"/>
        <v>0</v>
      </c>
      <c r="N11" s="224">
        <f t="shared" si="0"/>
        <v>0</v>
      </c>
      <c r="O11" s="228">
        <f t="shared" si="0"/>
        <v>0</v>
      </c>
      <c r="Q11" s="65" t="s">
        <v>150</v>
      </c>
      <c r="R11" s="65" t="s">
        <v>260</v>
      </c>
      <c r="S11" s="174">
        <v>0</v>
      </c>
      <c r="T11" s="174">
        <v>0</v>
      </c>
      <c r="U11" s="174">
        <v>0</v>
      </c>
      <c r="V11" s="174"/>
      <c r="W11" s="174"/>
      <c r="X11" s="174"/>
      <c r="Y11" s="174"/>
      <c r="Z11" s="174"/>
      <c r="AA11" s="174"/>
      <c r="AB11" s="174"/>
      <c r="AC11" s="174"/>
      <c r="AD11" s="174"/>
      <c r="AE11" s="69">
        <f t="shared" si="2"/>
        <v>0</v>
      </c>
      <c r="AG11" s="681" t="s">
        <v>150</v>
      </c>
      <c r="AH11" s="317" t="s">
        <v>260</v>
      </c>
      <c r="AI11" s="318">
        <f t="shared" ref="AI11:AT14" si="13">AI60*AI88</f>
        <v>0</v>
      </c>
      <c r="AJ11" s="319">
        <f t="shared" si="13"/>
        <v>0</v>
      </c>
      <c r="AK11" s="319">
        <f t="shared" si="13"/>
        <v>0</v>
      </c>
      <c r="AL11" s="319">
        <f t="shared" si="13"/>
        <v>0</v>
      </c>
      <c r="AM11" s="319">
        <f t="shared" si="13"/>
        <v>0</v>
      </c>
      <c r="AN11" s="319">
        <f t="shared" si="13"/>
        <v>0</v>
      </c>
      <c r="AO11" s="319">
        <f t="shared" si="13"/>
        <v>420</v>
      </c>
      <c r="AP11" s="319">
        <f t="shared" si="13"/>
        <v>1260</v>
      </c>
      <c r="AQ11" s="319">
        <f t="shared" si="13"/>
        <v>2100</v>
      </c>
      <c r="AR11" s="319">
        <f t="shared" si="13"/>
        <v>2940</v>
      </c>
      <c r="AS11" s="319">
        <f t="shared" si="13"/>
        <v>3780</v>
      </c>
      <c r="AT11" s="319">
        <f t="shared" si="13"/>
        <v>4200</v>
      </c>
      <c r="AU11" s="320">
        <f t="shared" si="4"/>
        <v>14700</v>
      </c>
      <c r="AV11" s="180"/>
    </row>
    <row r="12" spans="1:50">
      <c r="A12" s="175" t="s">
        <v>150</v>
      </c>
      <c r="B12" s="65" t="s">
        <v>24</v>
      </c>
      <c r="C12" s="224" t="e">
        <f>S12/AI12</f>
        <v>#DIV/0!</v>
      </c>
      <c r="D12" s="224">
        <f>T12/AJ12</f>
        <v>0</v>
      </c>
      <c r="E12" s="224">
        <f>U12/AK12</f>
        <v>0.32852787537411926</v>
      </c>
      <c r="F12" s="224">
        <f t="shared" si="0"/>
        <v>0</v>
      </c>
      <c r="G12" s="224">
        <f t="shared" si="0"/>
        <v>0</v>
      </c>
      <c r="H12" s="224">
        <f t="shared" si="0"/>
        <v>0</v>
      </c>
      <c r="I12" s="224">
        <f t="shared" si="0"/>
        <v>0</v>
      </c>
      <c r="J12" s="224">
        <f t="shared" si="0"/>
        <v>0</v>
      </c>
      <c r="K12" s="224">
        <f t="shared" si="0"/>
        <v>0</v>
      </c>
      <c r="L12" s="224">
        <f t="shared" si="0"/>
        <v>0</v>
      </c>
      <c r="M12" s="224">
        <f t="shared" si="0"/>
        <v>0</v>
      </c>
      <c r="N12" s="224">
        <f t="shared" si="0"/>
        <v>0</v>
      </c>
      <c r="O12" s="228">
        <f t="shared" si="0"/>
        <v>1.1073973327217502E-2</v>
      </c>
      <c r="Q12" s="175" t="s">
        <v>150</v>
      </c>
      <c r="R12" s="65" t="s">
        <v>24</v>
      </c>
      <c r="S12" s="174">
        <v>0</v>
      </c>
      <c r="T12" s="174">
        <v>0</v>
      </c>
      <c r="U12" s="174">
        <v>35.344999999999999</v>
      </c>
      <c r="V12" s="174"/>
      <c r="W12" s="174"/>
      <c r="X12" s="174"/>
      <c r="Y12" s="174"/>
      <c r="Z12" s="174"/>
      <c r="AA12" s="174"/>
      <c r="AB12" s="174"/>
      <c r="AC12" s="174"/>
      <c r="AD12" s="174"/>
      <c r="AE12" s="69">
        <f t="shared" si="2"/>
        <v>35.344999999999999</v>
      </c>
      <c r="AG12" s="682"/>
      <c r="AH12" s="309" t="s">
        <v>24</v>
      </c>
      <c r="AI12" s="310">
        <f t="shared" si="13"/>
        <v>0</v>
      </c>
      <c r="AJ12" s="311">
        <f t="shared" si="13"/>
        <v>35.862000000000002</v>
      </c>
      <c r="AK12" s="311">
        <f>AK61*AK89</f>
        <v>107.58600000000001</v>
      </c>
      <c r="AL12" s="311">
        <f t="shared" si="13"/>
        <v>143.44800000000001</v>
      </c>
      <c r="AM12" s="311">
        <f t="shared" si="13"/>
        <v>179.31</v>
      </c>
      <c r="AN12" s="311">
        <f t="shared" si="13"/>
        <v>215.17200000000003</v>
      </c>
      <c r="AO12" s="311">
        <f t="shared" si="13"/>
        <v>251.03400000000002</v>
      </c>
      <c r="AP12" s="311">
        <f t="shared" si="13"/>
        <v>322.75800000000004</v>
      </c>
      <c r="AQ12" s="311">
        <f t="shared" si="13"/>
        <v>394.48200000000003</v>
      </c>
      <c r="AR12" s="311">
        <f t="shared" si="13"/>
        <v>466.20600000000002</v>
      </c>
      <c r="AS12" s="311">
        <f t="shared" si="13"/>
        <v>537.93000000000006</v>
      </c>
      <c r="AT12" s="311">
        <f t="shared" si="13"/>
        <v>537.93000000000006</v>
      </c>
      <c r="AU12" s="312">
        <f t="shared" si="4"/>
        <v>3191.7180000000008</v>
      </c>
      <c r="AV12" s="180"/>
    </row>
    <row r="13" spans="1:50">
      <c r="A13" s="175" t="s">
        <v>150</v>
      </c>
      <c r="B13" s="65" t="s">
        <v>262</v>
      </c>
      <c r="C13" s="224" t="e">
        <f t="shared" si="5"/>
        <v>#DIV/0!</v>
      </c>
      <c r="D13" s="224" t="e">
        <f>T13/AJ13</f>
        <v>#DIV/0!</v>
      </c>
      <c r="E13" s="224" t="e">
        <f t="shared" si="0"/>
        <v>#DIV/0!</v>
      </c>
      <c r="F13" s="224" t="e">
        <f t="shared" si="0"/>
        <v>#DIV/0!</v>
      </c>
      <c r="G13" s="224" t="e">
        <f t="shared" si="0"/>
        <v>#DIV/0!</v>
      </c>
      <c r="H13" s="224" t="e">
        <f t="shared" si="0"/>
        <v>#DIV/0!</v>
      </c>
      <c r="I13" s="224">
        <f t="shared" si="0"/>
        <v>0</v>
      </c>
      <c r="J13" s="224">
        <f t="shared" si="0"/>
        <v>0</v>
      </c>
      <c r="K13" s="224">
        <f t="shared" si="0"/>
        <v>0</v>
      </c>
      <c r="L13" s="224">
        <f t="shared" si="0"/>
        <v>0</v>
      </c>
      <c r="M13" s="224">
        <f t="shared" si="0"/>
        <v>0</v>
      </c>
      <c r="N13" s="224">
        <f t="shared" si="0"/>
        <v>0</v>
      </c>
      <c r="O13" s="228">
        <f t="shared" si="0"/>
        <v>0.13138861138861155</v>
      </c>
      <c r="Q13" s="175" t="s">
        <v>150</v>
      </c>
      <c r="R13" s="65" t="s">
        <v>262</v>
      </c>
      <c r="S13" s="174">
        <v>0</v>
      </c>
      <c r="T13" s="174">
        <v>239.12727272727301</v>
      </c>
      <c r="U13" s="174">
        <v>0</v>
      </c>
      <c r="V13" s="174"/>
      <c r="W13" s="174"/>
      <c r="X13" s="174"/>
      <c r="Y13" s="174"/>
      <c r="Z13" s="174"/>
      <c r="AA13" s="174"/>
      <c r="AB13" s="174"/>
      <c r="AC13" s="174"/>
      <c r="AD13" s="174"/>
      <c r="AE13" s="69">
        <f t="shared" si="2"/>
        <v>239.12727272727301</v>
      </c>
      <c r="AG13" s="682"/>
      <c r="AH13" s="309" t="s">
        <v>262</v>
      </c>
      <c r="AI13" s="310">
        <f t="shared" si="13"/>
        <v>0</v>
      </c>
      <c r="AJ13" s="311">
        <f t="shared" si="13"/>
        <v>0</v>
      </c>
      <c r="AK13" s="311">
        <f t="shared" si="13"/>
        <v>0</v>
      </c>
      <c r="AL13" s="311">
        <f t="shared" si="13"/>
        <v>0</v>
      </c>
      <c r="AM13" s="311">
        <f t="shared" si="13"/>
        <v>0</v>
      </c>
      <c r="AN13" s="311">
        <f t="shared" si="13"/>
        <v>0</v>
      </c>
      <c r="AO13" s="311">
        <f t="shared" si="13"/>
        <v>52</v>
      </c>
      <c r="AP13" s="311">
        <f t="shared" si="13"/>
        <v>156</v>
      </c>
      <c r="AQ13" s="311">
        <f t="shared" si="13"/>
        <v>260</v>
      </c>
      <c r="AR13" s="311">
        <f t="shared" si="13"/>
        <v>364</v>
      </c>
      <c r="AS13" s="311">
        <f t="shared" si="13"/>
        <v>468</v>
      </c>
      <c r="AT13" s="311">
        <f t="shared" si="13"/>
        <v>520</v>
      </c>
      <c r="AU13" s="312">
        <f t="shared" si="4"/>
        <v>1820</v>
      </c>
      <c r="AV13" s="180"/>
    </row>
    <row r="14" spans="1:50" ht="12" thickBot="1">
      <c r="A14" s="175" t="s">
        <v>150</v>
      </c>
      <c r="B14" s="65" t="s">
        <v>26</v>
      </c>
      <c r="C14" s="224" t="e">
        <f t="shared" si="5"/>
        <v>#DIV/0!</v>
      </c>
      <c r="D14" s="224" t="e">
        <f t="shared" si="0"/>
        <v>#DIV/0!</v>
      </c>
      <c r="E14" s="224" t="e">
        <f t="shared" si="0"/>
        <v>#DIV/0!</v>
      </c>
      <c r="F14" s="224" t="e">
        <f t="shared" si="0"/>
        <v>#DIV/0!</v>
      </c>
      <c r="G14" s="224" t="e">
        <f t="shared" si="0"/>
        <v>#DIV/0!</v>
      </c>
      <c r="H14" s="224" t="e">
        <f t="shared" si="0"/>
        <v>#DIV/0!</v>
      </c>
      <c r="I14" s="224">
        <f t="shared" si="0"/>
        <v>0</v>
      </c>
      <c r="J14" s="224">
        <f t="shared" si="0"/>
        <v>0</v>
      </c>
      <c r="K14" s="224">
        <f t="shared" si="0"/>
        <v>0</v>
      </c>
      <c r="L14" s="224">
        <f t="shared" si="0"/>
        <v>0</v>
      </c>
      <c r="M14" s="224">
        <f t="shared" si="0"/>
        <v>0</v>
      </c>
      <c r="N14" s="224">
        <f t="shared" si="0"/>
        <v>0</v>
      </c>
      <c r="O14" s="228">
        <f t="shared" si="0"/>
        <v>0</v>
      </c>
      <c r="Q14" s="175" t="s">
        <v>150</v>
      </c>
      <c r="R14" s="65" t="s">
        <v>26</v>
      </c>
      <c r="S14" s="174">
        <v>0</v>
      </c>
      <c r="T14" s="174">
        <v>0</v>
      </c>
      <c r="U14" s="174">
        <v>0</v>
      </c>
      <c r="V14" s="174"/>
      <c r="W14" s="174"/>
      <c r="X14" s="174"/>
      <c r="Y14" s="174"/>
      <c r="Z14" s="174"/>
      <c r="AA14" s="174"/>
      <c r="AB14" s="174"/>
      <c r="AC14" s="174"/>
      <c r="AD14" s="174"/>
      <c r="AE14" s="69">
        <f t="shared" si="2"/>
        <v>0</v>
      </c>
      <c r="AG14" s="682"/>
      <c r="AH14" s="313" t="s">
        <v>26</v>
      </c>
      <c r="AI14" s="314">
        <f t="shared" si="13"/>
        <v>0</v>
      </c>
      <c r="AJ14" s="315">
        <f t="shared" si="13"/>
        <v>0</v>
      </c>
      <c r="AK14" s="315">
        <f t="shared" si="13"/>
        <v>0</v>
      </c>
      <c r="AL14" s="315">
        <f t="shared" si="13"/>
        <v>0</v>
      </c>
      <c r="AM14" s="315">
        <f t="shared" si="13"/>
        <v>0</v>
      </c>
      <c r="AN14" s="315">
        <f t="shared" si="13"/>
        <v>0</v>
      </c>
      <c r="AO14" s="315">
        <f t="shared" si="13"/>
        <v>27.6965</v>
      </c>
      <c r="AP14" s="315">
        <f t="shared" si="13"/>
        <v>83.089500000000001</v>
      </c>
      <c r="AQ14" s="315">
        <f t="shared" si="13"/>
        <v>138.48250000000002</v>
      </c>
      <c r="AR14" s="315">
        <f t="shared" si="13"/>
        <v>193.87549999999999</v>
      </c>
      <c r="AS14" s="315">
        <f t="shared" si="13"/>
        <v>249.26850000000002</v>
      </c>
      <c r="AT14" s="315">
        <f t="shared" si="13"/>
        <v>276.96500000000003</v>
      </c>
      <c r="AU14" s="316">
        <f t="shared" si="4"/>
        <v>969.37750000000005</v>
      </c>
      <c r="AV14" s="180"/>
    </row>
    <row r="15" spans="1:50">
      <c r="A15" s="176" t="s">
        <v>150</v>
      </c>
      <c r="B15" s="176" t="s">
        <v>162</v>
      </c>
      <c r="C15" s="226" t="e">
        <f t="shared" si="5"/>
        <v>#DIV/0!</v>
      </c>
      <c r="D15" s="226">
        <f t="shared" si="0"/>
        <v>6.6679848510198259</v>
      </c>
      <c r="E15" s="226">
        <f t="shared" si="0"/>
        <v>0.32852787537411926</v>
      </c>
      <c r="F15" s="226">
        <f t="shared" si="0"/>
        <v>0</v>
      </c>
      <c r="G15" s="226">
        <f t="shared" si="0"/>
        <v>0</v>
      </c>
      <c r="H15" s="226">
        <f t="shared" si="0"/>
        <v>0</v>
      </c>
      <c r="I15" s="226">
        <f t="shared" si="0"/>
        <v>0</v>
      </c>
      <c r="J15" s="226">
        <f t="shared" si="0"/>
        <v>0</v>
      </c>
      <c r="K15" s="226">
        <f t="shared" si="0"/>
        <v>0</v>
      </c>
      <c r="L15" s="226">
        <f t="shared" si="0"/>
        <v>0</v>
      </c>
      <c r="M15" s="226">
        <f t="shared" si="0"/>
        <v>0</v>
      </c>
      <c r="N15" s="226">
        <f t="shared" si="0"/>
        <v>0</v>
      </c>
      <c r="O15" s="226">
        <f t="shared" si="0"/>
        <v>1.3271650562576481E-2</v>
      </c>
      <c r="Q15" s="176" t="s">
        <v>150</v>
      </c>
      <c r="R15" s="176" t="s">
        <v>162</v>
      </c>
      <c r="S15" s="177">
        <f>SUM(S11:S14)</f>
        <v>0</v>
      </c>
      <c r="T15" s="177">
        <f t="shared" ref="T15:AD15" si="14">SUM(T11:T14)</f>
        <v>239.12727272727301</v>
      </c>
      <c r="U15" s="177">
        <f t="shared" si="14"/>
        <v>35.344999999999999</v>
      </c>
      <c r="V15" s="177">
        <f t="shared" si="14"/>
        <v>0</v>
      </c>
      <c r="W15" s="177">
        <f t="shared" si="14"/>
        <v>0</v>
      </c>
      <c r="X15" s="177">
        <f t="shared" si="14"/>
        <v>0</v>
      </c>
      <c r="Y15" s="177">
        <f t="shared" si="14"/>
        <v>0</v>
      </c>
      <c r="Z15" s="177">
        <f t="shared" si="14"/>
        <v>0</v>
      </c>
      <c r="AA15" s="177">
        <f t="shared" si="14"/>
        <v>0</v>
      </c>
      <c r="AB15" s="177">
        <f t="shared" si="14"/>
        <v>0</v>
      </c>
      <c r="AC15" s="177">
        <f t="shared" si="14"/>
        <v>0</v>
      </c>
      <c r="AD15" s="177">
        <f t="shared" si="14"/>
        <v>0</v>
      </c>
      <c r="AE15" s="177">
        <f t="shared" si="2"/>
        <v>274.47227272727298</v>
      </c>
      <c r="AG15" s="682"/>
      <c r="AH15" s="258" t="s">
        <v>313</v>
      </c>
      <c r="AI15" s="254">
        <f>SUM(AI11:AI14)</f>
        <v>0</v>
      </c>
      <c r="AJ15" s="249">
        <f t="shared" ref="AJ15:AT15" si="15">SUM(AJ11:AJ14)</f>
        <v>35.862000000000002</v>
      </c>
      <c r="AK15" s="249">
        <f>SUM(AK11:AK14)</f>
        <v>107.58600000000001</v>
      </c>
      <c r="AL15" s="249">
        <f t="shared" si="15"/>
        <v>143.44800000000001</v>
      </c>
      <c r="AM15" s="249">
        <f t="shared" si="15"/>
        <v>179.31</v>
      </c>
      <c r="AN15" s="249">
        <f t="shared" si="15"/>
        <v>215.17200000000003</v>
      </c>
      <c r="AO15" s="249">
        <f t="shared" si="15"/>
        <v>750.73050000000001</v>
      </c>
      <c r="AP15" s="249">
        <f t="shared" si="15"/>
        <v>1821.8475000000001</v>
      </c>
      <c r="AQ15" s="249">
        <f t="shared" si="15"/>
        <v>2892.9645</v>
      </c>
      <c r="AR15" s="249">
        <f t="shared" si="15"/>
        <v>3964.0815000000002</v>
      </c>
      <c r="AS15" s="249">
        <f t="shared" si="15"/>
        <v>5035.1985000000004</v>
      </c>
      <c r="AT15" s="249">
        <f t="shared" si="15"/>
        <v>5534.8950000000004</v>
      </c>
      <c r="AU15" s="250">
        <f t="shared" si="4"/>
        <v>20681.095500000003</v>
      </c>
      <c r="AV15" s="180"/>
      <c r="AX15" s="219">
        <f>AU15/$AU$51</f>
        <v>6.1795067494694142E-2</v>
      </c>
    </row>
    <row r="16" spans="1:50">
      <c r="A16" s="176"/>
      <c r="B16" s="17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Q16" s="176"/>
      <c r="R16" s="176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G16" s="682"/>
      <c r="AH16" s="101" t="s">
        <v>314</v>
      </c>
      <c r="AI16" s="255">
        <f>SUM($S$15:S15)</f>
        <v>0</v>
      </c>
      <c r="AJ16" s="248">
        <f>SUM($S$15:T15)</f>
        <v>239.12727272727301</v>
      </c>
      <c r="AK16" s="248">
        <f>SUM($S$15:U15)</f>
        <v>274.47227272727298</v>
      </c>
      <c r="AL16" s="248">
        <f t="shared" ref="AL16:AT16" si="16">V15</f>
        <v>0</v>
      </c>
      <c r="AM16" s="248">
        <f t="shared" si="16"/>
        <v>0</v>
      </c>
      <c r="AN16" s="248">
        <f t="shared" si="16"/>
        <v>0</v>
      </c>
      <c r="AO16" s="248">
        <f t="shared" si="16"/>
        <v>0</v>
      </c>
      <c r="AP16" s="248">
        <f t="shared" si="16"/>
        <v>0</v>
      </c>
      <c r="AQ16" s="248">
        <f t="shared" si="16"/>
        <v>0</v>
      </c>
      <c r="AR16" s="248">
        <f t="shared" si="16"/>
        <v>0</v>
      </c>
      <c r="AS16" s="248">
        <f t="shared" si="16"/>
        <v>0</v>
      </c>
      <c r="AT16" s="248">
        <f t="shared" si="16"/>
        <v>0</v>
      </c>
      <c r="AU16" s="251">
        <f>AE15</f>
        <v>274.47227272727298</v>
      </c>
      <c r="AV16" s="180"/>
      <c r="AX16" s="219"/>
    </row>
    <row r="17" spans="1:50">
      <c r="A17" s="176"/>
      <c r="B17" s="17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Q17" s="176"/>
      <c r="R17" s="176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G17" s="682"/>
      <c r="AH17" s="259" t="s">
        <v>146</v>
      </c>
      <c r="AI17" s="256">
        <f>AI16-AI15</f>
        <v>0</v>
      </c>
      <c r="AJ17" s="247">
        <f t="shared" ref="AJ17:AK17" si="17">AJ16-AJ15</f>
        <v>203.26527272727301</v>
      </c>
      <c r="AK17" s="247">
        <f t="shared" si="17"/>
        <v>166.88627272727297</v>
      </c>
      <c r="AL17" s="247"/>
      <c r="AM17" s="247"/>
      <c r="AN17" s="247"/>
      <c r="AO17" s="247"/>
      <c r="AP17" s="247"/>
      <c r="AQ17" s="247"/>
      <c r="AR17" s="247"/>
      <c r="AS17" s="247"/>
      <c r="AT17" s="247"/>
      <c r="AU17" s="252">
        <f>AU16-AU15</f>
        <v>-20406.623227272728</v>
      </c>
      <c r="AV17" s="180"/>
      <c r="AX17" s="219"/>
    </row>
    <row r="18" spans="1:50" ht="12" thickBot="1">
      <c r="A18" s="176"/>
      <c r="B18" s="17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Q18" s="176"/>
      <c r="R18" s="176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G18" s="683"/>
      <c r="AH18" s="138" t="s">
        <v>145</v>
      </c>
      <c r="AI18" s="263" t="e">
        <f>AI16/AI15</f>
        <v>#DIV/0!</v>
      </c>
      <c r="AJ18" s="264">
        <f>AJ16/AJ15</f>
        <v>6.6679848510198259</v>
      </c>
      <c r="AK18" s="264">
        <f>AK16/AK15</f>
        <v>2.5511894923807277</v>
      </c>
      <c r="AL18" s="264"/>
      <c r="AM18" s="264"/>
      <c r="AN18" s="264"/>
      <c r="AO18" s="264"/>
      <c r="AP18" s="264"/>
      <c r="AQ18" s="264"/>
      <c r="AR18" s="264"/>
      <c r="AS18" s="264"/>
      <c r="AT18" s="264"/>
      <c r="AU18" s="265">
        <f>AU16/AU15</f>
        <v>1.3271650562576481E-2</v>
      </c>
      <c r="AV18" s="180"/>
      <c r="AX18" s="219"/>
    </row>
    <row r="19" spans="1:50">
      <c r="A19" s="65" t="s">
        <v>151</v>
      </c>
      <c r="B19" s="65" t="s">
        <v>260</v>
      </c>
      <c r="C19" s="224" t="e">
        <f t="shared" si="5"/>
        <v>#DIV/0!</v>
      </c>
      <c r="D19" s="224" t="e">
        <f t="shared" si="0"/>
        <v>#DIV/0!</v>
      </c>
      <c r="E19" s="224" t="e">
        <f t="shared" si="0"/>
        <v>#DIV/0!</v>
      </c>
      <c r="F19" s="224" t="e">
        <f t="shared" si="0"/>
        <v>#DIV/0!</v>
      </c>
      <c r="G19" s="224" t="e">
        <f t="shared" si="0"/>
        <v>#DIV/0!</v>
      </c>
      <c r="H19" s="224" t="e">
        <f t="shared" si="0"/>
        <v>#DIV/0!</v>
      </c>
      <c r="I19" s="224">
        <f t="shared" si="0"/>
        <v>0</v>
      </c>
      <c r="J19" s="224">
        <f t="shared" si="0"/>
        <v>0</v>
      </c>
      <c r="K19" s="224">
        <f t="shared" si="0"/>
        <v>0</v>
      </c>
      <c r="L19" s="224">
        <f t="shared" si="0"/>
        <v>0</v>
      </c>
      <c r="M19" s="224">
        <f t="shared" si="0"/>
        <v>0</v>
      </c>
      <c r="N19" s="224">
        <f t="shared" si="0"/>
        <v>0</v>
      </c>
      <c r="O19" s="228">
        <f t="shared" si="0"/>
        <v>0</v>
      </c>
      <c r="Q19" s="65" t="s">
        <v>151</v>
      </c>
      <c r="R19" s="65" t="s">
        <v>260</v>
      </c>
      <c r="S19" s="174">
        <v>0</v>
      </c>
      <c r="T19" s="174">
        <v>0</v>
      </c>
      <c r="U19" s="174">
        <v>0</v>
      </c>
      <c r="V19" s="174"/>
      <c r="W19" s="174"/>
      <c r="X19" s="174"/>
      <c r="Y19" s="174"/>
      <c r="Z19" s="174"/>
      <c r="AA19" s="174"/>
      <c r="AB19" s="174"/>
      <c r="AC19" s="174"/>
      <c r="AD19" s="174"/>
      <c r="AE19" s="69">
        <f t="shared" si="2"/>
        <v>0</v>
      </c>
      <c r="AG19" s="684" t="s">
        <v>151</v>
      </c>
      <c r="AH19" s="305" t="s">
        <v>260</v>
      </c>
      <c r="AI19" s="306">
        <f t="shared" ref="AI19:AT20" si="18">AI65*AI93</f>
        <v>0</v>
      </c>
      <c r="AJ19" s="307">
        <f t="shared" si="18"/>
        <v>0</v>
      </c>
      <c r="AK19" s="307">
        <f t="shared" si="18"/>
        <v>0</v>
      </c>
      <c r="AL19" s="307">
        <f t="shared" si="18"/>
        <v>0</v>
      </c>
      <c r="AM19" s="307">
        <f t="shared" si="18"/>
        <v>0</v>
      </c>
      <c r="AN19" s="307">
        <f t="shared" si="18"/>
        <v>0</v>
      </c>
      <c r="AO19" s="307">
        <f>AO65*AO93</f>
        <v>50</v>
      </c>
      <c r="AP19" s="307">
        <f t="shared" si="18"/>
        <v>110</v>
      </c>
      <c r="AQ19" s="307">
        <f t="shared" si="18"/>
        <v>170</v>
      </c>
      <c r="AR19" s="307">
        <f t="shared" si="18"/>
        <v>250</v>
      </c>
      <c r="AS19" s="307">
        <f t="shared" si="18"/>
        <v>330</v>
      </c>
      <c r="AT19" s="307">
        <f t="shared" si="18"/>
        <v>410</v>
      </c>
      <c r="AU19" s="308">
        <f t="shared" si="4"/>
        <v>1320</v>
      </c>
      <c r="AV19" s="180"/>
    </row>
    <row r="20" spans="1:50">
      <c r="A20" s="175" t="s">
        <v>151</v>
      </c>
      <c r="B20" s="65" t="s">
        <v>24</v>
      </c>
      <c r="C20" s="224" t="e">
        <f t="shared" si="5"/>
        <v>#DIV/0!</v>
      </c>
      <c r="D20" s="224" t="e">
        <f t="shared" si="0"/>
        <v>#DIV/0!</v>
      </c>
      <c r="E20" s="224" t="e">
        <f t="shared" si="0"/>
        <v>#DIV/0!</v>
      </c>
      <c r="F20" s="224" t="e">
        <f t="shared" si="0"/>
        <v>#DIV/0!</v>
      </c>
      <c r="G20" s="224" t="e">
        <f t="shared" si="0"/>
        <v>#DIV/0!</v>
      </c>
      <c r="H20" s="224" t="e">
        <f t="shared" si="0"/>
        <v>#DIV/0!</v>
      </c>
      <c r="I20" s="224" t="e">
        <f t="shared" si="0"/>
        <v>#DIV/0!</v>
      </c>
      <c r="J20" s="224" t="e">
        <f t="shared" si="0"/>
        <v>#DIV/0!</v>
      </c>
      <c r="K20" s="224" t="e">
        <f t="shared" si="0"/>
        <v>#DIV/0!</v>
      </c>
      <c r="L20" s="224" t="e">
        <f t="shared" si="0"/>
        <v>#DIV/0!</v>
      </c>
      <c r="M20" s="224" t="e">
        <f t="shared" si="0"/>
        <v>#DIV/0!</v>
      </c>
      <c r="N20" s="224" t="e">
        <f t="shared" si="0"/>
        <v>#DIV/0!</v>
      </c>
      <c r="O20" s="228" t="e">
        <f t="shared" si="0"/>
        <v>#DIV/0!</v>
      </c>
      <c r="Q20" s="175" t="s">
        <v>151</v>
      </c>
      <c r="R20" s="65" t="s">
        <v>24</v>
      </c>
      <c r="S20" s="174">
        <v>0</v>
      </c>
      <c r="T20" s="174">
        <v>0</v>
      </c>
      <c r="U20" s="174">
        <v>0</v>
      </c>
      <c r="V20" s="174"/>
      <c r="W20" s="174"/>
      <c r="X20" s="174"/>
      <c r="Y20" s="174"/>
      <c r="Z20" s="174"/>
      <c r="AA20" s="174"/>
      <c r="AB20" s="174"/>
      <c r="AC20" s="174"/>
      <c r="AD20" s="174"/>
      <c r="AE20" s="69">
        <f t="shared" si="2"/>
        <v>0</v>
      </c>
      <c r="AG20" s="685"/>
      <c r="AH20" s="309" t="s">
        <v>24</v>
      </c>
      <c r="AI20" s="310">
        <f>AI66*AI94</f>
        <v>0</v>
      </c>
      <c r="AJ20" s="311">
        <f t="shared" si="18"/>
        <v>0</v>
      </c>
      <c r="AK20" s="311">
        <f t="shared" si="18"/>
        <v>0</v>
      </c>
      <c r="AL20" s="311">
        <f t="shared" si="18"/>
        <v>0</v>
      </c>
      <c r="AM20" s="311">
        <f t="shared" si="18"/>
        <v>0</v>
      </c>
      <c r="AN20" s="311">
        <f t="shared" si="18"/>
        <v>0</v>
      </c>
      <c r="AO20" s="311">
        <f t="shared" si="18"/>
        <v>0</v>
      </c>
      <c r="AP20" s="311">
        <f t="shared" si="18"/>
        <v>0</v>
      </c>
      <c r="AQ20" s="311">
        <f t="shared" si="18"/>
        <v>0</v>
      </c>
      <c r="AR20" s="311">
        <f t="shared" si="18"/>
        <v>0</v>
      </c>
      <c r="AS20" s="311">
        <f t="shared" si="18"/>
        <v>0</v>
      </c>
      <c r="AT20" s="311">
        <f t="shared" si="18"/>
        <v>0</v>
      </c>
      <c r="AU20" s="312">
        <f t="shared" si="4"/>
        <v>0</v>
      </c>
      <c r="AV20" s="180"/>
    </row>
    <row r="21" spans="1:50">
      <c r="A21" s="175" t="s">
        <v>151</v>
      </c>
      <c r="B21" s="65" t="s">
        <v>262</v>
      </c>
      <c r="C21" s="224" t="e">
        <f t="shared" si="5"/>
        <v>#DIV/0!</v>
      </c>
      <c r="D21" s="224" t="e">
        <f t="shared" si="0"/>
        <v>#DIV/0!</v>
      </c>
      <c r="E21" s="224" t="e">
        <f t="shared" si="0"/>
        <v>#DIV/0!</v>
      </c>
      <c r="F21" s="224" t="e">
        <f t="shared" si="0"/>
        <v>#DIV/0!</v>
      </c>
      <c r="G21" s="224" t="e">
        <f t="shared" si="0"/>
        <v>#DIV/0!</v>
      </c>
      <c r="H21" s="224" t="e">
        <f t="shared" si="0"/>
        <v>#DIV/0!</v>
      </c>
      <c r="I21" s="224">
        <f t="shared" si="0"/>
        <v>0</v>
      </c>
      <c r="J21" s="224">
        <f t="shared" si="0"/>
        <v>0</v>
      </c>
      <c r="K21" s="224">
        <f t="shared" si="0"/>
        <v>0</v>
      </c>
      <c r="L21" s="224">
        <f t="shared" si="0"/>
        <v>0</v>
      </c>
      <c r="M21" s="224">
        <f t="shared" si="0"/>
        <v>0</v>
      </c>
      <c r="N21" s="224">
        <f t="shared" si="0"/>
        <v>0</v>
      </c>
      <c r="O21" s="228">
        <f t="shared" si="0"/>
        <v>0</v>
      </c>
      <c r="Q21" s="175" t="s">
        <v>151</v>
      </c>
      <c r="R21" s="65" t="s">
        <v>262</v>
      </c>
      <c r="S21" s="174">
        <v>0</v>
      </c>
      <c r="T21" s="174">
        <v>0</v>
      </c>
      <c r="U21" s="174">
        <v>0</v>
      </c>
      <c r="V21" s="174"/>
      <c r="W21" s="174"/>
      <c r="X21" s="174"/>
      <c r="Y21" s="174"/>
      <c r="Z21" s="174"/>
      <c r="AA21" s="174"/>
      <c r="AB21" s="174"/>
      <c r="AC21" s="174"/>
      <c r="AD21" s="174"/>
      <c r="AE21" s="69">
        <f t="shared" si="2"/>
        <v>0</v>
      </c>
      <c r="AG21" s="685"/>
      <c r="AH21" s="309" t="s">
        <v>262</v>
      </c>
      <c r="AI21" s="310">
        <f t="shared" ref="AI21:AT22" si="19">AI67*AI95</f>
        <v>0</v>
      </c>
      <c r="AJ21" s="311">
        <f t="shared" si="19"/>
        <v>0</v>
      </c>
      <c r="AK21" s="311">
        <f t="shared" si="19"/>
        <v>0</v>
      </c>
      <c r="AL21" s="311">
        <f t="shared" si="19"/>
        <v>0</v>
      </c>
      <c r="AM21" s="311">
        <f t="shared" si="19"/>
        <v>0</v>
      </c>
      <c r="AN21" s="311">
        <f t="shared" si="19"/>
        <v>0</v>
      </c>
      <c r="AO21" s="311">
        <f t="shared" si="19"/>
        <v>130</v>
      </c>
      <c r="AP21" s="311">
        <f t="shared" si="19"/>
        <v>286</v>
      </c>
      <c r="AQ21" s="311">
        <f t="shared" si="19"/>
        <v>442</v>
      </c>
      <c r="AR21" s="311">
        <f t="shared" si="19"/>
        <v>650</v>
      </c>
      <c r="AS21" s="311">
        <f t="shared" si="19"/>
        <v>858</v>
      </c>
      <c r="AT21" s="311">
        <f t="shared" si="19"/>
        <v>1066</v>
      </c>
      <c r="AU21" s="312">
        <f t="shared" si="4"/>
        <v>3432</v>
      </c>
      <c r="AV21" s="180"/>
    </row>
    <row r="22" spans="1:50" ht="12" thickBot="1">
      <c r="A22" s="175" t="s">
        <v>151</v>
      </c>
      <c r="B22" s="65" t="s">
        <v>26</v>
      </c>
      <c r="C22" s="224" t="e">
        <f t="shared" si="5"/>
        <v>#DIV/0!</v>
      </c>
      <c r="D22" s="224" t="e">
        <f t="shared" si="0"/>
        <v>#DIV/0!</v>
      </c>
      <c r="E22" s="224" t="e">
        <f t="shared" si="0"/>
        <v>#DIV/0!</v>
      </c>
      <c r="F22" s="224" t="e">
        <f t="shared" si="0"/>
        <v>#DIV/0!</v>
      </c>
      <c r="G22" s="224" t="e">
        <f t="shared" si="0"/>
        <v>#DIV/0!</v>
      </c>
      <c r="H22" s="224" t="e">
        <f t="shared" si="0"/>
        <v>#DIV/0!</v>
      </c>
      <c r="I22" s="224" t="e">
        <f t="shared" si="0"/>
        <v>#DIV/0!</v>
      </c>
      <c r="J22" s="224" t="e">
        <f t="shared" si="0"/>
        <v>#DIV/0!</v>
      </c>
      <c r="K22" s="224" t="e">
        <f t="shared" si="0"/>
        <v>#DIV/0!</v>
      </c>
      <c r="L22" s="224" t="e">
        <f t="shared" si="0"/>
        <v>#DIV/0!</v>
      </c>
      <c r="M22" s="224" t="e">
        <f t="shared" si="0"/>
        <v>#DIV/0!</v>
      </c>
      <c r="N22" s="224" t="e">
        <f t="shared" si="0"/>
        <v>#DIV/0!</v>
      </c>
      <c r="O22" s="228" t="e">
        <f t="shared" si="0"/>
        <v>#DIV/0!</v>
      </c>
      <c r="Q22" s="175" t="s">
        <v>151</v>
      </c>
      <c r="R22" s="65" t="s">
        <v>26</v>
      </c>
      <c r="S22" s="174">
        <v>0</v>
      </c>
      <c r="T22" s="174">
        <v>0</v>
      </c>
      <c r="U22" s="174">
        <v>0</v>
      </c>
      <c r="V22" s="174"/>
      <c r="W22" s="174"/>
      <c r="X22" s="174"/>
      <c r="Y22" s="174"/>
      <c r="Z22" s="174"/>
      <c r="AA22" s="174"/>
      <c r="AB22" s="174"/>
      <c r="AC22" s="174"/>
      <c r="AD22" s="174"/>
      <c r="AE22" s="69">
        <f t="shared" si="2"/>
        <v>0</v>
      </c>
      <c r="AG22" s="685"/>
      <c r="AH22" s="313" t="s">
        <v>26</v>
      </c>
      <c r="AI22" s="314">
        <f t="shared" si="19"/>
        <v>0</v>
      </c>
      <c r="AJ22" s="315">
        <f t="shared" si="19"/>
        <v>0</v>
      </c>
      <c r="AK22" s="315">
        <f t="shared" si="19"/>
        <v>0</v>
      </c>
      <c r="AL22" s="315">
        <f t="shared" si="19"/>
        <v>0</v>
      </c>
      <c r="AM22" s="315">
        <f t="shared" si="19"/>
        <v>0</v>
      </c>
      <c r="AN22" s="315">
        <f t="shared" si="19"/>
        <v>0</v>
      </c>
      <c r="AO22" s="315">
        <f t="shared" si="19"/>
        <v>0</v>
      </c>
      <c r="AP22" s="315">
        <f t="shared" si="19"/>
        <v>0</v>
      </c>
      <c r="AQ22" s="315">
        <f t="shared" si="19"/>
        <v>0</v>
      </c>
      <c r="AR22" s="315">
        <f t="shared" si="19"/>
        <v>0</v>
      </c>
      <c r="AS22" s="315">
        <f t="shared" si="19"/>
        <v>0</v>
      </c>
      <c r="AT22" s="315">
        <f t="shared" si="19"/>
        <v>0</v>
      </c>
      <c r="AU22" s="316">
        <f t="shared" si="4"/>
        <v>0</v>
      </c>
      <c r="AV22" s="180"/>
    </row>
    <row r="23" spans="1:50">
      <c r="A23" s="178" t="s">
        <v>151</v>
      </c>
      <c r="B23" s="178" t="s">
        <v>162</v>
      </c>
      <c r="C23" s="227" t="e">
        <f t="shared" si="5"/>
        <v>#DIV/0!</v>
      </c>
      <c r="D23" s="227" t="e">
        <f t="shared" si="0"/>
        <v>#DIV/0!</v>
      </c>
      <c r="E23" s="227" t="e">
        <f t="shared" si="0"/>
        <v>#DIV/0!</v>
      </c>
      <c r="F23" s="227" t="e">
        <f t="shared" si="0"/>
        <v>#DIV/0!</v>
      </c>
      <c r="G23" s="227" t="e">
        <f t="shared" si="0"/>
        <v>#DIV/0!</v>
      </c>
      <c r="H23" s="227" t="e">
        <f t="shared" si="0"/>
        <v>#DIV/0!</v>
      </c>
      <c r="I23" s="227">
        <f t="shared" si="0"/>
        <v>0</v>
      </c>
      <c r="J23" s="227">
        <f t="shared" si="0"/>
        <v>0</v>
      </c>
      <c r="K23" s="227">
        <f t="shared" si="0"/>
        <v>0</v>
      </c>
      <c r="L23" s="227">
        <f t="shared" si="0"/>
        <v>0</v>
      </c>
      <c r="M23" s="227">
        <f t="shared" si="0"/>
        <v>0</v>
      </c>
      <c r="N23" s="227">
        <f t="shared" si="0"/>
        <v>0</v>
      </c>
      <c r="O23" s="227">
        <f t="shared" si="0"/>
        <v>0</v>
      </c>
      <c r="Q23" s="178" t="s">
        <v>151</v>
      </c>
      <c r="R23" s="178" t="s">
        <v>162</v>
      </c>
      <c r="S23" s="179">
        <f>SUM(S19:S22)</f>
        <v>0</v>
      </c>
      <c r="T23" s="179">
        <f t="shared" ref="T23:AD23" si="20">SUM(T19:T22)</f>
        <v>0</v>
      </c>
      <c r="U23" s="179">
        <f t="shared" si="20"/>
        <v>0</v>
      </c>
      <c r="V23" s="179">
        <f t="shared" si="20"/>
        <v>0</v>
      </c>
      <c r="W23" s="179">
        <f t="shared" si="20"/>
        <v>0</v>
      </c>
      <c r="X23" s="179">
        <f t="shared" si="20"/>
        <v>0</v>
      </c>
      <c r="Y23" s="179">
        <f t="shared" si="20"/>
        <v>0</v>
      </c>
      <c r="Z23" s="179">
        <f t="shared" si="20"/>
        <v>0</v>
      </c>
      <c r="AA23" s="179">
        <f t="shared" si="20"/>
        <v>0</v>
      </c>
      <c r="AB23" s="179">
        <f t="shared" si="20"/>
        <v>0</v>
      </c>
      <c r="AC23" s="179">
        <f t="shared" si="20"/>
        <v>0</v>
      </c>
      <c r="AD23" s="179">
        <f t="shared" si="20"/>
        <v>0</v>
      </c>
      <c r="AE23" s="179">
        <f t="shared" si="2"/>
        <v>0</v>
      </c>
      <c r="AG23" s="685"/>
      <c r="AH23" s="268" t="s">
        <v>143</v>
      </c>
      <c r="AI23" s="273">
        <f>SUM(AI19:AI22)</f>
        <v>0</v>
      </c>
      <c r="AJ23" s="274">
        <f t="shared" ref="AJ23:AT23" si="21">SUM(AJ19:AJ22)</f>
        <v>0</v>
      </c>
      <c r="AK23" s="274">
        <f t="shared" si="21"/>
        <v>0</v>
      </c>
      <c r="AL23" s="274">
        <f t="shared" si="21"/>
        <v>0</v>
      </c>
      <c r="AM23" s="274">
        <f t="shared" si="21"/>
        <v>0</v>
      </c>
      <c r="AN23" s="274">
        <f>SUM(AN19:AN22)</f>
        <v>0</v>
      </c>
      <c r="AO23" s="274">
        <f t="shared" si="21"/>
        <v>180</v>
      </c>
      <c r="AP23" s="274">
        <f t="shared" si="21"/>
        <v>396</v>
      </c>
      <c r="AQ23" s="274">
        <f t="shared" si="21"/>
        <v>612</v>
      </c>
      <c r="AR23" s="274">
        <f t="shared" si="21"/>
        <v>900</v>
      </c>
      <c r="AS23" s="274">
        <f t="shared" si="21"/>
        <v>1188</v>
      </c>
      <c r="AT23" s="274">
        <f t="shared" si="21"/>
        <v>1476</v>
      </c>
      <c r="AU23" s="275">
        <f t="shared" si="4"/>
        <v>4752</v>
      </c>
      <c r="AV23" s="180"/>
      <c r="AX23" s="219">
        <f>AU23/$AU$51</f>
        <v>1.4198965462675153E-2</v>
      </c>
    </row>
    <row r="24" spans="1:50">
      <c r="A24" s="176"/>
      <c r="B24" s="17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Q24" s="176"/>
      <c r="R24" s="176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G24" s="685"/>
      <c r="AH24" s="101" t="s">
        <v>142</v>
      </c>
      <c r="AI24" s="295">
        <f>SUM($S$23:S23)</f>
        <v>0</v>
      </c>
      <c r="AJ24" s="248">
        <f>SUM($S$23:T23)</f>
        <v>0</v>
      </c>
      <c r="AK24" s="248">
        <f>SUM($S$23:U23)</f>
        <v>0</v>
      </c>
      <c r="AL24" s="248"/>
      <c r="AM24" s="248"/>
      <c r="AN24" s="248"/>
      <c r="AO24" s="248"/>
      <c r="AP24" s="248"/>
      <c r="AQ24" s="248"/>
      <c r="AR24" s="248"/>
      <c r="AS24" s="248"/>
      <c r="AT24" s="248"/>
      <c r="AU24" s="251"/>
      <c r="AV24" s="180"/>
      <c r="AX24" s="219"/>
    </row>
    <row r="25" spans="1:50">
      <c r="A25" s="176"/>
      <c r="B25" s="17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Q25" s="176"/>
      <c r="R25" s="176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G25" s="685"/>
      <c r="AH25" s="259" t="s">
        <v>146</v>
      </c>
      <c r="AI25" s="276">
        <f>AI24-AI23</f>
        <v>0</v>
      </c>
      <c r="AJ25" s="247">
        <f t="shared" ref="AJ25" si="22">AJ24-AJ23</f>
        <v>0</v>
      </c>
      <c r="AK25" s="247">
        <f>AK24-AK23</f>
        <v>0</v>
      </c>
      <c r="AL25" s="247"/>
      <c r="AM25" s="247"/>
      <c r="AN25" s="247"/>
      <c r="AO25" s="247"/>
      <c r="AP25" s="247"/>
      <c r="AQ25" s="247"/>
      <c r="AR25" s="247"/>
      <c r="AS25" s="247"/>
      <c r="AT25" s="247"/>
      <c r="AU25" s="252"/>
      <c r="AV25" s="180"/>
      <c r="AX25" s="219"/>
    </row>
    <row r="26" spans="1:50" ht="12" thickBot="1">
      <c r="A26" s="176"/>
      <c r="B26" s="17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Q26" s="176"/>
      <c r="R26" s="176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G26" s="686"/>
      <c r="AH26" s="138" t="s">
        <v>145</v>
      </c>
      <c r="AI26" s="296" t="e">
        <f>AI24/AI23</f>
        <v>#DIV/0!</v>
      </c>
      <c r="AJ26" s="297" t="e">
        <f t="shared" ref="AJ26:AK26" si="23">AJ24/AJ23</f>
        <v>#DIV/0!</v>
      </c>
      <c r="AK26" s="297" t="e">
        <f t="shared" si="23"/>
        <v>#DIV/0!</v>
      </c>
      <c r="AL26" s="297"/>
      <c r="AM26" s="297"/>
      <c r="AN26" s="297"/>
      <c r="AO26" s="297"/>
      <c r="AP26" s="297"/>
      <c r="AQ26" s="297"/>
      <c r="AR26" s="297"/>
      <c r="AS26" s="297"/>
      <c r="AT26" s="297"/>
      <c r="AU26" s="298"/>
      <c r="AV26" s="180"/>
      <c r="AX26" s="219"/>
    </row>
    <row r="27" spans="1:50">
      <c r="A27" s="65" t="s">
        <v>266</v>
      </c>
      <c r="B27" s="65" t="s">
        <v>260</v>
      </c>
      <c r="C27" s="224" t="e">
        <f t="shared" si="5"/>
        <v>#DIV/0!</v>
      </c>
      <c r="D27" s="224" t="e">
        <f t="shared" si="0"/>
        <v>#DIV/0!</v>
      </c>
      <c r="E27" s="224" t="e">
        <f t="shared" si="0"/>
        <v>#DIV/0!</v>
      </c>
      <c r="F27" s="224" t="e">
        <f t="shared" si="0"/>
        <v>#DIV/0!</v>
      </c>
      <c r="G27" s="224" t="e">
        <f t="shared" si="0"/>
        <v>#DIV/0!</v>
      </c>
      <c r="H27" s="224" t="e">
        <f t="shared" si="0"/>
        <v>#DIV/0!</v>
      </c>
      <c r="I27" s="224">
        <f t="shared" si="0"/>
        <v>0</v>
      </c>
      <c r="J27" s="224">
        <f t="shared" si="0"/>
        <v>0</v>
      </c>
      <c r="K27" s="224">
        <f t="shared" si="0"/>
        <v>0</v>
      </c>
      <c r="L27" s="224">
        <f t="shared" si="0"/>
        <v>0</v>
      </c>
      <c r="M27" s="224">
        <f t="shared" si="0"/>
        <v>0</v>
      </c>
      <c r="N27" s="224">
        <f t="shared" si="0"/>
        <v>0</v>
      </c>
      <c r="O27" s="228">
        <f t="shared" si="0"/>
        <v>0</v>
      </c>
      <c r="Q27" s="65" t="s">
        <v>266</v>
      </c>
      <c r="R27" s="65" t="s">
        <v>260</v>
      </c>
      <c r="S27" s="174">
        <v>0</v>
      </c>
      <c r="T27" s="174">
        <v>0</v>
      </c>
      <c r="U27" s="174">
        <v>0</v>
      </c>
      <c r="V27" s="174"/>
      <c r="W27" s="174"/>
      <c r="X27" s="174"/>
      <c r="Y27" s="174"/>
      <c r="Z27" s="174"/>
      <c r="AA27" s="174"/>
      <c r="AB27" s="174"/>
      <c r="AC27" s="174"/>
      <c r="AD27" s="174"/>
      <c r="AE27" s="69">
        <f t="shared" si="2"/>
        <v>0</v>
      </c>
      <c r="AG27" s="684" t="s">
        <v>266</v>
      </c>
      <c r="AH27" s="321" t="s">
        <v>260</v>
      </c>
      <c r="AI27" s="307">
        <f t="shared" ref="AI27:AT29" si="24">AI70*AI98</f>
        <v>0</v>
      </c>
      <c r="AJ27" s="307">
        <f t="shared" si="24"/>
        <v>0</v>
      </c>
      <c r="AK27" s="307">
        <f t="shared" si="24"/>
        <v>0</v>
      </c>
      <c r="AL27" s="307">
        <f t="shared" si="24"/>
        <v>0</v>
      </c>
      <c r="AM27" s="307">
        <f t="shared" si="24"/>
        <v>0</v>
      </c>
      <c r="AN27" s="307">
        <f t="shared" si="24"/>
        <v>0</v>
      </c>
      <c r="AO27" s="307">
        <f t="shared" si="24"/>
        <v>200</v>
      </c>
      <c r="AP27" s="307">
        <f t="shared" si="24"/>
        <v>600</v>
      </c>
      <c r="AQ27" s="307">
        <f t="shared" si="24"/>
        <v>1000</v>
      </c>
      <c r="AR27" s="307">
        <f t="shared" si="24"/>
        <v>1600</v>
      </c>
      <c r="AS27" s="307">
        <f t="shared" si="24"/>
        <v>2000</v>
      </c>
      <c r="AT27" s="307">
        <f t="shared" si="24"/>
        <v>2000</v>
      </c>
      <c r="AU27" s="308">
        <f t="shared" si="4"/>
        <v>7400</v>
      </c>
      <c r="AV27" s="180"/>
    </row>
    <row r="28" spans="1:50">
      <c r="A28" s="175" t="s">
        <v>266</v>
      </c>
      <c r="B28" s="65" t="s">
        <v>267</v>
      </c>
      <c r="C28" s="224" t="e">
        <f t="shared" si="5"/>
        <v>#DIV/0!</v>
      </c>
      <c r="D28" s="224" t="e">
        <f t="shared" si="0"/>
        <v>#DIV/0!</v>
      </c>
      <c r="E28" s="224" t="e">
        <f t="shared" si="0"/>
        <v>#DIV/0!</v>
      </c>
      <c r="F28" s="224" t="e">
        <f t="shared" si="0"/>
        <v>#DIV/0!</v>
      </c>
      <c r="G28" s="224" t="e">
        <f t="shared" si="0"/>
        <v>#DIV/0!</v>
      </c>
      <c r="H28" s="224" t="e">
        <f t="shared" si="0"/>
        <v>#DIV/0!</v>
      </c>
      <c r="I28" s="224" t="e">
        <f t="shared" si="0"/>
        <v>#DIV/0!</v>
      </c>
      <c r="J28" s="224">
        <f t="shared" si="0"/>
        <v>0</v>
      </c>
      <c r="K28" s="224" t="e">
        <f t="shared" si="0"/>
        <v>#DIV/0!</v>
      </c>
      <c r="L28" s="224">
        <f t="shared" si="0"/>
        <v>0</v>
      </c>
      <c r="M28" s="224" t="e">
        <f t="shared" si="0"/>
        <v>#DIV/0!</v>
      </c>
      <c r="N28" s="224" t="e">
        <f t="shared" si="0"/>
        <v>#DIV/0!</v>
      </c>
      <c r="O28" s="228">
        <f t="shared" si="0"/>
        <v>0</v>
      </c>
      <c r="Q28" s="175" t="s">
        <v>266</v>
      </c>
      <c r="R28" s="65" t="s">
        <v>267</v>
      </c>
      <c r="S28" s="174">
        <v>0</v>
      </c>
      <c r="T28" s="174">
        <v>0</v>
      </c>
      <c r="U28" s="174">
        <v>0</v>
      </c>
      <c r="V28" s="174"/>
      <c r="W28" s="174"/>
      <c r="X28" s="174"/>
      <c r="Y28" s="174"/>
      <c r="Z28" s="174"/>
      <c r="AA28" s="174"/>
      <c r="AB28" s="174"/>
      <c r="AC28" s="174"/>
      <c r="AD28" s="174"/>
      <c r="AE28" s="69">
        <f t="shared" si="2"/>
        <v>0</v>
      </c>
      <c r="AG28" s="685"/>
      <c r="AH28" s="322" t="s">
        <v>267</v>
      </c>
      <c r="AI28" s="311">
        <f t="shared" si="24"/>
        <v>0</v>
      </c>
      <c r="AJ28" s="311">
        <f t="shared" si="24"/>
        <v>0</v>
      </c>
      <c r="AK28" s="311">
        <f t="shared" si="24"/>
        <v>0</v>
      </c>
      <c r="AL28" s="311">
        <f t="shared" si="24"/>
        <v>0</v>
      </c>
      <c r="AM28" s="311">
        <f t="shared" si="24"/>
        <v>0</v>
      </c>
      <c r="AN28" s="311">
        <f t="shared" si="24"/>
        <v>0</v>
      </c>
      <c r="AO28" s="311">
        <f t="shared" si="24"/>
        <v>0</v>
      </c>
      <c r="AP28" s="311">
        <f t="shared" si="24"/>
        <v>500</v>
      </c>
      <c r="AQ28" s="311">
        <f t="shared" si="24"/>
        <v>0</v>
      </c>
      <c r="AR28" s="311">
        <f t="shared" si="24"/>
        <v>500</v>
      </c>
      <c r="AS28" s="311">
        <f t="shared" si="24"/>
        <v>0</v>
      </c>
      <c r="AT28" s="311">
        <f t="shared" si="24"/>
        <v>0</v>
      </c>
      <c r="AU28" s="312">
        <f t="shared" si="4"/>
        <v>1000</v>
      </c>
      <c r="AV28" s="180"/>
    </row>
    <row r="29" spans="1:50" ht="12" thickBot="1">
      <c r="A29" s="175" t="s">
        <v>266</v>
      </c>
      <c r="B29" s="65" t="s">
        <v>268</v>
      </c>
      <c r="C29" s="224" t="e">
        <f t="shared" si="5"/>
        <v>#DIV/0!</v>
      </c>
      <c r="D29" s="224" t="e">
        <f t="shared" si="0"/>
        <v>#DIV/0!</v>
      </c>
      <c r="E29" s="224" t="e">
        <f t="shared" si="0"/>
        <v>#DIV/0!</v>
      </c>
      <c r="F29" s="224" t="e">
        <f t="shared" si="0"/>
        <v>#DIV/0!</v>
      </c>
      <c r="G29" s="224" t="e">
        <f t="shared" si="0"/>
        <v>#DIV/0!</v>
      </c>
      <c r="H29" s="224" t="e">
        <f t="shared" si="0"/>
        <v>#DIV/0!</v>
      </c>
      <c r="I29" s="224" t="e">
        <f t="shared" si="0"/>
        <v>#DIV/0!</v>
      </c>
      <c r="J29" s="224">
        <f t="shared" si="0"/>
        <v>0</v>
      </c>
      <c r="K29" s="224" t="e">
        <f t="shared" si="0"/>
        <v>#DIV/0!</v>
      </c>
      <c r="L29" s="224">
        <f t="shared" si="0"/>
        <v>0</v>
      </c>
      <c r="M29" s="224" t="e">
        <f t="shared" si="0"/>
        <v>#DIV/0!</v>
      </c>
      <c r="N29" s="224" t="e">
        <f t="shared" si="0"/>
        <v>#DIV/0!</v>
      </c>
      <c r="O29" s="228">
        <f t="shared" si="0"/>
        <v>0</v>
      </c>
      <c r="Q29" s="175" t="s">
        <v>266</v>
      </c>
      <c r="R29" s="65" t="s">
        <v>268</v>
      </c>
      <c r="S29" s="174">
        <v>0</v>
      </c>
      <c r="T29" s="174">
        <v>0</v>
      </c>
      <c r="U29" s="174">
        <v>0</v>
      </c>
      <c r="V29" s="174"/>
      <c r="W29" s="174"/>
      <c r="X29" s="174"/>
      <c r="Y29" s="174"/>
      <c r="Z29" s="174"/>
      <c r="AA29" s="174"/>
      <c r="AB29" s="174"/>
      <c r="AC29" s="174"/>
      <c r="AD29" s="174"/>
      <c r="AE29" s="69">
        <f t="shared" si="2"/>
        <v>0</v>
      </c>
      <c r="AG29" s="685"/>
      <c r="AH29" s="323" t="s">
        <v>268</v>
      </c>
      <c r="AI29" s="315">
        <f t="shared" si="24"/>
        <v>0</v>
      </c>
      <c r="AJ29" s="315">
        <f t="shared" si="24"/>
        <v>0</v>
      </c>
      <c r="AK29" s="315">
        <f t="shared" si="24"/>
        <v>0</v>
      </c>
      <c r="AL29" s="315">
        <f t="shared" si="24"/>
        <v>0</v>
      </c>
      <c r="AM29" s="315">
        <f t="shared" si="24"/>
        <v>0</v>
      </c>
      <c r="AN29" s="315">
        <f t="shared" si="24"/>
        <v>0</v>
      </c>
      <c r="AO29" s="315">
        <f t="shared" si="24"/>
        <v>0</v>
      </c>
      <c r="AP29" s="315">
        <f t="shared" si="24"/>
        <v>800</v>
      </c>
      <c r="AQ29" s="315">
        <f t="shared" si="24"/>
        <v>0</v>
      </c>
      <c r="AR29" s="315">
        <f t="shared" si="24"/>
        <v>800</v>
      </c>
      <c r="AS29" s="315">
        <f t="shared" si="24"/>
        <v>0</v>
      </c>
      <c r="AT29" s="315">
        <f t="shared" si="24"/>
        <v>0</v>
      </c>
      <c r="AU29" s="316">
        <f t="shared" si="4"/>
        <v>1600</v>
      </c>
      <c r="AV29" s="180"/>
    </row>
    <row r="30" spans="1:50">
      <c r="A30" s="178" t="s">
        <v>266</v>
      </c>
      <c r="B30" s="178" t="s">
        <v>162</v>
      </c>
      <c r="C30" s="227" t="e">
        <f t="shared" si="5"/>
        <v>#DIV/0!</v>
      </c>
      <c r="D30" s="227" t="e">
        <f t="shared" si="0"/>
        <v>#DIV/0!</v>
      </c>
      <c r="E30" s="227" t="e">
        <f t="shared" si="0"/>
        <v>#DIV/0!</v>
      </c>
      <c r="F30" s="227" t="e">
        <f t="shared" si="0"/>
        <v>#DIV/0!</v>
      </c>
      <c r="G30" s="227" t="e">
        <f t="shared" si="0"/>
        <v>#DIV/0!</v>
      </c>
      <c r="H30" s="227" t="e">
        <f t="shared" si="0"/>
        <v>#DIV/0!</v>
      </c>
      <c r="I30" s="227">
        <f t="shared" si="0"/>
        <v>0</v>
      </c>
      <c r="J30" s="227">
        <f t="shared" si="0"/>
        <v>0</v>
      </c>
      <c r="K30" s="227">
        <f t="shared" si="0"/>
        <v>0</v>
      </c>
      <c r="L30" s="227">
        <f t="shared" si="0"/>
        <v>0</v>
      </c>
      <c r="M30" s="227">
        <f t="shared" si="0"/>
        <v>0</v>
      </c>
      <c r="N30" s="227">
        <f t="shared" si="0"/>
        <v>0</v>
      </c>
      <c r="O30" s="227">
        <f t="shared" si="0"/>
        <v>0</v>
      </c>
      <c r="Q30" s="178" t="s">
        <v>266</v>
      </c>
      <c r="R30" s="178" t="s">
        <v>162</v>
      </c>
      <c r="S30" s="179">
        <f>SUM(S27:S29)</f>
        <v>0</v>
      </c>
      <c r="T30" s="179">
        <f t="shared" ref="T30:AD30" si="25">SUM(T27:T29)</f>
        <v>0</v>
      </c>
      <c r="U30" s="179">
        <f t="shared" si="25"/>
        <v>0</v>
      </c>
      <c r="V30" s="179">
        <f t="shared" si="25"/>
        <v>0</v>
      </c>
      <c r="W30" s="179">
        <f t="shared" si="25"/>
        <v>0</v>
      </c>
      <c r="X30" s="179">
        <f t="shared" si="25"/>
        <v>0</v>
      </c>
      <c r="Y30" s="179">
        <f t="shared" si="25"/>
        <v>0</v>
      </c>
      <c r="Z30" s="179">
        <f t="shared" si="25"/>
        <v>0</v>
      </c>
      <c r="AA30" s="179">
        <f t="shared" si="25"/>
        <v>0</v>
      </c>
      <c r="AB30" s="179">
        <f t="shared" si="25"/>
        <v>0</v>
      </c>
      <c r="AC30" s="179">
        <f t="shared" si="25"/>
        <v>0</v>
      </c>
      <c r="AD30" s="179">
        <f t="shared" si="25"/>
        <v>0</v>
      </c>
      <c r="AE30" s="179">
        <f t="shared" si="2"/>
        <v>0</v>
      </c>
      <c r="AG30" s="685"/>
      <c r="AH30" s="278" t="s">
        <v>143</v>
      </c>
      <c r="AI30" s="269">
        <f>SUM(AI27:AI29)</f>
        <v>0</v>
      </c>
      <c r="AJ30" s="269">
        <f t="shared" ref="AJ30:AT30" si="26">SUM(AJ27:AJ29)</f>
        <v>0</v>
      </c>
      <c r="AK30" s="269">
        <f t="shared" si="26"/>
        <v>0</v>
      </c>
      <c r="AL30" s="269">
        <f t="shared" si="26"/>
        <v>0</v>
      </c>
      <c r="AM30" s="269">
        <f t="shared" si="26"/>
        <v>0</v>
      </c>
      <c r="AN30" s="269">
        <f t="shared" si="26"/>
        <v>0</v>
      </c>
      <c r="AO30" s="269">
        <f t="shared" si="26"/>
        <v>200</v>
      </c>
      <c r="AP30" s="269">
        <f t="shared" si="26"/>
        <v>1900</v>
      </c>
      <c r="AQ30" s="269">
        <f t="shared" si="26"/>
        <v>1000</v>
      </c>
      <c r="AR30" s="269">
        <f t="shared" si="26"/>
        <v>2900</v>
      </c>
      <c r="AS30" s="269">
        <f t="shared" si="26"/>
        <v>2000</v>
      </c>
      <c r="AT30" s="269">
        <f t="shared" si="26"/>
        <v>2000</v>
      </c>
      <c r="AU30" s="279">
        <f t="shared" si="4"/>
        <v>10000</v>
      </c>
      <c r="AV30" s="180"/>
      <c r="AX30" s="219">
        <f>AU30/$AU$51</f>
        <v>2.9879977825494848E-2</v>
      </c>
    </row>
    <row r="31" spans="1:50">
      <c r="A31" s="176"/>
      <c r="B31" s="17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Q31" s="176"/>
      <c r="R31" s="176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G31" s="685"/>
      <c r="AH31" s="153" t="s">
        <v>142</v>
      </c>
      <c r="AI31" s="248">
        <f>SUM($S$30:S30)</f>
        <v>0</v>
      </c>
      <c r="AJ31" s="248">
        <f>SUM($S$30:T30)</f>
        <v>0</v>
      </c>
      <c r="AK31" s="248">
        <f>SUM($S$30:U30)</f>
        <v>0</v>
      </c>
      <c r="AL31" s="248"/>
      <c r="AM31" s="248"/>
      <c r="AN31" s="248"/>
      <c r="AO31" s="248"/>
      <c r="AP31" s="248"/>
      <c r="AQ31" s="248"/>
      <c r="AR31" s="248"/>
      <c r="AS31" s="248"/>
      <c r="AT31" s="248"/>
      <c r="AU31" s="251"/>
      <c r="AV31" s="180"/>
      <c r="AX31" s="219"/>
    </row>
    <row r="32" spans="1:50">
      <c r="A32" s="176"/>
      <c r="B32" s="17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Q32" s="176"/>
      <c r="R32" s="176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G32" s="685"/>
      <c r="AH32" s="277" t="s">
        <v>146</v>
      </c>
      <c r="AI32" s="247">
        <f>AI31-AI30</f>
        <v>0</v>
      </c>
      <c r="AJ32" s="247">
        <f t="shared" ref="AJ32:AK32" si="27">AJ31-AJ30</f>
        <v>0</v>
      </c>
      <c r="AK32" s="247">
        <f t="shared" si="27"/>
        <v>0</v>
      </c>
      <c r="AL32" s="247"/>
      <c r="AM32" s="247"/>
      <c r="AN32" s="247"/>
      <c r="AO32" s="247"/>
      <c r="AP32" s="247"/>
      <c r="AQ32" s="247"/>
      <c r="AR32" s="247"/>
      <c r="AS32" s="247"/>
      <c r="AT32" s="247"/>
      <c r="AU32" s="252"/>
      <c r="AV32" s="180"/>
      <c r="AX32" s="219"/>
    </row>
    <row r="33" spans="1:51" ht="12" thickBot="1">
      <c r="A33" s="176"/>
      <c r="B33" s="17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Q33" s="176"/>
      <c r="R33" s="176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G33" s="686"/>
      <c r="AH33" s="299" t="s">
        <v>145</v>
      </c>
      <c r="AI33" s="297" t="e">
        <f>AI31/AI30</f>
        <v>#DIV/0!</v>
      </c>
      <c r="AJ33" s="297" t="e">
        <f t="shared" ref="AJ33:AK33" si="28">AJ31/AJ30</f>
        <v>#DIV/0!</v>
      </c>
      <c r="AK33" s="297" t="e">
        <f t="shared" si="28"/>
        <v>#DIV/0!</v>
      </c>
      <c r="AL33" s="297"/>
      <c r="AM33" s="297"/>
      <c r="AN33" s="297"/>
      <c r="AO33" s="297"/>
      <c r="AP33" s="297"/>
      <c r="AQ33" s="297"/>
      <c r="AR33" s="297"/>
      <c r="AS33" s="297"/>
      <c r="AT33" s="297"/>
      <c r="AU33" s="298"/>
      <c r="AV33" s="180"/>
      <c r="AX33" s="219"/>
    </row>
    <row r="34" spans="1:51">
      <c r="A34" s="188" t="s">
        <v>269</v>
      </c>
      <c r="B34" s="188" t="s">
        <v>260</v>
      </c>
      <c r="C34" s="222">
        <f>S34/AI34</f>
        <v>1</v>
      </c>
      <c r="D34" s="222">
        <f t="shared" si="0"/>
        <v>1</v>
      </c>
      <c r="E34" s="222">
        <f t="shared" si="0"/>
        <v>1</v>
      </c>
      <c r="F34" s="222">
        <f t="shared" si="0"/>
        <v>0</v>
      </c>
      <c r="G34" s="222">
        <f t="shared" si="0"/>
        <v>0</v>
      </c>
      <c r="H34" s="222">
        <f t="shared" si="0"/>
        <v>0</v>
      </c>
      <c r="I34" s="222">
        <f t="shared" si="0"/>
        <v>0</v>
      </c>
      <c r="J34" s="222">
        <f t="shared" si="0"/>
        <v>0</v>
      </c>
      <c r="K34" s="222">
        <f>AA34/AQ34</f>
        <v>0</v>
      </c>
      <c r="L34" s="222">
        <f t="shared" si="0"/>
        <v>0</v>
      </c>
      <c r="M34" s="222">
        <f t="shared" si="0"/>
        <v>0</v>
      </c>
      <c r="N34" s="222">
        <f t="shared" si="0"/>
        <v>0</v>
      </c>
      <c r="O34" s="201">
        <f t="shared" si="0"/>
        <v>0.31136522703987884</v>
      </c>
      <c r="P34" s="188"/>
      <c r="Q34" s="188" t="s">
        <v>269</v>
      </c>
      <c r="R34" s="188" t="s">
        <v>260</v>
      </c>
      <c r="S34" s="192">
        <v>4188.08</v>
      </c>
      <c r="T34" s="192">
        <v>2986.6399999999994</v>
      </c>
      <c r="U34" s="192">
        <v>3059.1999999999994</v>
      </c>
      <c r="V34" s="192"/>
      <c r="W34" s="192"/>
      <c r="X34" s="192"/>
      <c r="Y34" s="192"/>
      <c r="Z34" s="192"/>
      <c r="AA34" s="192"/>
      <c r="AB34" s="192"/>
      <c r="AC34" s="192"/>
      <c r="AD34" s="192"/>
      <c r="AE34" s="189">
        <f>SUM(S34:AD34)</f>
        <v>10233.919999999998</v>
      </c>
      <c r="AF34" s="188"/>
      <c r="AG34" s="687" t="s">
        <v>269</v>
      </c>
      <c r="AH34" s="324" t="s">
        <v>260</v>
      </c>
      <c r="AI34" s="325">
        <v>4188.08</v>
      </c>
      <c r="AJ34" s="325">
        <v>2986.6399999999994</v>
      </c>
      <c r="AK34" s="325">
        <v>3059.1999999999994</v>
      </c>
      <c r="AL34" s="325">
        <f t="shared" ref="AL34:AP34" si="29">AL74*AL102</f>
        <v>2738.9913600000004</v>
      </c>
      <c r="AM34" s="325">
        <f t="shared" si="29"/>
        <v>2738.9913600000004</v>
      </c>
      <c r="AN34" s="325">
        <f t="shared" si="29"/>
        <v>2738.9913600000004</v>
      </c>
      <c r="AO34" s="325">
        <f t="shared" si="29"/>
        <v>2738.9913600000004</v>
      </c>
      <c r="AP34" s="325">
        <f t="shared" si="29"/>
        <v>2738.9913600000004</v>
      </c>
      <c r="AQ34" s="325">
        <v>2234.7548800000013</v>
      </c>
      <c r="AR34" s="325">
        <v>2234.7548800000013</v>
      </c>
      <c r="AS34" s="325">
        <v>2234.7548800000013</v>
      </c>
      <c r="AT34" s="325">
        <v>2234.7548800000013</v>
      </c>
      <c r="AU34" s="326">
        <f>SUM(AI34:AT34)</f>
        <v>32867.89632</v>
      </c>
      <c r="AV34" s="189">
        <v>29606.6</v>
      </c>
      <c r="AW34" s="70">
        <f t="shared" ref="AW34:AW51" si="30">AU34-AV34</f>
        <v>3261.2963200000013</v>
      </c>
      <c r="AX34" s="188"/>
      <c r="AY34" s="188"/>
    </row>
    <row r="35" spans="1:51">
      <c r="A35" s="196" t="s">
        <v>269</v>
      </c>
      <c r="B35" s="188" t="s">
        <v>24</v>
      </c>
      <c r="C35" s="222">
        <f t="shared" si="0"/>
        <v>1.1887086149546293</v>
      </c>
      <c r="D35" s="222">
        <f t="shared" si="0"/>
        <v>1.0050419875182088</v>
      </c>
      <c r="E35" s="222">
        <f t="shared" si="0"/>
        <v>1.200363548250889</v>
      </c>
      <c r="F35" s="222">
        <f t="shared" si="0"/>
        <v>0</v>
      </c>
      <c r="G35" s="222">
        <f t="shared" si="0"/>
        <v>0</v>
      </c>
      <c r="H35" s="222">
        <f t="shared" si="0"/>
        <v>0</v>
      </c>
      <c r="I35" s="222">
        <f t="shared" si="0"/>
        <v>0</v>
      </c>
      <c r="J35" s="222">
        <f t="shared" si="0"/>
        <v>0</v>
      </c>
      <c r="K35" s="222">
        <f t="shared" si="0"/>
        <v>0</v>
      </c>
      <c r="L35" s="222">
        <f t="shared" si="0"/>
        <v>0</v>
      </c>
      <c r="M35" s="222">
        <f t="shared" si="0"/>
        <v>0</v>
      </c>
      <c r="N35" s="222">
        <f t="shared" si="0"/>
        <v>0</v>
      </c>
      <c r="O35" s="201">
        <f t="shared" si="0"/>
        <v>0.282842845893644</v>
      </c>
      <c r="P35" s="188"/>
      <c r="Q35" s="196" t="s">
        <v>269</v>
      </c>
      <c r="R35" s="188" t="s">
        <v>24</v>
      </c>
      <c r="S35" s="192">
        <v>5176.9226363636344</v>
      </c>
      <c r="T35" s="192">
        <v>4377.0395454545451</v>
      </c>
      <c r="U35" s="192">
        <v>5227.6808181818242</v>
      </c>
      <c r="V35" s="192"/>
      <c r="W35" s="192"/>
      <c r="X35" s="192"/>
      <c r="Y35" s="192"/>
      <c r="Z35" s="192"/>
      <c r="AA35" s="192"/>
      <c r="AB35" s="192"/>
      <c r="AC35" s="192"/>
      <c r="AD35" s="192"/>
      <c r="AE35" s="189">
        <f>SUM(S35:AD35)</f>
        <v>14781.643000000004</v>
      </c>
      <c r="AF35" s="188"/>
      <c r="AG35" s="688"/>
      <c r="AH35" s="327" t="s">
        <v>24</v>
      </c>
      <c r="AI35" s="328">
        <f>AI75*AI103</f>
        <v>4355.0812800000003</v>
      </c>
      <c r="AJ35" s="328">
        <f t="shared" ref="AJ35:AT35" si="31">AJ75*AJ103</f>
        <v>4355.0812800000003</v>
      </c>
      <c r="AK35" s="328">
        <f t="shared" si="31"/>
        <v>4355.0812800000003</v>
      </c>
      <c r="AL35" s="328">
        <f t="shared" si="31"/>
        <v>4355.0812800000003</v>
      </c>
      <c r="AM35" s="328">
        <f t="shared" si="31"/>
        <v>4355.0812800000003</v>
      </c>
      <c r="AN35" s="328">
        <f t="shared" si="31"/>
        <v>4355.0812800000003</v>
      </c>
      <c r="AO35" s="328">
        <f t="shared" si="31"/>
        <v>4355.0812800000003</v>
      </c>
      <c r="AP35" s="328">
        <f t="shared" si="31"/>
        <v>4355.0812800000003</v>
      </c>
      <c r="AQ35" s="328">
        <f t="shared" si="31"/>
        <v>4355.0812800000003</v>
      </c>
      <c r="AR35" s="328">
        <f t="shared" si="31"/>
        <v>4355.0812800000003</v>
      </c>
      <c r="AS35" s="328">
        <f t="shared" si="31"/>
        <v>4355.0812800000003</v>
      </c>
      <c r="AT35" s="328">
        <f t="shared" si="31"/>
        <v>4355.0812800000003</v>
      </c>
      <c r="AU35" s="329">
        <f>SUM(AI35:AT35)</f>
        <v>52260.975359999989</v>
      </c>
      <c r="AV35" s="220">
        <v>80512.554000000004</v>
      </c>
      <c r="AW35" s="221">
        <f t="shared" si="30"/>
        <v>-28251.578640000014</v>
      </c>
      <c r="AX35" s="188"/>
      <c r="AY35" s="188"/>
    </row>
    <row r="36" spans="1:51">
      <c r="A36" s="196" t="s">
        <v>269</v>
      </c>
      <c r="B36" s="188" t="s">
        <v>262</v>
      </c>
      <c r="C36" s="222">
        <f t="shared" si="0"/>
        <v>1.0227327871098688</v>
      </c>
      <c r="D36" s="222">
        <f t="shared" si="0"/>
        <v>1.1549545130925252</v>
      </c>
      <c r="E36" s="222">
        <f t="shared" si="0"/>
        <v>2.5068630195099839</v>
      </c>
      <c r="F36" s="222">
        <f t="shared" si="0"/>
        <v>0</v>
      </c>
      <c r="G36" s="222">
        <f t="shared" si="0"/>
        <v>0</v>
      </c>
      <c r="H36" s="222">
        <f t="shared" si="0"/>
        <v>0</v>
      </c>
      <c r="I36" s="222">
        <f t="shared" si="0"/>
        <v>0</v>
      </c>
      <c r="J36" s="222">
        <f t="shared" ref="C36:O51" si="32">Z36/AP36</f>
        <v>0</v>
      </c>
      <c r="K36" s="222">
        <f t="shared" si="32"/>
        <v>0</v>
      </c>
      <c r="L36" s="222">
        <f t="shared" si="32"/>
        <v>0</v>
      </c>
      <c r="M36" s="222">
        <f t="shared" si="32"/>
        <v>0</v>
      </c>
      <c r="N36" s="222">
        <f t="shared" si="32"/>
        <v>0</v>
      </c>
      <c r="O36" s="201">
        <f t="shared" si="32"/>
        <v>0.31867652979582622</v>
      </c>
      <c r="P36" s="188"/>
      <c r="Q36" s="196" t="s">
        <v>269</v>
      </c>
      <c r="R36" s="188" t="s">
        <v>262</v>
      </c>
      <c r="S36" s="192">
        <v>225.93181818181819</v>
      </c>
      <c r="T36" s="192">
        <v>255.14090909090874</v>
      </c>
      <c r="U36" s="192">
        <v>553.79090909090905</v>
      </c>
      <c r="V36" s="192"/>
      <c r="W36" s="192"/>
      <c r="X36" s="192"/>
      <c r="Y36" s="192"/>
      <c r="Z36" s="192"/>
      <c r="AA36" s="192"/>
      <c r="AB36" s="192"/>
      <c r="AC36" s="192"/>
      <c r="AD36" s="192"/>
      <c r="AE36" s="189">
        <f>SUM(S36:AD36)</f>
        <v>1034.863636363636</v>
      </c>
      <c r="AF36" s="188"/>
      <c r="AG36" s="688"/>
      <c r="AH36" s="327" t="s">
        <v>262</v>
      </c>
      <c r="AI36" s="328">
        <f t="shared" ref="AI36:AT37" si="33">AI76*AI104</f>
        <v>220.90992000000003</v>
      </c>
      <c r="AJ36" s="328">
        <f t="shared" si="33"/>
        <v>220.90992000000003</v>
      </c>
      <c r="AK36" s="328">
        <f t="shared" si="33"/>
        <v>220.90992000000003</v>
      </c>
      <c r="AL36" s="328">
        <f t="shared" si="33"/>
        <v>220.90992000000003</v>
      </c>
      <c r="AM36" s="328">
        <f t="shared" si="33"/>
        <v>220.90992000000003</v>
      </c>
      <c r="AN36" s="328">
        <f t="shared" si="33"/>
        <v>220.90992000000003</v>
      </c>
      <c r="AO36" s="328">
        <f t="shared" si="33"/>
        <v>320.32</v>
      </c>
      <c r="AP36" s="328">
        <f t="shared" si="33"/>
        <v>320.32</v>
      </c>
      <c r="AQ36" s="328">
        <f t="shared" si="33"/>
        <v>320.32</v>
      </c>
      <c r="AR36" s="328">
        <f t="shared" si="33"/>
        <v>320.32</v>
      </c>
      <c r="AS36" s="328">
        <f t="shared" si="33"/>
        <v>320.32</v>
      </c>
      <c r="AT36" s="328">
        <f t="shared" si="33"/>
        <v>320.32</v>
      </c>
      <c r="AU36" s="329">
        <f>SUM(AI36:AT36)</f>
        <v>3247.3795200000004</v>
      </c>
      <c r="AV36" s="220">
        <v>814.44500000000005</v>
      </c>
      <c r="AW36" s="221">
        <f t="shared" si="30"/>
        <v>2432.9345200000002</v>
      </c>
      <c r="AX36" s="188"/>
      <c r="AY36" s="188"/>
    </row>
    <row r="37" spans="1:51" ht="12" thickBot="1">
      <c r="A37" s="196" t="s">
        <v>269</v>
      </c>
      <c r="B37" s="188" t="s">
        <v>26</v>
      </c>
      <c r="C37" s="222">
        <f t="shared" si="32"/>
        <v>0.96409184182007468</v>
      </c>
      <c r="D37" s="222">
        <f t="shared" si="32"/>
        <v>0.89116937978707511</v>
      </c>
      <c r="E37" s="222">
        <f>U37/AK37</f>
        <v>0.35303662151819853</v>
      </c>
      <c r="F37" s="222">
        <f t="shared" si="32"/>
        <v>0</v>
      </c>
      <c r="G37" s="222">
        <f t="shared" si="32"/>
        <v>0</v>
      </c>
      <c r="H37" s="222">
        <f t="shared" si="32"/>
        <v>0</v>
      </c>
      <c r="I37" s="222">
        <f t="shared" si="32"/>
        <v>0</v>
      </c>
      <c r="J37" s="222">
        <f t="shared" si="32"/>
        <v>0</v>
      </c>
      <c r="K37" s="222">
        <f t="shared" si="32"/>
        <v>0</v>
      </c>
      <c r="L37" s="222">
        <f t="shared" si="32"/>
        <v>0</v>
      </c>
      <c r="M37" s="222">
        <f t="shared" si="32"/>
        <v>0</v>
      </c>
      <c r="N37" s="222">
        <f t="shared" si="32"/>
        <v>0</v>
      </c>
      <c r="O37" s="201">
        <f t="shared" si="32"/>
        <v>0.18402482026044567</v>
      </c>
      <c r="P37" s="188"/>
      <c r="Q37" s="196" t="s">
        <v>269</v>
      </c>
      <c r="R37" s="188" t="s">
        <v>26</v>
      </c>
      <c r="S37" s="192">
        <v>320.42363636363638</v>
      </c>
      <c r="T37" s="192">
        <v>296.18727272727273</v>
      </c>
      <c r="U37" s="192">
        <v>117.33454545454543</v>
      </c>
      <c r="V37" s="192"/>
      <c r="W37" s="192"/>
      <c r="X37" s="192"/>
      <c r="Y37" s="192"/>
      <c r="Z37" s="192"/>
      <c r="AA37" s="192"/>
      <c r="AB37" s="192"/>
      <c r="AC37" s="192"/>
      <c r="AD37" s="192"/>
      <c r="AE37" s="189">
        <f>SUM(S37:AD37)</f>
        <v>733.9454545454546</v>
      </c>
      <c r="AF37" s="188"/>
      <c r="AG37" s="688"/>
      <c r="AH37" s="330" t="s">
        <v>26</v>
      </c>
      <c r="AI37" s="331">
        <f t="shared" si="33"/>
        <v>332.358</v>
      </c>
      <c r="AJ37" s="331">
        <f t="shared" si="33"/>
        <v>332.358</v>
      </c>
      <c r="AK37" s="331">
        <f t="shared" si="33"/>
        <v>332.358</v>
      </c>
      <c r="AL37" s="331">
        <f t="shared" si="33"/>
        <v>332.358</v>
      </c>
      <c r="AM37" s="331">
        <f t="shared" si="33"/>
        <v>332.358</v>
      </c>
      <c r="AN37" s="331">
        <f t="shared" si="33"/>
        <v>332.358</v>
      </c>
      <c r="AO37" s="331">
        <f t="shared" si="33"/>
        <v>332.358</v>
      </c>
      <c r="AP37" s="331">
        <f t="shared" si="33"/>
        <v>332.358</v>
      </c>
      <c r="AQ37" s="331">
        <f t="shared" si="33"/>
        <v>332.358</v>
      </c>
      <c r="AR37" s="331">
        <f t="shared" si="33"/>
        <v>332.358</v>
      </c>
      <c r="AS37" s="331">
        <f t="shared" si="33"/>
        <v>332.358</v>
      </c>
      <c r="AT37" s="331">
        <f t="shared" si="33"/>
        <v>332.358</v>
      </c>
      <c r="AU37" s="332">
        <f>SUM(AI37:AT37)</f>
        <v>3988.2960000000007</v>
      </c>
      <c r="AV37" s="220">
        <v>3753.0250000000001</v>
      </c>
      <c r="AW37" s="221">
        <f t="shared" si="30"/>
        <v>235.27100000000064</v>
      </c>
      <c r="AX37" s="188"/>
      <c r="AY37" s="188"/>
    </row>
    <row r="38" spans="1:51">
      <c r="A38" s="197" t="s">
        <v>42</v>
      </c>
      <c r="B38" s="197" t="s">
        <v>162</v>
      </c>
      <c r="C38" s="223">
        <f t="shared" si="32"/>
        <v>1.0895877792254007</v>
      </c>
      <c r="D38" s="223">
        <f t="shared" si="32"/>
        <v>1.0025355990699425</v>
      </c>
      <c r="E38" s="223">
        <f t="shared" si="32"/>
        <v>1.1243113845757335</v>
      </c>
      <c r="F38" s="223">
        <f t="shared" si="32"/>
        <v>0</v>
      </c>
      <c r="G38" s="223">
        <f t="shared" si="32"/>
        <v>0</v>
      </c>
      <c r="H38" s="223">
        <f t="shared" si="32"/>
        <v>0</v>
      </c>
      <c r="I38" s="223">
        <f t="shared" si="32"/>
        <v>0</v>
      </c>
      <c r="J38" s="223">
        <f t="shared" si="32"/>
        <v>0</v>
      </c>
      <c r="K38" s="223">
        <f t="shared" si="32"/>
        <v>0</v>
      </c>
      <c r="L38" s="223">
        <f t="shared" si="32"/>
        <v>0</v>
      </c>
      <c r="M38" s="223">
        <f t="shared" si="32"/>
        <v>0</v>
      </c>
      <c r="N38" s="223">
        <f t="shared" si="32"/>
        <v>0</v>
      </c>
      <c r="O38" s="223">
        <f t="shared" si="32"/>
        <v>0.28998542084455847</v>
      </c>
      <c r="P38" s="188"/>
      <c r="Q38" s="197" t="s">
        <v>42</v>
      </c>
      <c r="R38" s="197" t="s">
        <v>162</v>
      </c>
      <c r="S38" s="198">
        <f>SUM(S34:S37)</f>
        <v>9911.3580909090888</v>
      </c>
      <c r="T38" s="198">
        <f t="shared" ref="T38:AD38" si="34">SUM(T34:T37)</f>
        <v>7915.0077272727267</v>
      </c>
      <c r="U38" s="198">
        <f t="shared" si="34"/>
        <v>8958.006272727278</v>
      </c>
      <c r="V38" s="198">
        <f t="shared" si="34"/>
        <v>0</v>
      </c>
      <c r="W38" s="198">
        <f t="shared" si="34"/>
        <v>0</v>
      </c>
      <c r="X38" s="198">
        <f t="shared" si="34"/>
        <v>0</v>
      </c>
      <c r="Y38" s="198">
        <f t="shared" si="34"/>
        <v>0</v>
      </c>
      <c r="Z38" s="198">
        <f t="shared" si="34"/>
        <v>0</v>
      </c>
      <c r="AA38" s="198">
        <f t="shared" si="34"/>
        <v>0</v>
      </c>
      <c r="AB38" s="198">
        <f t="shared" si="34"/>
        <v>0</v>
      </c>
      <c r="AC38" s="198">
        <f t="shared" si="34"/>
        <v>0</v>
      </c>
      <c r="AD38" s="198">
        <f t="shared" si="34"/>
        <v>0</v>
      </c>
      <c r="AE38" s="198">
        <f>SUM(S38:AD38)</f>
        <v>26784.372090909095</v>
      </c>
      <c r="AF38" s="188"/>
      <c r="AG38" s="688"/>
      <c r="AH38" s="283" t="s">
        <v>143</v>
      </c>
      <c r="AI38" s="284">
        <f>SUM(AI34:AI37)</f>
        <v>9096.4292000000005</v>
      </c>
      <c r="AJ38" s="284">
        <f t="shared" ref="AJ38:AT38" si="35">SUM(AJ34:AJ37)</f>
        <v>7894.9892</v>
      </c>
      <c r="AK38" s="284">
        <f t="shared" si="35"/>
        <v>7967.5491999999995</v>
      </c>
      <c r="AL38" s="284">
        <f t="shared" si="35"/>
        <v>7647.3405600000006</v>
      </c>
      <c r="AM38" s="284">
        <f t="shared" si="35"/>
        <v>7647.3405600000006</v>
      </c>
      <c r="AN38" s="284">
        <f t="shared" si="35"/>
        <v>7647.3405600000006</v>
      </c>
      <c r="AO38" s="284">
        <f t="shared" si="35"/>
        <v>7746.7506400000002</v>
      </c>
      <c r="AP38" s="284">
        <f t="shared" si="35"/>
        <v>7746.7506400000002</v>
      </c>
      <c r="AQ38" s="284">
        <f>SUM(AQ34:AQ37)</f>
        <v>7242.5141600000015</v>
      </c>
      <c r="AR38" s="284">
        <f t="shared" si="35"/>
        <v>7242.5141600000015</v>
      </c>
      <c r="AS38" s="284">
        <f t="shared" si="35"/>
        <v>7242.5141600000015</v>
      </c>
      <c r="AT38" s="284">
        <f t="shared" si="35"/>
        <v>7242.5141600000015</v>
      </c>
      <c r="AU38" s="285">
        <f>SUM(AI38:AT38)</f>
        <v>92364.54720000003</v>
      </c>
      <c r="AV38" s="220"/>
      <c r="AW38" s="221">
        <f t="shared" si="30"/>
        <v>92364.54720000003</v>
      </c>
      <c r="AX38" s="219">
        <f>AU38/$AU$51</f>
        <v>0.2759850622197873</v>
      </c>
      <c r="AY38" s="188"/>
    </row>
    <row r="39" spans="1:51">
      <c r="A39" s="176"/>
      <c r="B39" s="17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Q39" s="176"/>
      <c r="R39" s="17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G39" s="688"/>
      <c r="AH39" s="153" t="s">
        <v>142</v>
      </c>
      <c r="AI39" s="248">
        <f>S38</f>
        <v>9911.3580909090888</v>
      </c>
      <c r="AJ39" s="248">
        <f t="shared" ref="AJ39:AK39" si="36">T38</f>
        <v>7915.0077272727267</v>
      </c>
      <c r="AK39" s="248">
        <f t="shared" si="36"/>
        <v>8958.006272727278</v>
      </c>
      <c r="AL39" s="248"/>
      <c r="AM39" s="248"/>
      <c r="AN39" s="248"/>
      <c r="AO39" s="248"/>
      <c r="AP39" s="248"/>
      <c r="AQ39" s="248"/>
      <c r="AR39" s="248"/>
      <c r="AS39" s="248"/>
      <c r="AT39" s="248"/>
      <c r="AU39" s="251"/>
      <c r="AV39" s="180"/>
      <c r="AX39" s="219"/>
    </row>
    <row r="40" spans="1:51">
      <c r="A40" s="176"/>
      <c r="B40" s="17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Q40" s="176"/>
      <c r="R40" s="176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G40" s="688"/>
      <c r="AH40" s="277" t="s">
        <v>146</v>
      </c>
      <c r="AI40" s="247">
        <f>AI39-AI38</f>
        <v>814.9288909090883</v>
      </c>
      <c r="AJ40" s="247">
        <f t="shared" ref="AJ40:AK40" si="37">AJ39-AJ38</f>
        <v>20.018527272726715</v>
      </c>
      <c r="AK40" s="247">
        <f t="shared" si="37"/>
        <v>990.4570727272785</v>
      </c>
      <c r="AL40" s="247"/>
      <c r="AM40" s="247"/>
      <c r="AN40" s="247"/>
      <c r="AO40" s="247"/>
      <c r="AP40" s="247"/>
      <c r="AQ40" s="247"/>
      <c r="AR40" s="247"/>
      <c r="AS40" s="247"/>
      <c r="AT40" s="247"/>
      <c r="AU40" s="252"/>
      <c r="AV40" s="180"/>
      <c r="AX40" s="219"/>
    </row>
    <row r="41" spans="1:51" ht="12" thickBot="1">
      <c r="A41" s="176"/>
      <c r="B41" s="17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Q41" s="176"/>
      <c r="R41" s="176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G41" s="689"/>
      <c r="AH41" s="299" t="s">
        <v>145</v>
      </c>
      <c r="AI41" s="264">
        <f>AI39/AI38</f>
        <v>1.0895877792254007</v>
      </c>
      <c r="AJ41" s="264">
        <f t="shared" ref="AJ41:AK41" si="38">AJ39/AJ38</f>
        <v>1.0025355990699425</v>
      </c>
      <c r="AK41" s="264">
        <f t="shared" si="38"/>
        <v>1.1243113845757335</v>
      </c>
      <c r="AL41" s="297"/>
      <c r="AM41" s="297"/>
      <c r="AN41" s="297"/>
      <c r="AO41" s="297"/>
      <c r="AP41" s="297"/>
      <c r="AQ41" s="297"/>
      <c r="AR41" s="297"/>
      <c r="AS41" s="297"/>
      <c r="AT41" s="297"/>
      <c r="AU41" s="298"/>
      <c r="AV41" s="180"/>
      <c r="AX41" s="219"/>
    </row>
    <row r="42" spans="1:51">
      <c r="A42" s="65" t="s">
        <v>271</v>
      </c>
      <c r="B42" s="65" t="s">
        <v>272</v>
      </c>
      <c r="C42" s="224">
        <f t="shared" si="5"/>
        <v>0.61018867924528397</v>
      </c>
      <c r="D42" s="224">
        <f>T42/AJ42</f>
        <v>0.84320986211731697</v>
      </c>
      <c r="E42" s="224">
        <f>U42/AK42</f>
        <v>1</v>
      </c>
      <c r="F42" s="224">
        <f t="shared" si="32"/>
        <v>0</v>
      </c>
      <c r="G42" s="224">
        <f t="shared" si="32"/>
        <v>0</v>
      </c>
      <c r="H42" s="224">
        <f t="shared" si="32"/>
        <v>0</v>
      </c>
      <c r="I42" s="224">
        <f t="shared" si="32"/>
        <v>0</v>
      </c>
      <c r="J42" s="224">
        <f t="shared" si="32"/>
        <v>0</v>
      </c>
      <c r="K42" s="224">
        <f t="shared" si="32"/>
        <v>0</v>
      </c>
      <c r="L42" s="224">
        <f t="shared" si="32"/>
        <v>0</v>
      </c>
      <c r="M42" s="224">
        <f t="shared" si="32"/>
        <v>0</v>
      </c>
      <c r="N42" s="224">
        <f t="shared" si="32"/>
        <v>0</v>
      </c>
      <c r="O42" s="228">
        <f t="shared" si="32"/>
        <v>0.23284799666966963</v>
      </c>
      <c r="Q42" s="65" t="s">
        <v>273</v>
      </c>
      <c r="R42" s="65" t="s">
        <v>156</v>
      </c>
      <c r="S42" s="174">
        <v>1617.0000000000025</v>
      </c>
      <c r="T42" s="174">
        <v>5248.1381818181808</v>
      </c>
      <c r="U42" s="174">
        <v>3729.6272727272681</v>
      </c>
      <c r="V42" s="174"/>
      <c r="W42" s="174"/>
      <c r="X42" s="174"/>
      <c r="Y42" s="174"/>
      <c r="Z42" s="174"/>
      <c r="AA42" s="174"/>
      <c r="AB42" s="174"/>
      <c r="AC42" s="174"/>
      <c r="AD42" s="174"/>
      <c r="AE42" s="69">
        <f t="shared" si="2"/>
        <v>10594.765454545452</v>
      </c>
      <c r="AG42" s="684" t="s">
        <v>49</v>
      </c>
      <c r="AH42" s="321" t="s">
        <v>272</v>
      </c>
      <c r="AI42" s="307">
        <v>2650</v>
      </c>
      <c r="AJ42" s="307">
        <v>6224</v>
      </c>
      <c r="AK42" s="307">
        <v>3729.6272727272681</v>
      </c>
      <c r="AL42" s="307">
        <v>3008.8952451948057</v>
      </c>
      <c r="AM42" s="307">
        <v>3265.2906997402602</v>
      </c>
      <c r="AN42" s="307">
        <v>3521.686154285715</v>
      </c>
      <c r="AO42" s="307">
        <v>3137.0929724675302</v>
      </c>
      <c r="AP42" s="307">
        <v>4034.4770633766238</v>
      </c>
      <c r="AQ42" s="307">
        <v>4675.4656997402608</v>
      </c>
      <c r="AR42" s="307">
        <v>4675.4656997402608</v>
      </c>
      <c r="AS42" s="307">
        <v>3393.4884270129878</v>
      </c>
      <c r="AT42" s="307">
        <v>3185.2906997402602</v>
      </c>
      <c r="AU42" s="308">
        <f t="shared" si="4"/>
        <v>45500.779934025981</v>
      </c>
      <c r="AV42" s="180">
        <v>36992.930999999997</v>
      </c>
      <c r="AW42" s="221">
        <f t="shared" si="30"/>
        <v>8507.8489340259839</v>
      </c>
      <c r="AX42" s="219">
        <f>AU42/$AU$51</f>
        <v>0.13595622954714173</v>
      </c>
    </row>
    <row r="43" spans="1:51" ht="12" customHeight="1">
      <c r="A43" s="65" t="s">
        <v>274</v>
      </c>
      <c r="B43" s="65" t="s">
        <v>275</v>
      </c>
      <c r="C43" s="224">
        <f>S43/AI43</f>
        <v>1</v>
      </c>
      <c r="D43" s="224">
        <f t="shared" ref="D43:E51" si="39">T43/AJ43</f>
        <v>1</v>
      </c>
      <c r="E43" s="224">
        <f t="shared" si="39"/>
        <v>0.34578441835645679</v>
      </c>
      <c r="F43" s="224">
        <f t="shared" si="32"/>
        <v>0</v>
      </c>
      <c r="G43" s="224">
        <f t="shared" si="32"/>
        <v>0</v>
      </c>
      <c r="H43" s="224">
        <f t="shared" si="32"/>
        <v>0</v>
      </c>
      <c r="I43" s="224">
        <f t="shared" si="32"/>
        <v>0</v>
      </c>
      <c r="J43" s="224">
        <f t="shared" si="32"/>
        <v>0</v>
      </c>
      <c r="K43" s="224">
        <f t="shared" si="32"/>
        <v>0</v>
      </c>
      <c r="L43" s="224">
        <f t="shared" si="32"/>
        <v>0</v>
      </c>
      <c r="M43" s="224">
        <f t="shared" si="32"/>
        <v>0</v>
      </c>
      <c r="N43" s="224">
        <f t="shared" si="32"/>
        <v>0</v>
      </c>
      <c r="O43" s="228">
        <f t="shared" si="32"/>
        <v>7.9381233462243031E-2</v>
      </c>
      <c r="Q43" s="65" t="s">
        <v>276</v>
      </c>
      <c r="R43" s="65" t="s">
        <v>275</v>
      </c>
      <c r="S43" s="174">
        <v>5</v>
      </c>
      <c r="T43" s="174">
        <v>33</v>
      </c>
      <c r="U43" s="174">
        <v>27</v>
      </c>
      <c r="V43" s="174"/>
      <c r="W43" s="174"/>
      <c r="X43" s="174"/>
      <c r="Y43" s="174"/>
      <c r="Z43" s="174"/>
      <c r="AA43" s="174"/>
      <c r="AB43" s="174"/>
      <c r="AC43" s="174"/>
      <c r="AD43" s="174"/>
      <c r="AE43" s="69">
        <f>SUM(S43:AD43)</f>
        <v>65</v>
      </c>
      <c r="AG43" s="685"/>
      <c r="AH43" s="322" t="s">
        <v>275</v>
      </c>
      <c r="AI43" s="311">
        <v>5</v>
      </c>
      <c r="AJ43" s="311">
        <v>33</v>
      </c>
      <c r="AK43" s="311">
        <v>78.083333333333329</v>
      </c>
      <c r="AL43" s="311">
        <v>78.083333333333329</v>
      </c>
      <c r="AM43" s="311">
        <v>78.083333333333329</v>
      </c>
      <c r="AN43" s="311">
        <v>78.083333333333329</v>
      </c>
      <c r="AO43" s="311">
        <v>78.083333333333329</v>
      </c>
      <c r="AP43" s="311">
        <v>78.083333333333329</v>
      </c>
      <c r="AQ43" s="311">
        <v>78.083333333333329</v>
      </c>
      <c r="AR43" s="311">
        <v>78.083333333333329</v>
      </c>
      <c r="AS43" s="311">
        <v>78.083333333333329</v>
      </c>
      <c r="AT43" s="311">
        <v>78.083333333333329</v>
      </c>
      <c r="AU43" s="312">
        <f t="shared" si="4"/>
        <v>818.83333333333337</v>
      </c>
      <c r="AV43" s="180">
        <v>818.83333333333303</v>
      </c>
      <c r="AW43" s="221">
        <f>AU43-AV43</f>
        <v>0</v>
      </c>
      <c r="AX43" s="219">
        <f>AU43/$AU$51</f>
        <v>2.4466721842776032E-3</v>
      </c>
    </row>
    <row r="44" spans="1:51" ht="12" customHeight="1">
      <c r="A44" s="65" t="s">
        <v>277</v>
      </c>
      <c r="B44" s="65" t="s">
        <v>158</v>
      </c>
      <c r="C44" s="224">
        <f>S44/AI44</f>
        <v>1.402626548084116</v>
      </c>
      <c r="D44" s="224">
        <f t="shared" si="39"/>
        <v>2.9895766402513027</v>
      </c>
      <c r="E44" s="224">
        <f t="shared" si="39"/>
        <v>2.8545955077269598</v>
      </c>
      <c r="F44" s="224">
        <f t="shared" si="32"/>
        <v>0</v>
      </c>
      <c r="G44" s="224">
        <f t="shared" si="32"/>
        <v>0</v>
      </c>
      <c r="H44" s="224">
        <f t="shared" si="32"/>
        <v>0</v>
      </c>
      <c r="I44" s="224">
        <f t="shared" si="32"/>
        <v>0</v>
      </c>
      <c r="J44" s="224">
        <f t="shared" si="32"/>
        <v>0</v>
      </c>
      <c r="K44" s="224">
        <f t="shared" si="32"/>
        <v>0</v>
      </c>
      <c r="L44" s="224">
        <f t="shared" si="32"/>
        <v>0</v>
      </c>
      <c r="M44" s="224">
        <f t="shared" si="32"/>
        <v>0</v>
      </c>
      <c r="N44" s="224">
        <f t="shared" si="32"/>
        <v>0</v>
      </c>
      <c r="O44" s="228">
        <f t="shared" si="32"/>
        <v>0.40926878617249868</v>
      </c>
      <c r="Q44" s="65" t="s">
        <v>278</v>
      </c>
      <c r="R44" s="65" t="s">
        <v>158</v>
      </c>
      <c r="S44" s="174">
        <v>67.5</v>
      </c>
      <c r="T44" s="174">
        <v>167.5</v>
      </c>
      <c r="U44" s="174">
        <v>182.5</v>
      </c>
      <c r="V44" s="174"/>
      <c r="W44" s="174"/>
      <c r="X44" s="174"/>
      <c r="Y44" s="174"/>
      <c r="Z44" s="174"/>
      <c r="AA44" s="174"/>
      <c r="AB44" s="174"/>
      <c r="AC44" s="174"/>
      <c r="AD44" s="174"/>
      <c r="AE44" s="69">
        <f>SUM(S44:AD44)</f>
        <v>417.5</v>
      </c>
      <c r="AG44" s="685"/>
      <c r="AH44" s="322" t="s">
        <v>158</v>
      </c>
      <c r="AI44" s="311">
        <v>48.124000000000002</v>
      </c>
      <c r="AJ44" s="311">
        <v>56.028000000000006</v>
      </c>
      <c r="AK44" s="311">
        <v>63.932000000000002</v>
      </c>
      <c r="AL44" s="311">
        <v>71.836000000000013</v>
      </c>
      <c r="AM44" s="311">
        <v>79.740000000000009</v>
      </c>
      <c r="AN44" s="311">
        <v>87.644000000000005</v>
      </c>
      <c r="AO44" s="311">
        <v>95.548000000000016</v>
      </c>
      <c r="AP44" s="311">
        <v>103.45200000000003</v>
      </c>
      <c r="AQ44" s="311">
        <v>103.45200000000003</v>
      </c>
      <c r="AR44" s="311">
        <v>103.45200000000003</v>
      </c>
      <c r="AS44" s="311">
        <v>103.45200000000003</v>
      </c>
      <c r="AT44" s="311">
        <v>103.45200000000003</v>
      </c>
      <c r="AU44" s="312">
        <f t="shared" si="4"/>
        <v>1020.1120000000001</v>
      </c>
      <c r="AV44" s="180">
        <v>1020.1120000000001</v>
      </c>
      <c r="AW44" s="221">
        <f>AU44-AV44</f>
        <v>0</v>
      </c>
      <c r="AX44" s="219"/>
    </row>
    <row r="45" spans="1:51" ht="12" customHeight="1">
      <c r="A45" s="65" t="s">
        <v>279</v>
      </c>
      <c r="B45" s="65" t="s">
        <v>159</v>
      </c>
      <c r="C45" s="224" t="e">
        <f>S45/AI45</f>
        <v>#DIV/0!</v>
      </c>
      <c r="D45" s="224" t="e">
        <f t="shared" si="39"/>
        <v>#DIV/0!</v>
      </c>
      <c r="E45" s="224">
        <f t="shared" si="39"/>
        <v>0</v>
      </c>
      <c r="F45" s="224">
        <f t="shared" si="32"/>
        <v>0</v>
      </c>
      <c r="G45" s="224">
        <f t="shared" si="32"/>
        <v>0</v>
      </c>
      <c r="H45" s="224">
        <f t="shared" si="32"/>
        <v>0</v>
      </c>
      <c r="I45" s="224">
        <f t="shared" si="32"/>
        <v>0</v>
      </c>
      <c r="J45" s="224">
        <f t="shared" si="32"/>
        <v>0</v>
      </c>
      <c r="K45" s="224">
        <f t="shared" si="32"/>
        <v>0</v>
      </c>
      <c r="L45" s="224">
        <f t="shared" si="32"/>
        <v>0</v>
      </c>
      <c r="M45" s="224">
        <f t="shared" si="32"/>
        <v>0</v>
      </c>
      <c r="N45" s="224">
        <f t="shared" si="32"/>
        <v>0</v>
      </c>
      <c r="O45" s="228">
        <f t="shared" si="32"/>
        <v>0</v>
      </c>
      <c r="Q45" s="65" t="s">
        <v>280</v>
      </c>
      <c r="R45" s="65" t="s">
        <v>159</v>
      </c>
      <c r="S45" s="174">
        <v>0</v>
      </c>
      <c r="T45" s="174">
        <v>0</v>
      </c>
      <c r="U45" s="174">
        <v>0</v>
      </c>
      <c r="V45" s="174"/>
      <c r="W45" s="174"/>
      <c r="X45" s="174"/>
      <c r="Y45" s="174"/>
      <c r="Z45" s="174"/>
      <c r="AA45" s="174"/>
      <c r="AB45" s="174"/>
      <c r="AC45" s="174"/>
      <c r="AD45" s="174"/>
      <c r="AE45" s="69">
        <f t="shared" si="2"/>
        <v>0</v>
      </c>
      <c r="AG45" s="685"/>
      <c r="AH45" s="322" t="s">
        <v>159</v>
      </c>
      <c r="AI45" s="311">
        <v>0</v>
      </c>
      <c r="AJ45" s="311">
        <v>0</v>
      </c>
      <c r="AK45" s="311">
        <v>28.425999999999998</v>
      </c>
      <c r="AL45" s="311">
        <v>4096.1350000000002</v>
      </c>
      <c r="AM45" s="311">
        <v>5309.533636363637</v>
      </c>
      <c r="AN45" s="311">
        <v>9611.9060000000009</v>
      </c>
      <c r="AO45" s="333">
        <f>98.3+1500</f>
        <v>1598.3</v>
      </c>
      <c r="AP45" s="333">
        <f>995.017+1500</f>
        <v>2495.0169999999998</v>
      </c>
      <c r="AQ45" s="333">
        <f>147.184+1500</f>
        <v>1647.184</v>
      </c>
      <c r="AR45" s="311">
        <v>189.56299999999999</v>
      </c>
      <c r="AS45" s="311">
        <v>188.20099999999999</v>
      </c>
      <c r="AT45" s="311">
        <v>186.68899999999999</v>
      </c>
      <c r="AU45" s="312">
        <f t="shared" si="4"/>
        <v>25350.954636363636</v>
      </c>
      <c r="AV45" s="180">
        <v>20973.590636363599</v>
      </c>
      <c r="AW45" s="221">
        <f t="shared" si="30"/>
        <v>4377.3640000000378</v>
      </c>
      <c r="AX45" s="219">
        <f>AU45/$AU$51</f>
        <v>7.5748596238967125E-2</v>
      </c>
    </row>
    <row r="46" spans="1:51" ht="12.75" customHeight="1" thickBot="1">
      <c r="A46" s="215" t="s">
        <v>281</v>
      </c>
      <c r="B46" s="215" t="s">
        <v>160</v>
      </c>
      <c r="C46" s="225">
        <f>S46/AI46</f>
        <v>0.99871796960697545</v>
      </c>
      <c r="D46" s="225">
        <f>T46/AJ46</f>
        <v>0.9813751093396208</v>
      </c>
      <c r="E46" s="225">
        <f t="shared" si="39"/>
        <v>1.2564244902655135</v>
      </c>
      <c r="F46" s="225">
        <f t="shared" si="32"/>
        <v>0</v>
      </c>
      <c r="G46" s="225">
        <f t="shared" si="32"/>
        <v>0</v>
      </c>
      <c r="H46" s="225">
        <f t="shared" si="32"/>
        <v>0</v>
      </c>
      <c r="I46" s="225">
        <f t="shared" si="32"/>
        <v>0</v>
      </c>
      <c r="J46" s="225">
        <f t="shared" si="32"/>
        <v>0</v>
      </c>
      <c r="K46" s="225">
        <f t="shared" si="32"/>
        <v>0</v>
      </c>
      <c r="L46" s="225">
        <f t="shared" si="32"/>
        <v>0</v>
      </c>
      <c r="M46" s="225">
        <f t="shared" si="32"/>
        <v>0</v>
      </c>
      <c r="N46" s="225">
        <f t="shared" si="32"/>
        <v>0</v>
      </c>
      <c r="O46" s="229">
        <f t="shared" si="32"/>
        <v>0.13894523543242301</v>
      </c>
      <c r="Q46" s="215" t="s">
        <v>282</v>
      </c>
      <c r="R46" s="215" t="s">
        <v>160</v>
      </c>
      <c r="S46" s="216">
        <v>3895.0635454545454</v>
      </c>
      <c r="T46" s="216">
        <v>1893.9273636363635</v>
      </c>
      <c r="U46" s="216">
        <v>3375.4586363636358</v>
      </c>
      <c r="V46" s="216"/>
      <c r="W46" s="216"/>
      <c r="X46" s="216"/>
      <c r="Y46" s="216"/>
      <c r="Z46" s="216"/>
      <c r="AA46" s="216"/>
      <c r="AB46" s="216"/>
      <c r="AC46" s="216"/>
      <c r="AD46" s="216"/>
      <c r="AE46" s="218">
        <f t="shared" si="2"/>
        <v>9164.4495454545449</v>
      </c>
      <c r="AG46" s="685"/>
      <c r="AH46" s="323" t="s">
        <v>160</v>
      </c>
      <c r="AI46" s="315">
        <v>3900.0635454545454</v>
      </c>
      <c r="AJ46" s="315">
        <v>1929.8710000000001</v>
      </c>
      <c r="AK46" s="315">
        <v>2686.5590909090906</v>
      </c>
      <c r="AL46" s="315">
        <v>2581.7972727272727</v>
      </c>
      <c r="AM46" s="315">
        <v>10698.764545454545</v>
      </c>
      <c r="AN46" s="315">
        <v>5601.7809090909086</v>
      </c>
      <c r="AO46" s="334">
        <f>8918.41909090909+650</f>
        <v>9568.4190909090903</v>
      </c>
      <c r="AP46" s="334">
        <f>6961.43272727273+650</f>
        <v>7611.4327272727296</v>
      </c>
      <c r="AQ46" s="334">
        <f>4372.82363636364+650</f>
        <v>5022.8236363636397</v>
      </c>
      <c r="AR46" s="315">
        <v>2611.8799999999997</v>
      </c>
      <c r="AS46" s="315">
        <v>3777.4863636363625</v>
      </c>
      <c r="AT46" s="315">
        <v>9966.4</v>
      </c>
      <c r="AU46" s="316">
        <f t="shared" si="4"/>
        <v>65957.278181818183</v>
      </c>
      <c r="AV46" s="180">
        <v>63132.13</v>
      </c>
      <c r="AW46" s="221">
        <f t="shared" si="30"/>
        <v>2825.1481818181855</v>
      </c>
      <c r="AX46" s="219">
        <f>AU46/$AU$51</f>
        <v>0.19708020095027226</v>
      </c>
    </row>
    <row r="47" spans="1:51" ht="12.75" customHeight="1" thickTop="1"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241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4"/>
      <c r="AG47" s="685"/>
      <c r="AH47" s="74" t="s">
        <v>143</v>
      </c>
      <c r="AI47" s="301">
        <f>SUM(AI42:AI46)</f>
        <v>6603.1875454545452</v>
      </c>
      <c r="AJ47" s="301">
        <f t="shared" ref="AJ47:AT47" si="40">SUM(AJ42:AJ46)</f>
        <v>8242.8990000000013</v>
      </c>
      <c r="AK47" s="301">
        <f t="shared" si="40"/>
        <v>6586.6276969696919</v>
      </c>
      <c r="AL47" s="301">
        <f t="shared" si="40"/>
        <v>9836.7468512554115</v>
      </c>
      <c r="AM47" s="301">
        <f t="shared" si="40"/>
        <v>19431.412214891774</v>
      </c>
      <c r="AN47" s="301">
        <f t="shared" si="40"/>
        <v>18901.10039670996</v>
      </c>
      <c r="AO47" s="301">
        <f t="shared" si="40"/>
        <v>14477.443396709954</v>
      </c>
      <c r="AP47" s="301">
        <f t="shared" si="40"/>
        <v>14322.462123982687</v>
      </c>
      <c r="AQ47" s="301">
        <f t="shared" si="40"/>
        <v>11527.008669437233</v>
      </c>
      <c r="AR47" s="301">
        <f t="shared" si="40"/>
        <v>7658.4440330735943</v>
      </c>
      <c r="AS47" s="301">
        <f t="shared" si="40"/>
        <v>7540.7111239826845</v>
      </c>
      <c r="AT47" s="301">
        <f t="shared" si="40"/>
        <v>13519.915033073594</v>
      </c>
      <c r="AU47" s="270"/>
      <c r="AV47" s="180"/>
      <c r="AW47" s="221"/>
      <c r="AX47" s="219"/>
    </row>
    <row r="48" spans="1:51" ht="12" customHeight="1"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241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4"/>
      <c r="AG48" s="685"/>
      <c r="AH48" s="277" t="s">
        <v>142</v>
      </c>
      <c r="AI48" s="247">
        <f>SUM(S42:S46)</f>
        <v>5584.5635454545481</v>
      </c>
      <c r="AJ48" s="247">
        <f t="shared" ref="AJ48:AK48" si="41">SUM(T42:T46)</f>
        <v>7342.565545454544</v>
      </c>
      <c r="AK48" s="247">
        <f t="shared" si="41"/>
        <v>7314.5859090909034</v>
      </c>
      <c r="AL48" s="247"/>
      <c r="AM48" s="247"/>
      <c r="AN48" s="247"/>
      <c r="AO48" s="304"/>
      <c r="AP48" s="304"/>
      <c r="AQ48" s="304"/>
      <c r="AR48" s="247"/>
      <c r="AS48" s="247"/>
      <c r="AT48" s="247"/>
      <c r="AU48" s="252"/>
      <c r="AV48" s="180"/>
      <c r="AW48" s="221"/>
      <c r="AX48" s="219"/>
    </row>
    <row r="49" spans="1:50" ht="12" customHeight="1"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241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4"/>
      <c r="AG49" s="685"/>
      <c r="AH49" s="153" t="s">
        <v>146</v>
      </c>
      <c r="AI49" s="248">
        <f>AI48-AI47</f>
        <v>-1018.6239999999971</v>
      </c>
      <c r="AJ49" s="248">
        <f t="shared" ref="AJ49:AK49" si="42">AJ48-AJ47</f>
        <v>-900.33345454545724</v>
      </c>
      <c r="AK49" s="248">
        <f t="shared" si="42"/>
        <v>727.95821212121155</v>
      </c>
      <c r="AL49" s="248"/>
      <c r="AM49" s="248"/>
      <c r="AN49" s="248"/>
      <c r="AO49" s="302"/>
      <c r="AP49" s="302"/>
      <c r="AQ49" s="302"/>
      <c r="AR49" s="248"/>
      <c r="AS49" s="248"/>
      <c r="AT49" s="248"/>
      <c r="AU49" s="271"/>
      <c r="AV49" s="180"/>
      <c r="AW49" s="221"/>
      <c r="AX49" s="219"/>
    </row>
    <row r="50" spans="1:50" ht="12" customHeight="1" thickBot="1"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241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4"/>
      <c r="AG50" s="686"/>
      <c r="AH50" s="280" t="s">
        <v>145</v>
      </c>
      <c r="AI50" s="253">
        <f>AI48/AI47</f>
        <v>0.84573753312501476</v>
      </c>
      <c r="AJ50" s="253">
        <f t="shared" ref="AJ50:AK50" si="43">AJ48/AJ47</f>
        <v>0.89077465894639041</v>
      </c>
      <c r="AK50" s="253">
        <f t="shared" si="43"/>
        <v>1.1105206253658642</v>
      </c>
      <c r="AL50" s="293"/>
      <c r="AM50" s="293"/>
      <c r="AN50" s="293"/>
      <c r="AO50" s="303"/>
      <c r="AP50" s="303"/>
      <c r="AQ50" s="303"/>
      <c r="AR50" s="293"/>
      <c r="AS50" s="293"/>
      <c r="AT50" s="293"/>
      <c r="AU50" s="272"/>
      <c r="AV50" s="180"/>
      <c r="AW50" s="221"/>
      <c r="AX50" s="219"/>
    </row>
    <row r="51" spans="1:50">
      <c r="A51" s="65" t="s">
        <v>38</v>
      </c>
      <c r="C51" s="228">
        <f t="shared" si="5"/>
        <v>0.99372734945699404</v>
      </c>
      <c r="D51" s="228">
        <f t="shared" si="39"/>
        <v>0.95298502566785892</v>
      </c>
      <c r="E51" s="228">
        <f t="shared" si="39"/>
        <v>1.1246503454510413</v>
      </c>
      <c r="F51" s="228">
        <f t="shared" si="32"/>
        <v>0</v>
      </c>
      <c r="G51" s="228">
        <f t="shared" si="32"/>
        <v>0</v>
      </c>
      <c r="H51" s="228">
        <f t="shared" si="32"/>
        <v>0</v>
      </c>
      <c r="I51" s="228">
        <f t="shared" si="32"/>
        <v>0</v>
      </c>
      <c r="J51" s="228">
        <f t="shared" si="32"/>
        <v>0</v>
      </c>
      <c r="K51" s="228">
        <f t="shared" si="32"/>
        <v>0</v>
      </c>
      <c r="L51" s="228">
        <f t="shared" si="32"/>
        <v>0</v>
      </c>
      <c r="M51" s="228">
        <f t="shared" si="32"/>
        <v>0</v>
      </c>
      <c r="N51" s="228">
        <f t="shared" si="32"/>
        <v>0</v>
      </c>
      <c r="O51" s="228">
        <f>AE51/AU51</f>
        <v>0.14340638498191419</v>
      </c>
      <c r="Q51" s="65" t="s">
        <v>38</v>
      </c>
      <c r="S51" s="69">
        <f>SUM(S42:S46)+S7+S15+S23+S30+S38</f>
        <v>15672.412636363637</v>
      </c>
      <c r="T51" s="69">
        <f t="shared" ref="T51:AD51" si="44">SUM(T42:T46)+T7+T15+T23+T30+T38</f>
        <v>15550.045545454544</v>
      </c>
      <c r="U51" s="69">
        <f t="shared" si="44"/>
        <v>16771.682181818182</v>
      </c>
      <c r="V51" s="69">
        <f t="shared" si="44"/>
        <v>0</v>
      </c>
      <c r="W51" s="69">
        <f t="shared" si="44"/>
        <v>0</v>
      </c>
      <c r="X51" s="69">
        <f t="shared" si="44"/>
        <v>0</v>
      </c>
      <c r="Y51" s="69">
        <f t="shared" si="44"/>
        <v>0</v>
      </c>
      <c r="Z51" s="69">
        <f t="shared" si="44"/>
        <v>0</v>
      </c>
      <c r="AA51" s="69">
        <f t="shared" si="44"/>
        <v>0</v>
      </c>
      <c r="AB51" s="69">
        <f t="shared" si="44"/>
        <v>0</v>
      </c>
      <c r="AC51" s="69">
        <f t="shared" si="44"/>
        <v>0</v>
      </c>
      <c r="AD51" s="69">
        <f t="shared" si="44"/>
        <v>0</v>
      </c>
      <c r="AE51" s="69">
        <f>SUM(AE42:AE46)+AE7+AE15+AE23+AE30+AE38</f>
        <v>47994.140363636368</v>
      </c>
      <c r="AG51" s="65" t="s">
        <v>38</v>
      </c>
      <c r="AI51" s="214">
        <f>AI7+AI15+AI23+AI30+AI38+SUM(AI47)</f>
        <v>15771.340745454545</v>
      </c>
      <c r="AJ51" s="214">
        <f t="shared" ref="AJ51:AT51" si="45">AJ7+AJ15+AJ23+AJ30+AJ38+SUM(AJ47)</f>
        <v>16317.198200000003</v>
      </c>
      <c r="AK51" s="214">
        <f t="shared" si="45"/>
        <v>14912.796896969692</v>
      </c>
      <c r="AL51" s="214">
        <f t="shared" si="45"/>
        <v>17914.431411255413</v>
      </c>
      <c r="AM51" s="214">
        <f t="shared" si="45"/>
        <v>27652.544774891772</v>
      </c>
      <c r="AN51" s="214">
        <f t="shared" si="45"/>
        <v>27409.128956709959</v>
      </c>
      <c r="AO51" s="214">
        <f t="shared" si="45"/>
        <v>27406.060036709954</v>
      </c>
      <c r="AP51" s="214">
        <f t="shared" si="45"/>
        <v>32675.332763982689</v>
      </c>
      <c r="AQ51" s="214">
        <f t="shared" si="45"/>
        <v>32716.013829437237</v>
      </c>
      <c r="AR51" s="214">
        <f t="shared" si="45"/>
        <v>34988.096193073594</v>
      </c>
      <c r="AS51" s="214">
        <f t="shared" si="45"/>
        <v>37838.341283982692</v>
      </c>
      <c r="AT51" s="214">
        <f t="shared" si="45"/>
        <v>49070.984693073595</v>
      </c>
      <c r="AU51" s="214">
        <f>AU7+AU15+AU23+AU30+AU38+AU42+AU43+AU44+AU45+AU46</f>
        <v>334672.26978554117</v>
      </c>
      <c r="AV51" s="180">
        <f>SUM(AV34:AV46)</f>
        <v>237624.22096969694</v>
      </c>
      <c r="AW51" s="221">
        <f t="shared" si="30"/>
        <v>97048.048815844231</v>
      </c>
    </row>
    <row r="53" spans="1:50">
      <c r="AI53" s="69">
        <v>3729.6272727272681</v>
      </c>
      <c r="AJ53" s="69">
        <v>3649.8838815584422</v>
      </c>
      <c r="AK53" s="69">
        <f>AI53-AJ53</f>
        <v>79.743391168825838</v>
      </c>
      <c r="AL53" s="69">
        <v>79.743391168825838</v>
      </c>
    </row>
    <row r="54" spans="1:50" s="183" customFormat="1">
      <c r="A54" s="183" t="s">
        <v>284</v>
      </c>
      <c r="C54" s="184" t="s">
        <v>188</v>
      </c>
      <c r="D54" s="184" t="s">
        <v>312</v>
      </c>
      <c r="E54" s="184" t="s">
        <v>191</v>
      </c>
      <c r="F54" s="184" t="s">
        <v>192</v>
      </c>
      <c r="G54" s="184" t="s">
        <v>193</v>
      </c>
      <c r="H54" s="184" t="s">
        <v>194</v>
      </c>
      <c r="I54" s="184" t="s">
        <v>195</v>
      </c>
      <c r="J54" s="184" t="s">
        <v>196</v>
      </c>
      <c r="K54" s="184" t="s">
        <v>197</v>
      </c>
      <c r="L54" s="184" t="s">
        <v>198</v>
      </c>
      <c r="M54" s="184" t="s">
        <v>199</v>
      </c>
      <c r="N54" s="184" t="s">
        <v>200</v>
      </c>
      <c r="O54" s="184" t="s">
        <v>315</v>
      </c>
      <c r="Q54" s="183" t="s">
        <v>284</v>
      </c>
      <c r="S54" s="184" t="s">
        <v>188</v>
      </c>
      <c r="T54" s="184" t="s">
        <v>312</v>
      </c>
      <c r="U54" s="184" t="s">
        <v>191</v>
      </c>
      <c r="V54" s="184" t="s">
        <v>192</v>
      </c>
      <c r="W54" s="184" t="s">
        <v>193</v>
      </c>
      <c r="X54" s="184" t="s">
        <v>194</v>
      </c>
      <c r="Y54" s="184" t="s">
        <v>195</v>
      </c>
      <c r="Z54" s="184" t="s">
        <v>196</v>
      </c>
      <c r="AA54" s="184" t="s">
        <v>197</v>
      </c>
      <c r="AB54" s="184" t="s">
        <v>198</v>
      </c>
      <c r="AC54" s="184" t="s">
        <v>199</v>
      </c>
      <c r="AD54" s="184" t="s">
        <v>200</v>
      </c>
      <c r="AE54" s="184" t="s">
        <v>315</v>
      </c>
      <c r="AG54" s="183" t="s">
        <v>284</v>
      </c>
      <c r="AI54" s="184" t="s">
        <v>188</v>
      </c>
      <c r="AJ54" s="184" t="s">
        <v>312</v>
      </c>
      <c r="AK54" s="184" t="s">
        <v>191</v>
      </c>
      <c r="AL54" s="184" t="s">
        <v>192</v>
      </c>
      <c r="AM54" s="184" t="s">
        <v>193</v>
      </c>
      <c r="AN54" s="184" t="s">
        <v>194</v>
      </c>
      <c r="AO54" s="184" t="s">
        <v>195</v>
      </c>
      <c r="AP54" s="184" t="s">
        <v>196</v>
      </c>
      <c r="AQ54" s="184" t="s">
        <v>197</v>
      </c>
      <c r="AR54" s="184" t="s">
        <v>198</v>
      </c>
      <c r="AS54" s="184" t="s">
        <v>199</v>
      </c>
      <c r="AT54" s="184" t="s">
        <v>200</v>
      </c>
      <c r="AU54" s="184" t="s">
        <v>315</v>
      </c>
      <c r="AV54" s="184" t="s">
        <v>285</v>
      </c>
    </row>
    <row r="55" spans="1:50">
      <c r="A55" s="65" t="s">
        <v>149</v>
      </c>
      <c r="B55" s="65" t="s">
        <v>260</v>
      </c>
      <c r="C55" s="174" t="e">
        <f t="shared" ref="C55:O74" si="46">S55/AI55</f>
        <v>#DIV/0!</v>
      </c>
      <c r="D55" s="174" t="e">
        <f t="shared" si="46"/>
        <v>#DIV/0!</v>
      </c>
      <c r="E55" s="174" t="e">
        <f t="shared" si="46"/>
        <v>#DIV/0!</v>
      </c>
      <c r="F55" s="174" t="e">
        <f t="shared" si="46"/>
        <v>#DIV/0!</v>
      </c>
      <c r="G55" s="174" t="e">
        <f t="shared" si="46"/>
        <v>#DIV/0!</v>
      </c>
      <c r="H55" s="174" t="e">
        <f t="shared" si="46"/>
        <v>#DIV/0!</v>
      </c>
      <c r="I55" s="174">
        <f t="shared" si="46"/>
        <v>0</v>
      </c>
      <c r="J55" s="174">
        <f t="shared" si="46"/>
        <v>0</v>
      </c>
      <c r="K55" s="174">
        <f t="shared" si="46"/>
        <v>0</v>
      </c>
      <c r="L55" s="174">
        <f t="shared" si="46"/>
        <v>0</v>
      </c>
      <c r="M55" s="174">
        <f t="shared" si="46"/>
        <v>0</v>
      </c>
      <c r="N55" s="174">
        <f t="shared" si="46"/>
        <v>0</v>
      </c>
      <c r="O55" s="69">
        <f t="shared" si="46"/>
        <v>0</v>
      </c>
      <c r="Q55" s="65" t="s">
        <v>149</v>
      </c>
      <c r="R55" s="65" t="s">
        <v>260</v>
      </c>
      <c r="S55" s="174">
        <v>0</v>
      </c>
      <c r="T55" s="174">
        <v>0</v>
      </c>
      <c r="U55" s="174">
        <v>0</v>
      </c>
      <c r="V55" s="174"/>
      <c r="W55" s="174"/>
      <c r="X55" s="174"/>
      <c r="Y55" s="174"/>
      <c r="Z55" s="174"/>
      <c r="AA55" s="174"/>
      <c r="AB55" s="174"/>
      <c r="AC55" s="174"/>
      <c r="AD55" s="174"/>
      <c r="AE55" s="69">
        <f>AD55</f>
        <v>0</v>
      </c>
      <c r="AG55" s="65" t="s">
        <v>149</v>
      </c>
      <c r="AH55" s="65" t="s">
        <v>260</v>
      </c>
      <c r="AO55" s="174">
        <v>14</v>
      </c>
      <c r="AP55" s="174">
        <v>24</v>
      </c>
      <c r="AQ55" s="174">
        <v>36</v>
      </c>
      <c r="AR55" s="174">
        <v>48</v>
      </c>
      <c r="AS55" s="174">
        <v>58</v>
      </c>
      <c r="AT55" s="174">
        <v>76</v>
      </c>
      <c r="AU55" s="69">
        <f>AT55</f>
        <v>76</v>
      </c>
      <c r="AV55" s="69">
        <v>110</v>
      </c>
      <c r="AW55" s="171"/>
    </row>
    <row r="56" spans="1:50">
      <c r="B56" s="65" t="s">
        <v>24</v>
      </c>
      <c r="C56" s="174">
        <f>S56/AI56</f>
        <v>1</v>
      </c>
      <c r="D56" s="174">
        <f t="shared" si="46"/>
        <v>1</v>
      </c>
      <c r="E56" s="174">
        <f t="shared" si="46"/>
        <v>1</v>
      </c>
      <c r="F56" s="174">
        <f t="shared" si="46"/>
        <v>0</v>
      </c>
      <c r="G56" s="174">
        <f t="shared" si="46"/>
        <v>0</v>
      </c>
      <c r="H56" s="174">
        <f t="shared" si="46"/>
        <v>0</v>
      </c>
      <c r="I56" s="174">
        <f t="shared" si="46"/>
        <v>0</v>
      </c>
      <c r="J56" s="174">
        <f t="shared" si="46"/>
        <v>0</v>
      </c>
      <c r="K56" s="174">
        <f t="shared" si="46"/>
        <v>0</v>
      </c>
      <c r="L56" s="174">
        <f t="shared" si="46"/>
        <v>0</v>
      </c>
      <c r="M56" s="174">
        <f t="shared" si="46"/>
        <v>0</v>
      </c>
      <c r="N56" s="174">
        <f t="shared" si="46"/>
        <v>0</v>
      </c>
      <c r="O56" s="69">
        <f t="shared" si="46"/>
        <v>0</v>
      </c>
      <c r="R56" s="65" t="s">
        <v>24</v>
      </c>
      <c r="S56" s="174">
        <v>2</v>
      </c>
      <c r="T56" s="174">
        <v>4</v>
      </c>
      <c r="U56" s="174">
        <v>6</v>
      </c>
      <c r="V56" s="174"/>
      <c r="W56" s="174"/>
      <c r="X56" s="174"/>
      <c r="Y56" s="174"/>
      <c r="Z56" s="174"/>
      <c r="AA56" s="174"/>
      <c r="AB56" s="174"/>
      <c r="AC56" s="174"/>
      <c r="AD56" s="174"/>
      <c r="AE56" s="69">
        <f t="shared" ref="AE56:AE79" si="47">AD56</f>
        <v>0</v>
      </c>
      <c r="AH56" s="65" t="s">
        <v>24</v>
      </c>
      <c r="AI56" s="174">
        <v>2</v>
      </c>
      <c r="AJ56" s="174">
        <v>4</v>
      </c>
      <c r="AK56" s="174">
        <v>6</v>
      </c>
      <c r="AL56" s="174">
        <v>7</v>
      </c>
      <c r="AM56" s="174">
        <v>10</v>
      </c>
      <c r="AN56" s="174">
        <v>17</v>
      </c>
      <c r="AO56" s="174">
        <v>24</v>
      </c>
      <c r="AP56" s="174">
        <v>30</v>
      </c>
      <c r="AQ56" s="174">
        <v>38</v>
      </c>
      <c r="AR56" s="174">
        <v>44</v>
      </c>
      <c r="AS56" s="174">
        <v>52</v>
      </c>
      <c r="AT56" s="174">
        <v>65</v>
      </c>
      <c r="AU56" s="69">
        <f t="shared" ref="AU56:AU80" si="48">AT56</f>
        <v>65</v>
      </c>
      <c r="AV56" s="69">
        <v>0</v>
      </c>
    </row>
    <row r="57" spans="1:50">
      <c r="B57" s="65" t="s">
        <v>262</v>
      </c>
      <c r="C57" s="174" t="e">
        <f t="shared" si="46"/>
        <v>#DIV/0!</v>
      </c>
      <c r="D57" s="174" t="e">
        <f t="shared" si="46"/>
        <v>#DIV/0!</v>
      </c>
      <c r="E57" s="174">
        <f t="shared" si="46"/>
        <v>2</v>
      </c>
      <c r="F57" s="174">
        <f t="shared" si="46"/>
        <v>0</v>
      </c>
      <c r="G57" s="174">
        <f t="shared" si="46"/>
        <v>0</v>
      </c>
      <c r="H57" s="174">
        <f t="shared" si="46"/>
        <v>0</v>
      </c>
      <c r="I57" s="174">
        <f t="shared" si="46"/>
        <v>0</v>
      </c>
      <c r="J57" s="174">
        <f t="shared" si="46"/>
        <v>0</v>
      </c>
      <c r="K57" s="174">
        <f t="shared" si="46"/>
        <v>0</v>
      </c>
      <c r="L57" s="174">
        <f t="shared" si="46"/>
        <v>0</v>
      </c>
      <c r="M57" s="174">
        <f t="shared" si="46"/>
        <v>0</v>
      </c>
      <c r="N57" s="174">
        <f t="shared" si="46"/>
        <v>0</v>
      </c>
      <c r="O57" s="69">
        <f t="shared" si="46"/>
        <v>0</v>
      </c>
      <c r="R57" s="65" t="s">
        <v>262</v>
      </c>
      <c r="S57" s="174">
        <v>1</v>
      </c>
      <c r="T57" s="174">
        <v>1</v>
      </c>
      <c r="U57" s="174">
        <v>2</v>
      </c>
      <c r="V57" s="174"/>
      <c r="W57" s="174"/>
      <c r="X57" s="174"/>
      <c r="Y57" s="174"/>
      <c r="Z57" s="174"/>
      <c r="AA57" s="174"/>
      <c r="AB57" s="174"/>
      <c r="AC57" s="174"/>
      <c r="AD57" s="174"/>
      <c r="AE57" s="69">
        <f t="shared" si="47"/>
        <v>0</v>
      </c>
      <c r="AH57" s="65" t="s">
        <v>262</v>
      </c>
      <c r="AK57" s="69">
        <v>1</v>
      </c>
      <c r="AL57" s="69">
        <v>1</v>
      </c>
      <c r="AM57" s="69">
        <v>1</v>
      </c>
      <c r="AN57" s="69">
        <v>1</v>
      </c>
      <c r="AO57" s="69">
        <f>AO55+$AN$57</f>
        <v>15</v>
      </c>
      <c r="AP57" s="69">
        <f t="shared" ref="AP57:AT57" si="49">AP55+$AN$57</f>
        <v>25</v>
      </c>
      <c r="AQ57" s="69">
        <f t="shared" si="49"/>
        <v>37</v>
      </c>
      <c r="AR57" s="69">
        <f t="shared" si="49"/>
        <v>49</v>
      </c>
      <c r="AS57" s="69">
        <f t="shared" si="49"/>
        <v>59</v>
      </c>
      <c r="AT57" s="69">
        <f t="shared" si="49"/>
        <v>77</v>
      </c>
      <c r="AU57" s="69">
        <f t="shared" si="48"/>
        <v>77</v>
      </c>
      <c r="AV57" s="69">
        <v>110</v>
      </c>
    </row>
    <row r="58" spans="1:50">
      <c r="B58" s="65" t="s">
        <v>26</v>
      </c>
      <c r="C58" s="174" t="e">
        <f t="shared" si="46"/>
        <v>#DIV/0!</v>
      </c>
      <c r="D58" s="174" t="e">
        <f t="shared" si="46"/>
        <v>#DIV/0!</v>
      </c>
      <c r="E58" s="174" t="e">
        <f t="shared" si="46"/>
        <v>#DIV/0!</v>
      </c>
      <c r="F58" s="174" t="e">
        <f t="shared" si="46"/>
        <v>#DIV/0!</v>
      </c>
      <c r="G58" s="174" t="e">
        <f t="shared" si="46"/>
        <v>#DIV/0!</v>
      </c>
      <c r="H58" s="174" t="e">
        <f t="shared" si="46"/>
        <v>#DIV/0!</v>
      </c>
      <c r="I58" s="174">
        <f t="shared" si="46"/>
        <v>0</v>
      </c>
      <c r="J58" s="174">
        <f t="shared" si="46"/>
        <v>0</v>
      </c>
      <c r="K58" s="174">
        <f t="shared" si="46"/>
        <v>0</v>
      </c>
      <c r="L58" s="174">
        <f t="shared" si="46"/>
        <v>0</v>
      </c>
      <c r="M58" s="174">
        <f t="shared" si="46"/>
        <v>0</v>
      </c>
      <c r="N58" s="174">
        <f t="shared" si="46"/>
        <v>0</v>
      </c>
      <c r="O58" s="69">
        <f t="shared" si="46"/>
        <v>0</v>
      </c>
      <c r="R58" s="65" t="s">
        <v>26</v>
      </c>
      <c r="S58" s="174">
        <v>0</v>
      </c>
      <c r="T58" s="174">
        <v>0</v>
      </c>
      <c r="U58" s="174">
        <v>0</v>
      </c>
      <c r="V58" s="174"/>
      <c r="W58" s="174"/>
      <c r="X58" s="174"/>
      <c r="Y58" s="174"/>
      <c r="Z58" s="174"/>
      <c r="AA58" s="174"/>
      <c r="AB58" s="174"/>
      <c r="AC58" s="174"/>
      <c r="AD58" s="174"/>
      <c r="AE58" s="69">
        <f t="shared" si="47"/>
        <v>0</v>
      </c>
      <c r="AH58" s="65" t="s">
        <v>26</v>
      </c>
      <c r="AO58" s="69">
        <f>AO57/2</f>
        <v>7.5</v>
      </c>
      <c r="AP58" s="69">
        <f t="shared" ref="AP58:AT58" si="50">AP57/2</f>
        <v>12.5</v>
      </c>
      <c r="AQ58" s="69">
        <f t="shared" si="50"/>
        <v>18.5</v>
      </c>
      <c r="AR58" s="69">
        <f t="shared" si="50"/>
        <v>24.5</v>
      </c>
      <c r="AS58" s="69">
        <f t="shared" si="50"/>
        <v>29.5</v>
      </c>
      <c r="AT58" s="69">
        <f t="shared" si="50"/>
        <v>38.5</v>
      </c>
      <c r="AU58" s="69">
        <f t="shared" si="48"/>
        <v>38.5</v>
      </c>
      <c r="AV58" s="69">
        <v>55</v>
      </c>
      <c r="AW58" s="65" t="s">
        <v>286</v>
      </c>
    </row>
    <row r="59" spans="1:50">
      <c r="A59" s="176"/>
      <c r="B59" s="176" t="s">
        <v>162</v>
      </c>
      <c r="C59" s="177">
        <f t="shared" si="46"/>
        <v>1.5</v>
      </c>
      <c r="D59" s="177">
        <f t="shared" si="46"/>
        <v>1.25</v>
      </c>
      <c r="E59" s="177">
        <f t="shared" si="46"/>
        <v>1.1428571428571428</v>
      </c>
      <c r="F59" s="177">
        <f t="shared" si="46"/>
        <v>0</v>
      </c>
      <c r="G59" s="177">
        <f t="shared" si="46"/>
        <v>0</v>
      </c>
      <c r="H59" s="177">
        <f t="shared" si="46"/>
        <v>0</v>
      </c>
      <c r="I59" s="177">
        <f t="shared" si="46"/>
        <v>0</v>
      </c>
      <c r="J59" s="177">
        <f t="shared" si="46"/>
        <v>0</v>
      </c>
      <c r="K59" s="177">
        <f t="shared" si="46"/>
        <v>0</v>
      </c>
      <c r="L59" s="177">
        <f t="shared" si="46"/>
        <v>0</v>
      </c>
      <c r="M59" s="177">
        <f t="shared" si="46"/>
        <v>0</v>
      </c>
      <c r="N59" s="177">
        <f t="shared" si="46"/>
        <v>0</v>
      </c>
      <c r="O59" s="177">
        <f t="shared" si="46"/>
        <v>0</v>
      </c>
      <c r="Q59" s="176"/>
      <c r="R59" s="176" t="s">
        <v>162</v>
      </c>
      <c r="S59" s="177">
        <f>SUM(S55:S58)</f>
        <v>3</v>
      </c>
      <c r="T59" s="177">
        <f t="shared" ref="T59:AD59" si="51">SUM(T55:T58)</f>
        <v>5</v>
      </c>
      <c r="U59" s="177">
        <f>SUM(U55:U58)</f>
        <v>8</v>
      </c>
      <c r="V59" s="177">
        <f t="shared" si="51"/>
        <v>0</v>
      </c>
      <c r="W59" s="177">
        <f t="shared" si="51"/>
        <v>0</v>
      </c>
      <c r="X59" s="177">
        <f t="shared" si="51"/>
        <v>0</v>
      </c>
      <c r="Y59" s="177">
        <f t="shared" si="51"/>
        <v>0</v>
      </c>
      <c r="Z59" s="177">
        <f t="shared" si="51"/>
        <v>0</v>
      </c>
      <c r="AA59" s="177">
        <f t="shared" si="51"/>
        <v>0</v>
      </c>
      <c r="AB59" s="177">
        <f t="shared" si="51"/>
        <v>0</v>
      </c>
      <c r="AC59" s="177">
        <f t="shared" si="51"/>
        <v>0</v>
      </c>
      <c r="AD59" s="177">
        <f t="shared" si="51"/>
        <v>0</v>
      </c>
      <c r="AE59" s="177">
        <f t="shared" si="47"/>
        <v>0</v>
      </c>
      <c r="AG59" s="176"/>
      <c r="AH59" s="176" t="s">
        <v>162</v>
      </c>
      <c r="AI59" s="177">
        <f>SUM(AI55:AI58)</f>
        <v>2</v>
      </c>
      <c r="AJ59" s="177">
        <f t="shared" ref="AJ59:AT59" si="52">SUM(AJ55:AJ58)</f>
        <v>4</v>
      </c>
      <c r="AK59" s="177">
        <f t="shared" si="52"/>
        <v>7</v>
      </c>
      <c r="AL59" s="177">
        <f t="shared" si="52"/>
        <v>8</v>
      </c>
      <c r="AM59" s="177">
        <f t="shared" si="52"/>
        <v>11</v>
      </c>
      <c r="AN59" s="177">
        <f t="shared" si="52"/>
        <v>18</v>
      </c>
      <c r="AO59" s="177">
        <f t="shared" si="52"/>
        <v>60.5</v>
      </c>
      <c r="AP59" s="177">
        <f t="shared" si="52"/>
        <v>91.5</v>
      </c>
      <c r="AQ59" s="177">
        <f t="shared" si="52"/>
        <v>129.5</v>
      </c>
      <c r="AR59" s="177">
        <f t="shared" si="52"/>
        <v>165.5</v>
      </c>
      <c r="AS59" s="177">
        <f t="shared" si="52"/>
        <v>198.5</v>
      </c>
      <c r="AT59" s="177">
        <f t="shared" si="52"/>
        <v>256.5</v>
      </c>
      <c r="AU59" s="177">
        <f t="shared" si="48"/>
        <v>256.5</v>
      </c>
    </row>
    <row r="60" spans="1:50">
      <c r="A60" s="65" t="s">
        <v>150</v>
      </c>
      <c r="B60" s="65" t="s">
        <v>260</v>
      </c>
      <c r="C60" s="174" t="e">
        <f t="shared" si="46"/>
        <v>#DIV/0!</v>
      </c>
      <c r="D60" s="174" t="e">
        <f t="shared" si="46"/>
        <v>#DIV/0!</v>
      </c>
      <c r="E60" s="174" t="e">
        <f t="shared" si="46"/>
        <v>#DIV/0!</v>
      </c>
      <c r="F60" s="174" t="e">
        <f t="shared" si="46"/>
        <v>#DIV/0!</v>
      </c>
      <c r="G60" s="174" t="e">
        <f t="shared" si="46"/>
        <v>#DIV/0!</v>
      </c>
      <c r="H60" s="174" t="e">
        <f t="shared" si="46"/>
        <v>#DIV/0!</v>
      </c>
      <c r="I60" s="174">
        <f t="shared" si="46"/>
        <v>0</v>
      </c>
      <c r="J60" s="174">
        <f t="shared" si="46"/>
        <v>0</v>
      </c>
      <c r="K60" s="174">
        <f t="shared" si="46"/>
        <v>0</v>
      </c>
      <c r="L60" s="174">
        <f t="shared" si="46"/>
        <v>0</v>
      </c>
      <c r="M60" s="174">
        <f t="shared" si="46"/>
        <v>0</v>
      </c>
      <c r="N60" s="174">
        <f t="shared" si="46"/>
        <v>0</v>
      </c>
      <c r="O60" s="69">
        <f t="shared" si="46"/>
        <v>0</v>
      </c>
      <c r="Q60" s="65" t="s">
        <v>150</v>
      </c>
      <c r="R60" s="65" t="s">
        <v>260</v>
      </c>
      <c r="S60" s="174">
        <v>0</v>
      </c>
      <c r="T60" s="174">
        <v>0</v>
      </c>
      <c r="U60" s="174">
        <v>0</v>
      </c>
      <c r="V60" s="174"/>
      <c r="W60" s="174"/>
      <c r="X60" s="174"/>
      <c r="Y60" s="174"/>
      <c r="Z60" s="174"/>
      <c r="AA60" s="174"/>
      <c r="AB60" s="174"/>
      <c r="AC60" s="174"/>
      <c r="AD60" s="174"/>
      <c r="AE60" s="69">
        <f t="shared" si="47"/>
        <v>0</v>
      </c>
      <c r="AG60" s="65" t="s">
        <v>150</v>
      </c>
      <c r="AH60" s="65" t="s">
        <v>260</v>
      </c>
      <c r="AO60" s="174">
        <v>1</v>
      </c>
      <c r="AP60" s="174">
        <v>3</v>
      </c>
      <c r="AQ60" s="174">
        <v>5</v>
      </c>
      <c r="AR60" s="174">
        <v>7</v>
      </c>
      <c r="AS60" s="174">
        <v>9</v>
      </c>
      <c r="AT60" s="174">
        <v>10</v>
      </c>
      <c r="AU60" s="69">
        <f t="shared" si="48"/>
        <v>10</v>
      </c>
      <c r="AV60" s="69">
        <v>10</v>
      </c>
      <c r="AW60" s="171"/>
    </row>
    <row r="61" spans="1:50">
      <c r="B61" s="65" t="s">
        <v>24</v>
      </c>
      <c r="C61" s="174" t="e">
        <f t="shared" si="46"/>
        <v>#DIV/0!</v>
      </c>
      <c r="D61" s="174">
        <f t="shared" si="46"/>
        <v>0</v>
      </c>
      <c r="E61" s="174">
        <f t="shared" si="46"/>
        <v>0.33333333333333331</v>
      </c>
      <c r="F61" s="174">
        <f t="shared" si="46"/>
        <v>0</v>
      </c>
      <c r="G61" s="174">
        <f t="shared" si="46"/>
        <v>0</v>
      </c>
      <c r="H61" s="174">
        <f t="shared" si="46"/>
        <v>0</v>
      </c>
      <c r="I61" s="174">
        <f t="shared" si="46"/>
        <v>0</v>
      </c>
      <c r="J61" s="174">
        <f t="shared" si="46"/>
        <v>0</v>
      </c>
      <c r="K61" s="174">
        <f t="shared" si="46"/>
        <v>0</v>
      </c>
      <c r="L61" s="174">
        <f t="shared" si="46"/>
        <v>0</v>
      </c>
      <c r="M61" s="174">
        <f t="shared" si="46"/>
        <v>0</v>
      </c>
      <c r="N61" s="174">
        <f t="shared" si="46"/>
        <v>0</v>
      </c>
      <c r="O61" s="69">
        <f>AE61/AU61</f>
        <v>0</v>
      </c>
      <c r="R61" s="65" t="s">
        <v>24</v>
      </c>
      <c r="S61" s="174">
        <v>0</v>
      </c>
      <c r="T61" s="174">
        <v>0</v>
      </c>
      <c r="U61" s="174">
        <v>1</v>
      </c>
      <c r="V61" s="174"/>
      <c r="W61" s="174"/>
      <c r="X61" s="174"/>
      <c r="Y61" s="174"/>
      <c r="Z61" s="174"/>
      <c r="AA61" s="174"/>
      <c r="AB61" s="174"/>
      <c r="AC61" s="174"/>
      <c r="AD61" s="174"/>
      <c r="AE61" s="69">
        <f>AD61</f>
        <v>0</v>
      </c>
      <c r="AH61" s="65" t="s">
        <v>24</v>
      </c>
      <c r="AI61" s="174">
        <v>0</v>
      </c>
      <c r="AJ61" s="174">
        <v>1</v>
      </c>
      <c r="AK61" s="174">
        <v>3</v>
      </c>
      <c r="AL61" s="174">
        <v>4</v>
      </c>
      <c r="AM61" s="174">
        <v>5</v>
      </c>
      <c r="AN61" s="174">
        <v>6</v>
      </c>
      <c r="AO61" s="174">
        <v>7</v>
      </c>
      <c r="AP61" s="174">
        <v>9</v>
      </c>
      <c r="AQ61" s="174">
        <v>11</v>
      </c>
      <c r="AR61" s="174">
        <v>13</v>
      </c>
      <c r="AS61" s="174">
        <v>15</v>
      </c>
      <c r="AT61" s="174">
        <v>15</v>
      </c>
      <c r="AU61" s="69">
        <f>AT61</f>
        <v>15</v>
      </c>
      <c r="AV61" s="69">
        <v>15</v>
      </c>
    </row>
    <row r="62" spans="1:50">
      <c r="B62" s="65" t="s">
        <v>262</v>
      </c>
      <c r="C62" s="174" t="e">
        <f t="shared" si="46"/>
        <v>#DIV/0!</v>
      </c>
      <c r="D62" s="174" t="e">
        <f t="shared" si="46"/>
        <v>#DIV/0!</v>
      </c>
      <c r="E62" s="174" t="e">
        <f t="shared" si="46"/>
        <v>#DIV/0!</v>
      </c>
      <c r="F62" s="174" t="e">
        <f t="shared" si="46"/>
        <v>#DIV/0!</v>
      </c>
      <c r="G62" s="174" t="e">
        <f t="shared" si="46"/>
        <v>#DIV/0!</v>
      </c>
      <c r="H62" s="174" t="e">
        <f t="shared" si="46"/>
        <v>#DIV/0!</v>
      </c>
      <c r="I62" s="174">
        <f t="shared" si="46"/>
        <v>0</v>
      </c>
      <c r="J62" s="174">
        <f t="shared" si="46"/>
        <v>0</v>
      </c>
      <c r="K62" s="174">
        <f t="shared" si="46"/>
        <v>0</v>
      </c>
      <c r="L62" s="174">
        <f t="shared" si="46"/>
        <v>0</v>
      </c>
      <c r="M62" s="174">
        <f t="shared" si="46"/>
        <v>0</v>
      </c>
      <c r="N62" s="174">
        <f t="shared" si="46"/>
        <v>0</v>
      </c>
      <c r="O62" s="69">
        <f t="shared" si="46"/>
        <v>0</v>
      </c>
      <c r="R62" s="65" t="s">
        <v>262</v>
      </c>
      <c r="S62" s="174">
        <v>0</v>
      </c>
      <c r="T62" s="174">
        <v>1</v>
      </c>
      <c r="U62" s="174">
        <v>1</v>
      </c>
      <c r="V62" s="174"/>
      <c r="W62" s="174"/>
      <c r="X62" s="174"/>
      <c r="Y62" s="174"/>
      <c r="Z62" s="174"/>
      <c r="AA62" s="174"/>
      <c r="AB62" s="174"/>
      <c r="AC62" s="174"/>
      <c r="AD62" s="174"/>
      <c r="AE62" s="69">
        <f t="shared" si="47"/>
        <v>0</v>
      </c>
      <c r="AH62" s="65" t="s">
        <v>262</v>
      </c>
      <c r="AO62" s="69">
        <f>AO60</f>
        <v>1</v>
      </c>
      <c r="AP62" s="69">
        <f t="shared" ref="AP62:AT62" si="53">AP60</f>
        <v>3</v>
      </c>
      <c r="AQ62" s="69">
        <f t="shared" si="53"/>
        <v>5</v>
      </c>
      <c r="AR62" s="69">
        <f t="shared" si="53"/>
        <v>7</v>
      </c>
      <c r="AS62" s="69">
        <f t="shared" si="53"/>
        <v>9</v>
      </c>
      <c r="AT62" s="69">
        <f t="shared" si="53"/>
        <v>10</v>
      </c>
      <c r="AU62" s="69">
        <f t="shared" si="48"/>
        <v>10</v>
      </c>
      <c r="AV62" s="69">
        <v>10</v>
      </c>
    </row>
    <row r="63" spans="1:50">
      <c r="B63" s="65" t="s">
        <v>26</v>
      </c>
      <c r="C63" s="174" t="e">
        <f t="shared" si="46"/>
        <v>#DIV/0!</v>
      </c>
      <c r="D63" s="174" t="e">
        <f t="shared" si="46"/>
        <v>#DIV/0!</v>
      </c>
      <c r="E63" s="174" t="e">
        <f t="shared" si="46"/>
        <v>#DIV/0!</v>
      </c>
      <c r="F63" s="174" t="e">
        <f t="shared" si="46"/>
        <v>#DIV/0!</v>
      </c>
      <c r="G63" s="174" t="e">
        <f t="shared" si="46"/>
        <v>#DIV/0!</v>
      </c>
      <c r="H63" s="174" t="e">
        <f t="shared" si="46"/>
        <v>#DIV/0!</v>
      </c>
      <c r="I63" s="174">
        <f t="shared" si="46"/>
        <v>0</v>
      </c>
      <c r="J63" s="174">
        <f t="shared" si="46"/>
        <v>0</v>
      </c>
      <c r="K63" s="174">
        <f t="shared" si="46"/>
        <v>0</v>
      </c>
      <c r="L63" s="174">
        <f t="shared" si="46"/>
        <v>0</v>
      </c>
      <c r="M63" s="174">
        <f t="shared" si="46"/>
        <v>0</v>
      </c>
      <c r="N63" s="174">
        <f t="shared" si="46"/>
        <v>0</v>
      </c>
      <c r="O63" s="69">
        <f t="shared" si="46"/>
        <v>0</v>
      </c>
      <c r="R63" s="65" t="s">
        <v>26</v>
      </c>
      <c r="S63" s="174">
        <v>0</v>
      </c>
      <c r="T63" s="174">
        <v>0</v>
      </c>
      <c r="U63" s="174">
        <v>0</v>
      </c>
      <c r="V63" s="174"/>
      <c r="W63" s="174"/>
      <c r="X63" s="174"/>
      <c r="Y63" s="174"/>
      <c r="Z63" s="174"/>
      <c r="AA63" s="174"/>
      <c r="AB63" s="174"/>
      <c r="AC63" s="174"/>
      <c r="AD63" s="174"/>
      <c r="AE63" s="69">
        <f t="shared" si="47"/>
        <v>0</v>
      </c>
      <c r="AH63" s="65" t="s">
        <v>26</v>
      </c>
      <c r="AO63" s="69">
        <f>AO62/2</f>
        <v>0.5</v>
      </c>
      <c r="AP63" s="69">
        <f t="shared" ref="AP63:AT63" si="54">AP62/2</f>
        <v>1.5</v>
      </c>
      <c r="AQ63" s="69">
        <f t="shared" si="54"/>
        <v>2.5</v>
      </c>
      <c r="AR63" s="69">
        <f t="shared" si="54"/>
        <v>3.5</v>
      </c>
      <c r="AS63" s="69">
        <f t="shared" si="54"/>
        <v>4.5</v>
      </c>
      <c r="AT63" s="69">
        <f t="shared" si="54"/>
        <v>5</v>
      </c>
      <c r="AU63" s="69">
        <f t="shared" si="48"/>
        <v>5</v>
      </c>
      <c r="AV63" s="69">
        <v>3</v>
      </c>
      <c r="AW63" s="65" t="s">
        <v>286</v>
      </c>
    </row>
    <row r="64" spans="1:50">
      <c r="A64" s="176"/>
      <c r="B64" s="176" t="s">
        <v>162</v>
      </c>
      <c r="C64" s="177" t="e">
        <f t="shared" si="46"/>
        <v>#DIV/0!</v>
      </c>
      <c r="D64" s="177">
        <f t="shared" si="46"/>
        <v>1</v>
      </c>
      <c r="E64" s="177">
        <f t="shared" si="46"/>
        <v>0.66666666666666663</v>
      </c>
      <c r="F64" s="177">
        <f t="shared" si="46"/>
        <v>0</v>
      </c>
      <c r="G64" s="177">
        <f t="shared" si="46"/>
        <v>0</v>
      </c>
      <c r="H64" s="177">
        <f t="shared" si="46"/>
        <v>0</v>
      </c>
      <c r="I64" s="177">
        <f t="shared" si="46"/>
        <v>0</v>
      </c>
      <c r="J64" s="177">
        <f t="shared" si="46"/>
        <v>0</v>
      </c>
      <c r="K64" s="177">
        <f t="shared" si="46"/>
        <v>0</v>
      </c>
      <c r="L64" s="177">
        <f t="shared" si="46"/>
        <v>0</v>
      </c>
      <c r="M64" s="177">
        <f t="shared" si="46"/>
        <v>0</v>
      </c>
      <c r="N64" s="177">
        <f t="shared" si="46"/>
        <v>0</v>
      </c>
      <c r="O64" s="177">
        <f t="shared" si="46"/>
        <v>0</v>
      </c>
      <c r="Q64" s="176"/>
      <c r="R64" s="176" t="s">
        <v>162</v>
      </c>
      <c r="S64" s="177">
        <f>SUM(S60:S63)</f>
        <v>0</v>
      </c>
      <c r="T64" s="177">
        <f t="shared" ref="T64:AD64" si="55">SUM(T60:T63)</f>
        <v>1</v>
      </c>
      <c r="U64" s="177">
        <f t="shared" si="55"/>
        <v>2</v>
      </c>
      <c r="V64" s="177">
        <f t="shared" si="55"/>
        <v>0</v>
      </c>
      <c r="W64" s="177">
        <f t="shared" si="55"/>
        <v>0</v>
      </c>
      <c r="X64" s="177">
        <f t="shared" si="55"/>
        <v>0</v>
      </c>
      <c r="Y64" s="177">
        <f t="shared" si="55"/>
        <v>0</v>
      </c>
      <c r="Z64" s="177">
        <f t="shared" si="55"/>
        <v>0</v>
      </c>
      <c r="AA64" s="177">
        <f t="shared" si="55"/>
        <v>0</v>
      </c>
      <c r="AB64" s="177">
        <f t="shared" si="55"/>
        <v>0</v>
      </c>
      <c r="AC64" s="177">
        <f t="shared" si="55"/>
        <v>0</v>
      </c>
      <c r="AD64" s="177">
        <f t="shared" si="55"/>
        <v>0</v>
      </c>
      <c r="AE64" s="177">
        <f t="shared" si="47"/>
        <v>0</v>
      </c>
      <c r="AG64" s="176"/>
      <c r="AH64" s="176" t="s">
        <v>162</v>
      </c>
      <c r="AI64" s="177">
        <f>SUM(AI60:AI63)</f>
        <v>0</v>
      </c>
      <c r="AJ64" s="177">
        <f t="shared" ref="AJ64:AT64" si="56">SUM(AJ60:AJ63)</f>
        <v>1</v>
      </c>
      <c r="AK64" s="177">
        <f t="shared" si="56"/>
        <v>3</v>
      </c>
      <c r="AL64" s="177">
        <f t="shared" si="56"/>
        <v>4</v>
      </c>
      <c r="AM64" s="177">
        <f t="shared" si="56"/>
        <v>5</v>
      </c>
      <c r="AN64" s="177">
        <f t="shared" si="56"/>
        <v>6</v>
      </c>
      <c r="AO64" s="177">
        <f t="shared" si="56"/>
        <v>9.5</v>
      </c>
      <c r="AP64" s="177">
        <f t="shared" si="56"/>
        <v>16.5</v>
      </c>
      <c r="AQ64" s="177">
        <f t="shared" si="56"/>
        <v>23.5</v>
      </c>
      <c r="AR64" s="177">
        <f t="shared" si="56"/>
        <v>30.5</v>
      </c>
      <c r="AS64" s="177">
        <f t="shared" si="56"/>
        <v>37.5</v>
      </c>
      <c r="AT64" s="177">
        <f t="shared" si="56"/>
        <v>40</v>
      </c>
      <c r="AU64" s="177">
        <f t="shared" si="48"/>
        <v>40</v>
      </c>
    </row>
    <row r="65" spans="1:51">
      <c r="A65" s="65" t="s">
        <v>151</v>
      </c>
      <c r="B65" s="65" t="s">
        <v>260</v>
      </c>
      <c r="C65" s="174" t="e">
        <f t="shared" si="46"/>
        <v>#DIV/0!</v>
      </c>
      <c r="D65" s="174" t="e">
        <f t="shared" si="46"/>
        <v>#DIV/0!</v>
      </c>
      <c r="E65" s="174" t="e">
        <f t="shared" si="46"/>
        <v>#DIV/0!</v>
      </c>
      <c r="F65" s="174" t="e">
        <f t="shared" si="46"/>
        <v>#DIV/0!</v>
      </c>
      <c r="G65" s="174" t="e">
        <f t="shared" si="46"/>
        <v>#DIV/0!</v>
      </c>
      <c r="H65" s="174" t="e">
        <f t="shared" si="46"/>
        <v>#DIV/0!</v>
      </c>
      <c r="I65" s="174">
        <f t="shared" si="46"/>
        <v>0</v>
      </c>
      <c r="J65" s="174">
        <f t="shared" si="46"/>
        <v>0</v>
      </c>
      <c r="K65" s="174">
        <f t="shared" si="46"/>
        <v>0</v>
      </c>
      <c r="L65" s="174">
        <f t="shared" si="46"/>
        <v>0</v>
      </c>
      <c r="M65" s="174">
        <f t="shared" si="46"/>
        <v>0</v>
      </c>
      <c r="N65" s="174">
        <f t="shared" si="46"/>
        <v>0</v>
      </c>
      <c r="O65" s="69">
        <f t="shared" si="46"/>
        <v>0</v>
      </c>
      <c r="Q65" s="65" t="s">
        <v>151</v>
      </c>
      <c r="R65" s="65" t="s">
        <v>260</v>
      </c>
      <c r="S65" s="174">
        <v>0</v>
      </c>
      <c r="T65" s="174">
        <v>0</v>
      </c>
      <c r="U65" s="174">
        <v>0</v>
      </c>
      <c r="V65" s="174"/>
      <c r="W65" s="174"/>
      <c r="X65" s="174"/>
      <c r="Y65" s="174"/>
      <c r="Z65" s="174"/>
      <c r="AA65" s="174"/>
      <c r="AB65" s="174"/>
      <c r="AC65" s="174"/>
      <c r="AD65" s="174"/>
      <c r="AE65" s="69">
        <f t="shared" si="47"/>
        <v>0</v>
      </c>
      <c r="AG65" s="65" t="s">
        <v>151</v>
      </c>
      <c r="AH65" s="65" t="s">
        <v>260</v>
      </c>
      <c r="AO65" s="174">
        <v>5</v>
      </c>
      <c r="AP65" s="174">
        <v>11</v>
      </c>
      <c r="AQ65" s="174">
        <v>17</v>
      </c>
      <c r="AR65" s="174">
        <v>25</v>
      </c>
      <c r="AS65" s="174">
        <v>33</v>
      </c>
      <c r="AT65" s="174">
        <v>41</v>
      </c>
      <c r="AU65" s="69">
        <f t="shared" si="48"/>
        <v>41</v>
      </c>
      <c r="AV65" s="69">
        <v>41</v>
      </c>
      <c r="AW65" s="171"/>
    </row>
    <row r="66" spans="1:51">
      <c r="B66" s="65" t="s">
        <v>24</v>
      </c>
      <c r="C66" s="174" t="e">
        <f t="shared" si="46"/>
        <v>#DIV/0!</v>
      </c>
      <c r="D66" s="174" t="e">
        <f t="shared" si="46"/>
        <v>#DIV/0!</v>
      </c>
      <c r="E66" s="174" t="e">
        <f t="shared" si="46"/>
        <v>#DIV/0!</v>
      </c>
      <c r="F66" s="174" t="e">
        <f t="shared" si="46"/>
        <v>#DIV/0!</v>
      </c>
      <c r="G66" s="174" t="e">
        <f t="shared" si="46"/>
        <v>#DIV/0!</v>
      </c>
      <c r="H66" s="174" t="e">
        <f t="shared" si="46"/>
        <v>#DIV/0!</v>
      </c>
      <c r="I66" s="174" t="e">
        <f t="shared" si="46"/>
        <v>#DIV/0!</v>
      </c>
      <c r="J66" s="174" t="e">
        <f t="shared" si="46"/>
        <v>#DIV/0!</v>
      </c>
      <c r="K66" s="174" t="e">
        <f t="shared" si="46"/>
        <v>#DIV/0!</v>
      </c>
      <c r="L66" s="174" t="e">
        <f t="shared" si="46"/>
        <v>#DIV/0!</v>
      </c>
      <c r="M66" s="174" t="e">
        <f t="shared" si="46"/>
        <v>#DIV/0!</v>
      </c>
      <c r="N66" s="174" t="e">
        <f t="shared" si="46"/>
        <v>#DIV/0!</v>
      </c>
      <c r="O66" s="69" t="e">
        <f t="shared" si="46"/>
        <v>#DIV/0!</v>
      </c>
      <c r="R66" s="65" t="s">
        <v>24</v>
      </c>
      <c r="S66" s="174">
        <v>0</v>
      </c>
      <c r="T66" s="174">
        <v>0</v>
      </c>
      <c r="U66" s="174">
        <v>0</v>
      </c>
      <c r="V66" s="174"/>
      <c r="W66" s="174"/>
      <c r="X66" s="174"/>
      <c r="Y66" s="174"/>
      <c r="Z66" s="174"/>
      <c r="AA66" s="174"/>
      <c r="AB66" s="174"/>
      <c r="AC66" s="174"/>
      <c r="AD66" s="174"/>
      <c r="AE66" s="69">
        <f t="shared" si="47"/>
        <v>0</v>
      </c>
      <c r="AH66" s="65" t="s">
        <v>24</v>
      </c>
      <c r="AU66" s="69">
        <f t="shared" si="48"/>
        <v>0</v>
      </c>
      <c r="AV66" s="69">
        <v>0</v>
      </c>
    </row>
    <row r="67" spans="1:51">
      <c r="B67" s="65" t="s">
        <v>262</v>
      </c>
      <c r="C67" s="174" t="e">
        <f t="shared" si="46"/>
        <v>#DIV/0!</v>
      </c>
      <c r="D67" s="174" t="e">
        <f t="shared" si="46"/>
        <v>#DIV/0!</v>
      </c>
      <c r="E67" s="174" t="e">
        <f t="shared" si="46"/>
        <v>#DIV/0!</v>
      </c>
      <c r="F67" s="174" t="e">
        <f t="shared" si="46"/>
        <v>#DIV/0!</v>
      </c>
      <c r="G67" s="174" t="e">
        <f t="shared" si="46"/>
        <v>#DIV/0!</v>
      </c>
      <c r="H67" s="174" t="e">
        <f t="shared" si="46"/>
        <v>#DIV/0!</v>
      </c>
      <c r="I67" s="174">
        <f t="shared" si="46"/>
        <v>0</v>
      </c>
      <c r="J67" s="174">
        <f t="shared" si="46"/>
        <v>0</v>
      </c>
      <c r="K67" s="174">
        <f t="shared" si="46"/>
        <v>0</v>
      </c>
      <c r="L67" s="174">
        <f t="shared" si="46"/>
        <v>0</v>
      </c>
      <c r="M67" s="174">
        <f t="shared" si="46"/>
        <v>0</v>
      </c>
      <c r="N67" s="174">
        <f t="shared" si="46"/>
        <v>0</v>
      </c>
      <c r="O67" s="69">
        <f t="shared" si="46"/>
        <v>0</v>
      </c>
      <c r="R67" s="65" t="s">
        <v>262</v>
      </c>
      <c r="S67" s="174">
        <v>0</v>
      </c>
      <c r="T67" s="174">
        <v>0</v>
      </c>
      <c r="U67" s="174">
        <v>0</v>
      </c>
      <c r="V67" s="174"/>
      <c r="W67" s="174"/>
      <c r="X67" s="174"/>
      <c r="Y67" s="174"/>
      <c r="Z67" s="174"/>
      <c r="AA67" s="174"/>
      <c r="AB67" s="174"/>
      <c r="AC67" s="174"/>
      <c r="AD67" s="174"/>
      <c r="AE67" s="69">
        <f t="shared" si="47"/>
        <v>0</v>
      </c>
      <c r="AH67" s="65" t="s">
        <v>262</v>
      </c>
      <c r="AO67" s="69">
        <f>AO65</f>
        <v>5</v>
      </c>
      <c r="AP67" s="69">
        <f t="shared" ref="AP67:AT67" si="57">AP65</f>
        <v>11</v>
      </c>
      <c r="AQ67" s="69">
        <f t="shared" si="57"/>
        <v>17</v>
      </c>
      <c r="AR67" s="69">
        <f t="shared" si="57"/>
        <v>25</v>
      </c>
      <c r="AS67" s="69">
        <f t="shared" si="57"/>
        <v>33</v>
      </c>
      <c r="AT67" s="69">
        <f t="shared" si="57"/>
        <v>41</v>
      </c>
      <c r="AU67" s="69">
        <f t="shared" si="48"/>
        <v>41</v>
      </c>
      <c r="AV67" s="69">
        <v>41</v>
      </c>
    </row>
    <row r="68" spans="1:51">
      <c r="B68" s="65" t="s">
        <v>26</v>
      </c>
      <c r="C68" s="174" t="e">
        <f t="shared" si="46"/>
        <v>#DIV/0!</v>
      </c>
      <c r="D68" s="174" t="e">
        <f t="shared" si="46"/>
        <v>#DIV/0!</v>
      </c>
      <c r="E68" s="174" t="e">
        <f t="shared" si="46"/>
        <v>#DIV/0!</v>
      </c>
      <c r="F68" s="174" t="e">
        <f t="shared" si="46"/>
        <v>#DIV/0!</v>
      </c>
      <c r="G68" s="174" t="e">
        <f t="shared" si="46"/>
        <v>#DIV/0!</v>
      </c>
      <c r="H68" s="174" t="e">
        <f t="shared" si="46"/>
        <v>#DIV/0!</v>
      </c>
      <c r="I68" s="174" t="e">
        <f t="shared" si="46"/>
        <v>#DIV/0!</v>
      </c>
      <c r="J68" s="174" t="e">
        <f t="shared" si="46"/>
        <v>#DIV/0!</v>
      </c>
      <c r="K68" s="174" t="e">
        <f t="shared" si="46"/>
        <v>#DIV/0!</v>
      </c>
      <c r="L68" s="174" t="e">
        <f t="shared" si="46"/>
        <v>#DIV/0!</v>
      </c>
      <c r="M68" s="174" t="e">
        <f t="shared" si="46"/>
        <v>#DIV/0!</v>
      </c>
      <c r="N68" s="174" t="e">
        <f t="shared" si="46"/>
        <v>#DIV/0!</v>
      </c>
      <c r="O68" s="69" t="e">
        <f t="shared" si="46"/>
        <v>#DIV/0!</v>
      </c>
      <c r="R68" s="65" t="s">
        <v>26</v>
      </c>
      <c r="S68" s="174">
        <v>0</v>
      </c>
      <c r="T68" s="174">
        <v>0</v>
      </c>
      <c r="U68" s="174">
        <v>0</v>
      </c>
      <c r="V68" s="174"/>
      <c r="W68" s="174"/>
      <c r="X68" s="174"/>
      <c r="Y68" s="174"/>
      <c r="Z68" s="174"/>
      <c r="AA68" s="174"/>
      <c r="AB68" s="174"/>
      <c r="AC68" s="174"/>
      <c r="AD68" s="174"/>
      <c r="AE68" s="69">
        <f t="shared" si="47"/>
        <v>0</v>
      </c>
      <c r="AH68" s="65" t="s">
        <v>26</v>
      </c>
      <c r="AU68" s="69">
        <f t="shared" si="48"/>
        <v>0</v>
      </c>
      <c r="AV68" s="69">
        <v>0</v>
      </c>
    </row>
    <row r="69" spans="1:51">
      <c r="A69" s="176"/>
      <c r="B69" s="176" t="s">
        <v>162</v>
      </c>
      <c r="C69" s="177" t="e">
        <f t="shared" si="46"/>
        <v>#DIV/0!</v>
      </c>
      <c r="D69" s="177" t="e">
        <f t="shared" si="46"/>
        <v>#DIV/0!</v>
      </c>
      <c r="E69" s="177" t="e">
        <f t="shared" si="46"/>
        <v>#DIV/0!</v>
      </c>
      <c r="F69" s="177" t="e">
        <f t="shared" si="46"/>
        <v>#DIV/0!</v>
      </c>
      <c r="G69" s="177" t="e">
        <f t="shared" si="46"/>
        <v>#DIV/0!</v>
      </c>
      <c r="H69" s="177" t="e">
        <f t="shared" si="46"/>
        <v>#DIV/0!</v>
      </c>
      <c r="I69" s="177">
        <f t="shared" si="46"/>
        <v>0</v>
      </c>
      <c r="J69" s="177">
        <f t="shared" si="46"/>
        <v>0</v>
      </c>
      <c r="K69" s="177">
        <f t="shared" si="46"/>
        <v>0</v>
      </c>
      <c r="L69" s="177">
        <f t="shared" si="46"/>
        <v>0</v>
      </c>
      <c r="M69" s="177">
        <f t="shared" si="46"/>
        <v>0</v>
      </c>
      <c r="N69" s="177">
        <f t="shared" si="46"/>
        <v>0</v>
      </c>
      <c r="O69" s="177">
        <f t="shared" si="46"/>
        <v>0</v>
      </c>
      <c r="Q69" s="176"/>
      <c r="R69" s="176" t="s">
        <v>162</v>
      </c>
      <c r="S69" s="177">
        <f>SUM(S65:S68)</f>
        <v>0</v>
      </c>
      <c r="T69" s="177">
        <f>SUM(T65:T68)</f>
        <v>0</v>
      </c>
      <c r="U69" s="177">
        <f>SUM(U65:U68)</f>
        <v>0</v>
      </c>
      <c r="V69" s="177">
        <f t="shared" ref="V69:AD69" si="58">SUM(V65:V68)</f>
        <v>0</v>
      </c>
      <c r="W69" s="177">
        <f t="shared" si="58"/>
        <v>0</v>
      </c>
      <c r="X69" s="177">
        <f t="shared" si="58"/>
        <v>0</v>
      </c>
      <c r="Y69" s="177">
        <f t="shared" si="58"/>
        <v>0</v>
      </c>
      <c r="Z69" s="177">
        <f t="shared" si="58"/>
        <v>0</v>
      </c>
      <c r="AA69" s="177">
        <f t="shared" si="58"/>
        <v>0</v>
      </c>
      <c r="AB69" s="177">
        <f t="shared" si="58"/>
        <v>0</v>
      </c>
      <c r="AC69" s="177">
        <f t="shared" si="58"/>
        <v>0</v>
      </c>
      <c r="AD69" s="177">
        <f t="shared" si="58"/>
        <v>0</v>
      </c>
      <c r="AE69" s="177">
        <f t="shared" si="47"/>
        <v>0</v>
      </c>
      <c r="AG69" s="176"/>
      <c r="AH69" s="176" t="s">
        <v>162</v>
      </c>
      <c r="AI69" s="177">
        <f>SUM(AI65:AI68)</f>
        <v>0</v>
      </c>
      <c r="AJ69" s="177">
        <f t="shared" ref="AJ69:AT69" si="59">SUM(AJ65:AJ68)</f>
        <v>0</v>
      </c>
      <c r="AK69" s="177">
        <f t="shared" si="59"/>
        <v>0</v>
      </c>
      <c r="AL69" s="177">
        <f t="shared" si="59"/>
        <v>0</v>
      </c>
      <c r="AM69" s="177">
        <f t="shared" si="59"/>
        <v>0</v>
      </c>
      <c r="AN69" s="177">
        <f t="shared" si="59"/>
        <v>0</v>
      </c>
      <c r="AO69" s="177">
        <f t="shared" si="59"/>
        <v>10</v>
      </c>
      <c r="AP69" s="177">
        <f t="shared" si="59"/>
        <v>22</v>
      </c>
      <c r="AQ69" s="177">
        <f t="shared" si="59"/>
        <v>34</v>
      </c>
      <c r="AR69" s="177">
        <f t="shared" si="59"/>
        <v>50</v>
      </c>
      <c r="AS69" s="177">
        <f t="shared" si="59"/>
        <v>66</v>
      </c>
      <c r="AT69" s="177">
        <f t="shared" si="59"/>
        <v>82</v>
      </c>
      <c r="AU69" s="177">
        <f t="shared" si="48"/>
        <v>82</v>
      </c>
    </row>
    <row r="70" spans="1:51">
      <c r="A70" s="65" t="s">
        <v>266</v>
      </c>
      <c r="B70" s="65" t="s">
        <v>260</v>
      </c>
      <c r="C70" s="174" t="e">
        <f t="shared" si="46"/>
        <v>#DIV/0!</v>
      </c>
      <c r="D70" s="174" t="e">
        <f t="shared" si="46"/>
        <v>#DIV/0!</v>
      </c>
      <c r="E70" s="174" t="e">
        <f t="shared" si="46"/>
        <v>#DIV/0!</v>
      </c>
      <c r="F70" s="174" t="e">
        <f t="shared" si="46"/>
        <v>#DIV/0!</v>
      </c>
      <c r="G70" s="174" t="e">
        <f t="shared" si="46"/>
        <v>#DIV/0!</v>
      </c>
      <c r="H70" s="174" t="e">
        <f t="shared" si="46"/>
        <v>#DIV/0!</v>
      </c>
      <c r="I70" s="174">
        <f t="shared" si="46"/>
        <v>0</v>
      </c>
      <c r="J70" s="174">
        <f t="shared" si="46"/>
        <v>0</v>
      </c>
      <c r="K70" s="174">
        <f t="shared" si="46"/>
        <v>0</v>
      </c>
      <c r="L70" s="174">
        <f t="shared" si="46"/>
        <v>0</v>
      </c>
      <c r="M70" s="174">
        <f t="shared" si="46"/>
        <v>0</v>
      </c>
      <c r="N70" s="174">
        <f t="shared" si="46"/>
        <v>0</v>
      </c>
      <c r="O70" s="69">
        <f t="shared" si="46"/>
        <v>0</v>
      </c>
      <c r="Q70" s="65" t="s">
        <v>266</v>
      </c>
      <c r="R70" s="65" t="s">
        <v>260</v>
      </c>
      <c r="S70" s="174">
        <v>0</v>
      </c>
      <c r="T70" s="174">
        <v>0</v>
      </c>
      <c r="U70" s="174">
        <v>0</v>
      </c>
      <c r="V70" s="174"/>
      <c r="W70" s="174"/>
      <c r="X70" s="174"/>
      <c r="Y70" s="174"/>
      <c r="Z70" s="174"/>
      <c r="AA70" s="174"/>
      <c r="AB70" s="174"/>
      <c r="AC70" s="174"/>
      <c r="AD70" s="174"/>
      <c r="AE70" s="69">
        <f t="shared" si="47"/>
        <v>0</v>
      </c>
      <c r="AG70" s="65" t="s">
        <v>266</v>
      </c>
      <c r="AH70" s="65" t="s">
        <v>260</v>
      </c>
      <c r="AO70" s="174">
        <v>1</v>
      </c>
      <c r="AP70" s="174">
        <v>3</v>
      </c>
      <c r="AQ70" s="174">
        <v>5</v>
      </c>
      <c r="AR70" s="174">
        <v>8</v>
      </c>
      <c r="AS70" s="174">
        <v>10</v>
      </c>
      <c r="AT70" s="174">
        <v>10</v>
      </c>
      <c r="AU70" s="69">
        <f t="shared" si="48"/>
        <v>10</v>
      </c>
      <c r="AV70" s="69">
        <v>10</v>
      </c>
    </row>
    <row r="71" spans="1:51">
      <c r="B71" s="65" t="s">
        <v>267</v>
      </c>
      <c r="C71" s="174" t="e">
        <f t="shared" si="46"/>
        <v>#DIV/0!</v>
      </c>
      <c r="D71" s="174" t="e">
        <f t="shared" si="46"/>
        <v>#DIV/0!</v>
      </c>
      <c r="E71" s="174" t="e">
        <f t="shared" si="46"/>
        <v>#DIV/0!</v>
      </c>
      <c r="F71" s="174" t="e">
        <f t="shared" si="46"/>
        <v>#DIV/0!</v>
      </c>
      <c r="G71" s="174" t="e">
        <f t="shared" si="46"/>
        <v>#DIV/0!</v>
      </c>
      <c r="H71" s="174" t="e">
        <f t="shared" si="46"/>
        <v>#DIV/0!</v>
      </c>
      <c r="I71" s="174" t="e">
        <f t="shared" si="46"/>
        <v>#DIV/0!</v>
      </c>
      <c r="J71" s="174">
        <f t="shared" si="46"/>
        <v>0</v>
      </c>
      <c r="K71" s="174" t="e">
        <f t="shared" si="46"/>
        <v>#DIV/0!</v>
      </c>
      <c r="L71" s="174">
        <f t="shared" si="46"/>
        <v>0</v>
      </c>
      <c r="M71" s="174" t="e">
        <f t="shared" si="46"/>
        <v>#DIV/0!</v>
      </c>
      <c r="N71" s="174" t="e">
        <f t="shared" si="46"/>
        <v>#DIV/0!</v>
      </c>
      <c r="O71" s="69">
        <f t="shared" si="46"/>
        <v>0</v>
      </c>
      <c r="R71" s="65" t="s">
        <v>267</v>
      </c>
      <c r="S71" s="174">
        <v>0</v>
      </c>
      <c r="T71" s="174">
        <v>0</v>
      </c>
      <c r="U71" s="174">
        <v>0</v>
      </c>
      <c r="V71" s="174"/>
      <c r="W71" s="174"/>
      <c r="X71" s="174"/>
      <c r="Y71" s="174"/>
      <c r="Z71" s="174"/>
      <c r="AA71" s="174"/>
      <c r="AB71" s="174"/>
      <c r="AC71" s="174"/>
      <c r="AD71" s="174"/>
      <c r="AE71" s="69">
        <f>SUM(S71:AD71)</f>
        <v>0</v>
      </c>
      <c r="AH71" s="65" t="s">
        <v>267</v>
      </c>
      <c r="AO71" s="174"/>
      <c r="AP71" s="174">
        <v>1</v>
      </c>
      <c r="AQ71" s="174"/>
      <c r="AR71" s="174">
        <v>1</v>
      </c>
      <c r="AS71" s="174"/>
      <c r="AT71" s="174"/>
      <c r="AU71" s="69">
        <f>SUM(AI71:AT71)</f>
        <v>2</v>
      </c>
    </row>
    <row r="72" spans="1:51">
      <c r="B72" s="65" t="s">
        <v>268</v>
      </c>
      <c r="C72" s="174" t="e">
        <f t="shared" si="46"/>
        <v>#DIV/0!</v>
      </c>
      <c r="D72" s="174" t="e">
        <f t="shared" si="46"/>
        <v>#DIV/0!</v>
      </c>
      <c r="E72" s="174" t="e">
        <f t="shared" si="46"/>
        <v>#DIV/0!</v>
      </c>
      <c r="F72" s="174" t="e">
        <f t="shared" si="46"/>
        <v>#DIV/0!</v>
      </c>
      <c r="G72" s="174" t="e">
        <f t="shared" si="46"/>
        <v>#DIV/0!</v>
      </c>
      <c r="H72" s="174" t="e">
        <f t="shared" si="46"/>
        <v>#DIV/0!</v>
      </c>
      <c r="I72" s="174" t="e">
        <f t="shared" si="46"/>
        <v>#DIV/0!</v>
      </c>
      <c r="J72" s="174">
        <f t="shared" si="46"/>
        <v>0</v>
      </c>
      <c r="K72" s="174" t="e">
        <f t="shared" si="46"/>
        <v>#DIV/0!</v>
      </c>
      <c r="L72" s="174">
        <f t="shared" si="46"/>
        <v>0</v>
      </c>
      <c r="M72" s="174" t="e">
        <f t="shared" si="46"/>
        <v>#DIV/0!</v>
      </c>
      <c r="N72" s="174" t="e">
        <f t="shared" si="46"/>
        <v>#DIV/0!</v>
      </c>
      <c r="O72" s="69">
        <f t="shared" si="46"/>
        <v>0</v>
      </c>
      <c r="R72" s="65" t="s">
        <v>268</v>
      </c>
      <c r="S72" s="174">
        <v>0</v>
      </c>
      <c r="T72" s="174">
        <v>0</v>
      </c>
      <c r="U72" s="174">
        <v>0</v>
      </c>
      <c r="V72" s="174"/>
      <c r="W72" s="174"/>
      <c r="X72" s="174"/>
      <c r="Y72" s="174"/>
      <c r="Z72" s="174"/>
      <c r="AA72" s="174"/>
      <c r="AB72" s="174"/>
      <c r="AC72" s="174"/>
      <c r="AD72" s="174"/>
      <c r="AE72" s="69">
        <f>SUM(S72:AD72)</f>
        <v>0</v>
      </c>
      <c r="AH72" s="65" t="s">
        <v>268</v>
      </c>
      <c r="AO72" s="174"/>
      <c r="AP72" s="174">
        <v>2</v>
      </c>
      <c r="AQ72" s="174"/>
      <c r="AR72" s="174">
        <v>2</v>
      </c>
      <c r="AS72" s="174"/>
      <c r="AT72" s="174"/>
      <c r="AU72" s="69">
        <f>SUM(AI72:AT72)</f>
        <v>4</v>
      </c>
    </row>
    <row r="73" spans="1:51">
      <c r="A73" s="176"/>
      <c r="B73" s="176" t="s">
        <v>162</v>
      </c>
      <c r="C73" s="177" t="e">
        <f t="shared" si="46"/>
        <v>#DIV/0!</v>
      </c>
      <c r="D73" s="177" t="e">
        <f t="shared" si="46"/>
        <v>#DIV/0!</v>
      </c>
      <c r="E73" s="177" t="e">
        <f t="shared" si="46"/>
        <v>#DIV/0!</v>
      </c>
      <c r="F73" s="177" t="e">
        <f t="shared" si="46"/>
        <v>#DIV/0!</v>
      </c>
      <c r="G73" s="177" t="e">
        <f t="shared" si="46"/>
        <v>#DIV/0!</v>
      </c>
      <c r="H73" s="177" t="e">
        <f t="shared" si="46"/>
        <v>#DIV/0!</v>
      </c>
      <c r="I73" s="177">
        <f t="shared" si="46"/>
        <v>0</v>
      </c>
      <c r="J73" s="177">
        <f t="shared" si="46"/>
        <v>0</v>
      </c>
      <c r="K73" s="177">
        <f t="shared" si="46"/>
        <v>0</v>
      </c>
      <c r="L73" s="177">
        <f t="shared" si="46"/>
        <v>0</v>
      </c>
      <c r="M73" s="177">
        <f t="shared" si="46"/>
        <v>0</v>
      </c>
      <c r="N73" s="177">
        <f t="shared" si="46"/>
        <v>0</v>
      </c>
      <c r="O73" s="177">
        <f t="shared" si="46"/>
        <v>0</v>
      </c>
      <c r="Q73" s="176"/>
      <c r="R73" s="176" t="s">
        <v>162</v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>
        <f t="shared" ref="AE73:AE78" si="60">AD73</f>
        <v>0</v>
      </c>
      <c r="AG73" s="176"/>
      <c r="AH73" s="176" t="s">
        <v>162</v>
      </c>
      <c r="AI73" s="177">
        <f>SUM(AI70:AI72)</f>
        <v>0</v>
      </c>
      <c r="AJ73" s="177">
        <f t="shared" ref="AJ73:AT73" si="61">SUM(AJ70:AJ72)</f>
        <v>0</v>
      </c>
      <c r="AK73" s="177">
        <f t="shared" si="61"/>
        <v>0</v>
      </c>
      <c r="AL73" s="177">
        <f t="shared" si="61"/>
        <v>0</v>
      </c>
      <c r="AM73" s="177">
        <f t="shared" si="61"/>
        <v>0</v>
      </c>
      <c r="AN73" s="177">
        <f t="shared" si="61"/>
        <v>0</v>
      </c>
      <c r="AO73" s="177">
        <f t="shared" si="61"/>
        <v>1</v>
      </c>
      <c r="AP73" s="177">
        <f t="shared" si="61"/>
        <v>6</v>
      </c>
      <c r="AQ73" s="177">
        <f t="shared" si="61"/>
        <v>5</v>
      </c>
      <c r="AR73" s="177">
        <f t="shared" si="61"/>
        <v>11</v>
      </c>
      <c r="AS73" s="177">
        <f t="shared" si="61"/>
        <v>10</v>
      </c>
      <c r="AT73" s="177">
        <f t="shared" si="61"/>
        <v>10</v>
      </c>
      <c r="AU73" s="177">
        <f t="shared" ref="AU73:AU78" si="62">AT73</f>
        <v>10</v>
      </c>
    </row>
    <row r="74" spans="1:51">
      <c r="A74" s="188" t="s">
        <v>42</v>
      </c>
      <c r="B74" s="188" t="s">
        <v>260</v>
      </c>
      <c r="C74" s="192">
        <f t="shared" si="46"/>
        <v>1.0186757215619693</v>
      </c>
      <c r="D74" s="192">
        <f t="shared" si="46"/>
        <v>1.0186757215619693</v>
      </c>
      <c r="E74" s="192">
        <f t="shared" si="46"/>
        <v>1.0186757215619693</v>
      </c>
      <c r="F74" s="192">
        <f t="shared" si="46"/>
        <v>0</v>
      </c>
      <c r="G74" s="192">
        <f t="shared" si="46"/>
        <v>0</v>
      </c>
      <c r="H74" s="192">
        <f t="shared" si="46"/>
        <v>0</v>
      </c>
      <c r="I74" s="192">
        <f t="shared" si="46"/>
        <v>0</v>
      </c>
      <c r="J74" s="192">
        <f t="shared" si="46"/>
        <v>0</v>
      </c>
      <c r="K74" s="192">
        <f t="shared" si="46"/>
        <v>0</v>
      </c>
      <c r="L74" s="192">
        <f t="shared" si="46"/>
        <v>0</v>
      </c>
      <c r="M74" s="192">
        <f t="shared" ref="C74:O79" si="63">AC74/AS74</f>
        <v>0</v>
      </c>
      <c r="N74" s="192">
        <f t="shared" si="63"/>
        <v>0</v>
      </c>
      <c r="O74" s="189">
        <f t="shared" si="63"/>
        <v>0</v>
      </c>
      <c r="P74" s="188"/>
      <c r="Q74" s="188" t="s">
        <v>316</v>
      </c>
      <c r="R74" s="188" t="s">
        <v>260</v>
      </c>
      <c r="S74" s="192">
        <v>18</v>
      </c>
      <c r="T74" s="192">
        <v>18</v>
      </c>
      <c r="U74" s="192">
        <v>18</v>
      </c>
      <c r="V74" s="192"/>
      <c r="W74" s="192"/>
      <c r="X74" s="192"/>
      <c r="Y74" s="192"/>
      <c r="Z74" s="192"/>
      <c r="AA74" s="192"/>
      <c r="AB74" s="192"/>
      <c r="AC74" s="192"/>
      <c r="AD74" s="192"/>
      <c r="AE74" s="189">
        <f t="shared" si="60"/>
        <v>0</v>
      </c>
      <c r="AF74" s="188"/>
      <c r="AG74" s="188" t="s">
        <v>42</v>
      </c>
      <c r="AH74" s="188" t="s">
        <v>260</v>
      </c>
      <c r="AI74" s="192">
        <f>(契約数!E8+契約数!E29)*'25年PDCA (添付)'!AI111</f>
        <v>17.670000000000002</v>
      </c>
      <c r="AJ74" s="192">
        <f t="shared" ref="AJ74:AT77" si="64">AI74</f>
        <v>17.670000000000002</v>
      </c>
      <c r="AK74" s="192">
        <f t="shared" si="64"/>
        <v>17.670000000000002</v>
      </c>
      <c r="AL74" s="192">
        <f t="shared" si="64"/>
        <v>17.670000000000002</v>
      </c>
      <c r="AM74" s="192">
        <f t="shared" si="64"/>
        <v>17.670000000000002</v>
      </c>
      <c r="AN74" s="192">
        <f t="shared" si="64"/>
        <v>17.670000000000002</v>
      </c>
      <c r="AO74" s="192">
        <f t="shared" si="64"/>
        <v>17.670000000000002</v>
      </c>
      <c r="AP74" s="192">
        <f t="shared" si="64"/>
        <v>17.670000000000002</v>
      </c>
      <c r="AQ74" s="192">
        <f t="shared" si="64"/>
        <v>17.670000000000002</v>
      </c>
      <c r="AR74" s="192">
        <f t="shared" si="64"/>
        <v>17.670000000000002</v>
      </c>
      <c r="AS74" s="192">
        <f t="shared" si="64"/>
        <v>17.670000000000002</v>
      </c>
      <c r="AT74" s="192">
        <f t="shared" si="64"/>
        <v>17.670000000000002</v>
      </c>
      <c r="AU74" s="189">
        <f t="shared" si="62"/>
        <v>17.670000000000002</v>
      </c>
      <c r="AV74" s="189">
        <v>41</v>
      </c>
      <c r="AW74" s="193"/>
      <c r="AX74" s="188"/>
      <c r="AY74" s="188"/>
    </row>
    <row r="75" spans="1:51">
      <c r="A75" s="188"/>
      <c r="B75" s="188" t="s">
        <v>24</v>
      </c>
      <c r="C75" s="192">
        <f t="shared" si="63"/>
        <v>0</v>
      </c>
      <c r="D75" s="192">
        <f t="shared" si="63"/>
        <v>0</v>
      </c>
      <c r="E75" s="192">
        <f t="shared" si="63"/>
        <v>0</v>
      </c>
      <c r="F75" s="192">
        <f t="shared" si="63"/>
        <v>0</v>
      </c>
      <c r="G75" s="192">
        <f t="shared" si="63"/>
        <v>0</v>
      </c>
      <c r="H75" s="192">
        <f t="shared" si="63"/>
        <v>0</v>
      </c>
      <c r="I75" s="192">
        <f t="shared" si="63"/>
        <v>0</v>
      </c>
      <c r="J75" s="192">
        <f t="shared" si="63"/>
        <v>0</v>
      </c>
      <c r="K75" s="192">
        <f t="shared" si="63"/>
        <v>0</v>
      </c>
      <c r="L75" s="192">
        <f t="shared" si="63"/>
        <v>0</v>
      </c>
      <c r="M75" s="192">
        <f t="shared" si="63"/>
        <v>0</v>
      </c>
      <c r="N75" s="192">
        <f t="shared" si="63"/>
        <v>0</v>
      </c>
      <c r="O75" s="189">
        <f t="shared" si="63"/>
        <v>0</v>
      </c>
      <c r="P75" s="188"/>
      <c r="Q75" s="188"/>
      <c r="R75" s="188" t="s">
        <v>24</v>
      </c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89">
        <f t="shared" si="60"/>
        <v>0</v>
      </c>
      <c r="AF75" s="188"/>
      <c r="AG75" s="188"/>
      <c r="AH75" s="188" t="s">
        <v>24</v>
      </c>
      <c r="AI75" s="192">
        <f>(契約数!E9+契約数!E30)*'25年PDCA (添付)'!AI112</f>
        <v>121.44</v>
      </c>
      <c r="AJ75" s="192">
        <f t="shared" si="64"/>
        <v>121.44</v>
      </c>
      <c r="AK75" s="192">
        <f t="shared" si="64"/>
        <v>121.44</v>
      </c>
      <c r="AL75" s="192">
        <f t="shared" si="64"/>
        <v>121.44</v>
      </c>
      <c r="AM75" s="192">
        <f t="shared" si="64"/>
        <v>121.44</v>
      </c>
      <c r="AN75" s="192">
        <f t="shared" si="64"/>
        <v>121.44</v>
      </c>
      <c r="AO75" s="192">
        <f t="shared" si="64"/>
        <v>121.44</v>
      </c>
      <c r="AP75" s="192">
        <f t="shared" si="64"/>
        <v>121.44</v>
      </c>
      <c r="AQ75" s="192">
        <f t="shared" si="64"/>
        <v>121.44</v>
      </c>
      <c r="AR75" s="192">
        <f t="shared" si="64"/>
        <v>121.44</v>
      </c>
      <c r="AS75" s="192">
        <f t="shared" si="64"/>
        <v>121.44</v>
      </c>
      <c r="AT75" s="192">
        <f t="shared" si="64"/>
        <v>121.44</v>
      </c>
      <c r="AU75" s="189">
        <f t="shared" si="62"/>
        <v>121.44</v>
      </c>
      <c r="AV75" s="189">
        <v>0</v>
      </c>
      <c r="AW75" s="188"/>
      <c r="AX75" s="188"/>
      <c r="AY75" s="188"/>
    </row>
    <row r="76" spans="1:51">
      <c r="A76" s="188"/>
      <c r="B76" s="188" t="s">
        <v>262</v>
      </c>
      <c r="C76" s="192">
        <f t="shared" si="63"/>
        <v>2.1103896103896105</v>
      </c>
      <c r="D76" s="192">
        <f t="shared" si="63"/>
        <v>2.1103896103896105</v>
      </c>
      <c r="E76" s="192">
        <f t="shared" si="63"/>
        <v>2.1103896103896105</v>
      </c>
      <c r="F76" s="192">
        <f t="shared" si="63"/>
        <v>0</v>
      </c>
      <c r="G76" s="192">
        <f t="shared" si="63"/>
        <v>0</v>
      </c>
      <c r="H76" s="192">
        <f t="shared" si="63"/>
        <v>0</v>
      </c>
      <c r="I76" s="192">
        <f t="shared" si="63"/>
        <v>0</v>
      </c>
      <c r="J76" s="192">
        <f t="shared" si="63"/>
        <v>0</v>
      </c>
      <c r="K76" s="192">
        <f t="shared" si="63"/>
        <v>0</v>
      </c>
      <c r="L76" s="192">
        <f t="shared" si="63"/>
        <v>0</v>
      </c>
      <c r="M76" s="192">
        <f t="shared" si="63"/>
        <v>0</v>
      </c>
      <c r="N76" s="192">
        <f t="shared" si="63"/>
        <v>0</v>
      </c>
      <c r="O76" s="189">
        <f t="shared" si="63"/>
        <v>0</v>
      </c>
      <c r="P76" s="188"/>
      <c r="Q76" s="188"/>
      <c r="R76" s="188" t="s">
        <v>262</v>
      </c>
      <c r="S76" s="192">
        <v>13</v>
      </c>
      <c r="T76" s="192">
        <v>13</v>
      </c>
      <c r="U76" s="192">
        <v>13</v>
      </c>
      <c r="V76" s="192"/>
      <c r="W76" s="192"/>
      <c r="X76" s="192"/>
      <c r="Y76" s="192"/>
      <c r="Z76" s="192"/>
      <c r="AA76" s="192"/>
      <c r="AB76" s="192"/>
      <c r="AC76" s="192"/>
      <c r="AD76" s="192"/>
      <c r="AE76" s="189">
        <f t="shared" si="60"/>
        <v>0</v>
      </c>
      <c r="AF76" s="188"/>
      <c r="AG76" s="188"/>
      <c r="AH76" s="188" t="s">
        <v>262</v>
      </c>
      <c r="AI76" s="192">
        <f>(契約数!E10+契約数!E31)*'25年PDCA (添付)'!AI113</f>
        <v>6.16</v>
      </c>
      <c r="AJ76" s="192">
        <f t="shared" si="64"/>
        <v>6.16</v>
      </c>
      <c r="AK76" s="192">
        <f t="shared" si="64"/>
        <v>6.16</v>
      </c>
      <c r="AL76" s="192">
        <f t="shared" si="64"/>
        <v>6.16</v>
      </c>
      <c r="AM76" s="192">
        <f t="shared" si="64"/>
        <v>6.16</v>
      </c>
      <c r="AN76" s="192">
        <f t="shared" si="64"/>
        <v>6.16</v>
      </c>
      <c r="AO76" s="192">
        <f t="shared" si="64"/>
        <v>6.16</v>
      </c>
      <c r="AP76" s="192">
        <f t="shared" si="64"/>
        <v>6.16</v>
      </c>
      <c r="AQ76" s="192">
        <f t="shared" si="64"/>
        <v>6.16</v>
      </c>
      <c r="AR76" s="192">
        <f t="shared" si="64"/>
        <v>6.16</v>
      </c>
      <c r="AS76" s="192">
        <f t="shared" si="64"/>
        <v>6.16</v>
      </c>
      <c r="AT76" s="192">
        <f t="shared" si="64"/>
        <v>6.16</v>
      </c>
      <c r="AU76" s="189">
        <f t="shared" si="62"/>
        <v>6.16</v>
      </c>
      <c r="AV76" s="189">
        <v>41</v>
      </c>
      <c r="AW76" s="188"/>
      <c r="AX76" s="188"/>
      <c r="AY76" s="188"/>
    </row>
    <row r="77" spans="1:51">
      <c r="A77" s="188"/>
      <c r="B77" s="188" t="s">
        <v>26</v>
      </c>
      <c r="C77" s="192">
        <f t="shared" si="63"/>
        <v>1</v>
      </c>
      <c r="D77" s="192">
        <f t="shared" si="63"/>
        <v>1</v>
      </c>
      <c r="E77" s="192">
        <f t="shared" si="63"/>
        <v>1</v>
      </c>
      <c r="F77" s="192">
        <f t="shared" si="63"/>
        <v>0</v>
      </c>
      <c r="G77" s="192">
        <f t="shared" si="63"/>
        <v>0</v>
      </c>
      <c r="H77" s="192">
        <f t="shared" si="63"/>
        <v>0</v>
      </c>
      <c r="I77" s="192">
        <f t="shared" si="63"/>
        <v>0</v>
      </c>
      <c r="J77" s="192">
        <f t="shared" si="63"/>
        <v>0</v>
      </c>
      <c r="K77" s="192">
        <f t="shared" si="63"/>
        <v>0</v>
      </c>
      <c r="L77" s="192">
        <f t="shared" si="63"/>
        <v>0</v>
      </c>
      <c r="M77" s="192">
        <f t="shared" si="63"/>
        <v>0</v>
      </c>
      <c r="N77" s="192">
        <f t="shared" si="63"/>
        <v>0</v>
      </c>
      <c r="O77" s="189">
        <f t="shared" si="63"/>
        <v>0</v>
      </c>
      <c r="P77" s="188"/>
      <c r="Q77" s="188"/>
      <c r="R77" s="188" t="s">
        <v>26</v>
      </c>
      <c r="S77" s="192">
        <v>6</v>
      </c>
      <c r="T77" s="192">
        <v>6</v>
      </c>
      <c r="U77" s="192">
        <v>6</v>
      </c>
      <c r="V77" s="192"/>
      <c r="W77" s="192"/>
      <c r="X77" s="192"/>
      <c r="Y77" s="192"/>
      <c r="Z77" s="192"/>
      <c r="AA77" s="192"/>
      <c r="AB77" s="192"/>
      <c r="AC77" s="192"/>
      <c r="AD77" s="192"/>
      <c r="AE77" s="189">
        <f t="shared" si="60"/>
        <v>0</v>
      </c>
      <c r="AF77" s="188"/>
      <c r="AG77" s="188"/>
      <c r="AH77" s="188" t="s">
        <v>26</v>
      </c>
      <c r="AI77" s="192">
        <f>(契約数!E11+契約数!E32)*'25年PDCA (添付)'!AI114</f>
        <v>6</v>
      </c>
      <c r="AJ77" s="192">
        <f t="shared" si="64"/>
        <v>6</v>
      </c>
      <c r="AK77" s="192">
        <f t="shared" si="64"/>
        <v>6</v>
      </c>
      <c r="AL77" s="192">
        <f t="shared" si="64"/>
        <v>6</v>
      </c>
      <c r="AM77" s="192">
        <f t="shared" si="64"/>
        <v>6</v>
      </c>
      <c r="AN77" s="192">
        <f t="shared" si="64"/>
        <v>6</v>
      </c>
      <c r="AO77" s="192">
        <f t="shared" si="64"/>
        <v>6</v>
      </c>
      <c r="AP77" s="192">
        <f t="shared" si="64"/>
        <v>6</v>
      </c>
      <c r="AQ77" s="192">
        <f t="shared" si="64"/>
        <v>6</v>
      </c>
      <c r="AR77" s="192">
        <f t="shared" si="64"/>
        <v>6</v>
      </c>
      <c r="AS77" s="192">
        <f t="shared" si="64"/>
        <v>6</v>
      </c>
      <c r="AT77" s="192">
        <f t="shared" si="64"/>
        <v>6</v>
      </c>
      <c r="AU77" s="189">
        <f t="shared" si="62"/>
        <v>6</v>
      </c>
      <c r="AV77" s="189">
        <v>0</v>
      </c>
      <c r="AW77" s="188"/>
      <c r="AX77" s="188"/>
      <c r="AY77" s="188"/>
    </row>
    <row r="78" spans="1:51">
      <c r="A78" s="194"/>
      <c r="B78" s="194" t="s">
        <v>162</v>
      </c>
      <c r="C78" s="195">
        <f t="shared" si="63"/>
        <v>0.24459575593309973</v>
      </c>
      <c r="D78" s="195">
        <f t="shared" si="63"/>
        <v>0.24459575593309973</v>
      </c>
      <c r="E78" s="195">
        <f t="shared" si="63"/>
        <v>0.24459575593309973</v>
      </c>
      <c r="F78" s="195">
        <f t="shared" si="63"/>
        <v>0</v>
      </c>
      <c r="G78" s="195">
        <f t="shared" si="63"/>
        <v>0</v>
      </c>
      <c r="H78" s="195">
        <f t="shared" si="63"/>
        <v>0</v>
      </c>
      <c r="I78" s="195">
        <f t="shared" si="63"/>
        <v>0</v>
      </c>
      <c r="J78" s="195">
        <f t="shared" si="63"/>
        <v>0</v>
      </c>
      <c r="K78" s="195">
        <f t="shared" si="63"/>
        <v>0</v>
      </c>
      <c r="L78" s="195">
        <f t="shared" si="63"/>
        <v>0</v>
      </c>
      <c r="M78" s="195">
        <f t="shared" si="63"/>
        <v>0</v>
      </c>
      <c r="N78" s="195">
        <f t="shared" si="63"/>
        <v>0</v>
      </c>
      <c r="O78" s="195">
        <f t="shared" si="63"/>
        <v>0</v>
      </c>
      <c r="P78" s="188"/>
      <c r="Q78" s="194"/>
      <c r="R78" s="194" t="s">
        <v>162</v>
      </c>
      <c r="S78" s="195">
        <f t="shared" ref="S78:AD78" si="65">SUM(S74:S77)</f>
        <v>37</v>
      </c>
      <c r="T78" s="195">
        <f t="shared" si="65"/>
        <v>37</v>
      </c>
      <c r="U78" s="195">
        <f t="shared" si="65"/>
        <v>37</v>
      </c>
      <c r="V78" s="195">
        <f t="shared" si="65"/>
        <v>0</v>
      </c>
      <c r="W78" s="195">
        <f t="shared" si="65"/>
        <v>0</v>
      </c>
      <c r="X78" s="195">
        <f t="shared" si="65"/>
        <v>0</v>
      </c>
      <c r="Y78" s="195">
        <f t="shared" si="65"/>
        <v>0</v>
      </c>
      <c r="Z78" s="195">
        <f t="shared" si="65"/>
        <v>0</v>
      </c>
      <c r="AA78" s="195">
        <f t="shared" si="65"/>
        <v>0</v>
      </c>
      <c r="AB78" s="195">
        <f t="shared" si="65"/>
        <v>0</v>
      </c>
      <c r="AC78" s="195">
        <f t="shared" si="65"/>
        <v>0</v>
      </c>
      <c r="AD78" s="195">
        <f t="shared" si="65"/>
        <v>0</v>
      </c>
      <c r="AE78" s="195">
        <f t="shared" si="60"/>
        <v>0</v>
      </c>
      <c r="AF78" s="188"/>
      <c r="AG78" s="194"/>
      <c r="AH78" s="194" t="s">
        <v>162</v>
      </c>
      <c r="AI78" s="195">
        <f t="shared" ref="AI78:AT78" si="66">SUM(AI74:AI77)</f>
        <v>151.27000000000001</v>
      </c>
      <c r="AJ78" s="195">
        <f t="shared" si="66"/>
        <v>151.27000000000001</v>
      </c>
      <c r="AK78" s="195">
        <f t="shared" si="66"/>
        <v>151.27000000000001</v>
      </c>
      <c r="AL78" s="195">
        <f t="shared" si="66"/>
        <v>151.27000000000001</v>
      </c>
      <c r="AM78" s="195">
        <f t="shared" si="66"/>
        <v>151.27000000000001</v>
      </c>
      <c r="AN78" s="195">
        <f t="shared" si="66"/>
        <v>151.27000000000001</v>
      </c>
      <c r="AO78" s="195">
        <f t="shared" si="66"/>
        <v>151.27000000000001</v>
      </c>
      <c r="AP78" s="195">
        <f t="shared" si="66"/>
        <v>151.27000000000001</v>
      </c>
      <c r="AQ78" s="195">
        <f t="shared" si="66"/>
        <v>151.27000000000001</v>
      </c>
      <c r="AR78" s="195">
        <f t="shared" si="66"/>
        <v>151.27000000000001</v>
      </c>
      <c r="AS78" s="195">
        <f t="shared" si="66"/>
        <v>151.27000000000001</v>
      </c>
      <c r="AT78" s="195">
        <f t="shared" si="66"/>
        <v>151.27000000000001</v>
      </c>
      <c r="AU78" s="195">
        <f t="shared" si="62"/>
        <v>151.27000000000001</v>
      </c>
      <c r="AV78" s="189"/>
      <c r="AW78" s="188"/>
      <c r="AX78" s="188"/>
      <c r="AY78" s="188"/>
    </row>
    <row r="79" spans="1:51">
      <c r="A79" s="65" t="s">
        <v>287</v>
      </c>
      <c r="B79" s="65" t="s">
        <v>272</v>
      </c>
      <c r="C79" s="174">
        <f t="shared" si="63"/>
        <v>0.17886792452830189</v>
      </c>
      <c r="D79" s="174">
        <f t="shared" si="63"/>
        <v>0.30462724935732649</v>
      </c>
      <c r="E79" s="174">
        <f t="shared" si="63"/>
        <v>0.69262477438613324</v>
      </c>
      <c r="F79" s="174">
        <f t="shared" si="63"/>
        <v>0</v>
      </c>
      <c r="G79" s="174">
        <f t="shared" si="63"/>
        <v>0</v>
      </c>
      <c r="H79" s="174">
        <f t="shared" si="63"/>
        <v>0</v>
      </c>
      <c r="I79" s="174">
        <f t="shared" si="63"/>
        <v>0</v>
      </c>
      <c r="J79" s="174">
        <f t="shared" si="63"/>
        <v>0</v>
      </c>
      <c r="K79" s="174">
        <f t="shared" si="63"/>
        <v>0</v>
      </c>
      <c r="L79" s="174">
        <f t="shared" si="63"/>
        <v>0</v>
      </c>
      <c r="M79" s="174">
        <f t="shared" si="63"/>
        <v>0</v>
      </c>
      <c r="N79" s="174">
        <f t="shared" si="63"/>
        <v>0</v>
      </c>
      <c r="O79" s="69">
        <f t="shared" si="63"/>
        <v>0</v>
      </c>
      <c r="Q79" s="65" t="s">
        <v>287</v>
      </c>
      <c r="R79" s="65" t="s">
        <v>272</v>
      </c>
      <c r="S79" s="174">
        <v>3</v>
      </c>
      <c r="T79" s="174">
        <v>12</v>
      </c>
      <c r="U79" s="174">
        <v>16</v>
      </c>
      <c r="V79" s="174"/>
      <c r="W79" s="174"/>
      <c r="X79" s="174"/>
      <c r="Y79" s="174"/>
      <c r="Z79" s="174"/>
      <c r="AA79" s="174"/>
      <c r="AB79" s="174"/>
      <c r="AC79" s="174"/>
      <c r="AD79" s="174"/>
      <c r="AE79" s="69">
        <f t="shared" si="47"/>
        <v>0</v>
      </c>
      <c r="AG79" s="65" t="s">
        <v>287</v>
      </c>
      <c r="AH79" s="65" t="s">
        <v>272</v>
      </c>
      <c r="AI79" s="69">
        <v>16.772151898734176</v>
      </c>
      <c r="AJ79" s="69">
        <v>39.392405063291136</v>
      </c>
      <c r="AK79" s="69">
        <v>23.100530895939507</v>
      </c>
      <c r="AL79" s="69">
        <v>19.043640792372187</v>
      </c>
      <c r="AM79" s="69">
        <v>20.666396833799116</v>
      </c>
      <c r="AN79" s="69">
        <v>22.289152875226044</v>
      </c>
      <c r="AO79" s="69">
        <v>19.855018813085653</v>
      </c>
      <c r="AP79" s="69">
        <v>25.534664958079897</v>
      </c>
      <c r="AQ79" s="69">
        <v>29.59155506164722</v>
      </c>
      <c r="AR79" s="69">
        <v>29.59155506164722</v>
      </c>
      <c r="AS79" s="69">
        <v>21.477774854512582</v>
      </c>
      <c r="AT79" s="69">
        <v>20.666396833799116</v>
      </c>
      <c r="AU79" s="69">
        <f t="shared" si="48"/>
        <v>20.666396833799116</v>
      </c>
    </row>
    <row r="80" spans="1:51">
      <c r="AU80" s="69">
        <f t="shared" si="48"/>
        <v>0</v>
      </c>
    </row>
    <row r="82" spans="1:51" s="181" customFormat="1">
      <c r="A82" s="181" t="s">
        <v>52</v>
      </c>
      <c r="C82" s="182" t="s">
        <v>188</v>
      </c>
      <c r="D82" s="182" t="s">
        <v>312</v>
      </c>
      <c r="E82" s="182" t="s">
        <v>191</v>
      </c>
      <c r="F82" s="182" t="s">
        <v>192</v>
      </c>
      <c r="G82" s="182" t="s">
        <v>193</v>
      </c>
      <c r="H82" s="182" t="s">
        <v>194</v>
      </c>
      <c r="I82" s="182" t="s">
        <v>195</v>
      </c>
      <c r="J82" s="182" t="s">
        <v>196</v>
      </c>
      <c r="K82" s="182" t="s">
        <v>197</v>
      </c>
      <c r="L82" s="182" t="s">
        <v>198</v>
      </c>
      <c r="M82" s="182" t="s">
        <v>199</v>
      </c>
      <c r="N82" s="182" t="s">
        <v>200</v>
      </c>
      <c r="O82" s="182" t="s">
        <v>38</v>
      </c>
      <c r="Q82" s="181" t="s">
        <v>52</v>
      </c>
      <c r="S82" s="182" t="s">
        <v>188</v>
      </c>
      <c r="T82" s="182" t="s">
        <v>312</v>
      </c>
      <c r="U82" s="182" t="s">
        <v>191</v>
      </c>
      <c r="V82" s="182" t="s">
        <v>192</v>
      </c>
      <c r="W82" s="182" t="s">
        <v>193</v>
      </c>
      <c r="X82" s="182" t="s">
        <v>194</v>
      </c>
      <c r="Y82" s="182" t="s">
        <v>195</v>
      </c>
      <c r="Z82" s="182" t="s">
        <v>196</v>
      </c>
      <c r="AA82" s="182" t="s">
        <v>197</v>
      </c>
      <c r="AB82" s="182" t="s">
        <v>198</v>
      </c>
      <c r="AC82" s="182" t="s">
        <v>199</v>
      </c>
      <c r="AD82" s="182" t="s">
        <v>200</v>
      </c>
      <c r="AE82" s="182" t="s">
        <v>38</v>
      </c>
      <c r="AG82" s="181" t="s">
        <v>52</v>
      </c>
      <c r="AI82" s="182" t="s">
        <v>188</v>
      </c>
      <c r="AJ82" s="182" t="s">
        <v>312</v>
      </c>
      <c r="AK82" s="182" t="s">
        <v>191</v>
      </c>
      <c r="AL82" s="182" t="s">
        <v>192</v>
      </c>
      <c r="AM82" s="182" t="s">
        <v>193</v>
      </c>
      <c r="AN82" s="182" t="s">
        <v>194</v>
      </c>
      <c r="AO82" s="182" t="s">
        <v>195</v>
      </c>
      <c r="AP82" s="182" t="s">
        <v>196</v>
      </c>
      <c r="AQ82" s="182" t="s">
        <v>197</v>
      </c>
      <c r="AR82" s="182" t="s">
        <v>198</v>
      </c>
      <c r="AS82" s="182" t="s">
        <v>199</v>
      </c>
      <c r="AT82" s="182" t="s">
        <v>200</v>
      </c>
      <c r="AU82" s="182" t="s">
        <v>38</v>
      </c>
      <c r="AV82" s="182"/>
    </row>
    <row r="83" spans="1:51">
      <c r="A83" s="65" t="s">
        <v>149</v>
      </c>
      <c r="B83" s="65" t="s">
        <v>260</v>
      </c>
      <c r="C83" s="69" t="e">
        <f t="shared" ref="C83:O102" si="67">S83/AI83</f>
        <v>#DIV/0!</v>
      </c>
      <c r="D83" s="69" t="e">
        <f t="shared" si="67"/>
        <v>#DIV/0!</v>
      </c>
      <c r="E83" s="69" t="e">
        <f t="shared" si="67"/>
        <v>#DIV/0!</v>
      </c>
      <c r="F83" s="69" t="e">
        <f t="shared" si="67"/>
        <v>#DIV/0!</v>
      </c>
      <c r="G83" s="69" t="e">
        <f t="shared" si="67"/>
        <v>#DIV/0!</v>
      </c>
      <c r="H83" s="69" t="e">
        <f t="shared" si="67"/>
        <v>#DIV/0!</v>
      </c>
      <c r="I83" s="69" t="e">
        <f t="shared" si="67"/>
        <v>#DIV/0!</v>
      </c>
      <c r="J83" s="69" t="e">
        <f t="shared" si="67"/>
        <v>#DIV/0!</v>
      </c>
      <c r="K83" s="69" t="e">
        <f t="shared" si="67"/>
        <v>#DIV/0!</v>
      </c>
      <c r="L83" s="69" t="e">
        <f t="shared" si="67"/>
        <v>#DIV/0!</v>
      </c>
      <c r="M83" s="69" t="e">
        <f t="shared" si="67"/>
        <v>#DIV/0!</v>
      </c>
      <c r="N83" s="69" t="e">
        <f t="shared" si="67"/>
        <v>#DIV/0!</v>
      </c>
      <c r="O83" s="69" t="e">
        <f t="shared" si="67"/>
        <v>#DIV/0!</v>
      </c>
      <c r="Q83" s="65" t="s">
        <v>149</v>
      </c>
      <c r="R83" s="65" t="s">
        <v>260</v>
      </c>
      <c r="S83" s="69" t="e">
        <f t="shared" ref="S83:AD83" si="68">S3/S55</f>
        <v>#DIV/0!</v>
      </c>
      <c r="T83" s="69" t="e">
        <f t="shared" si="68"/>
        <v>#DIV/0!</v>
      </c>
      <c r="U83" s="69" t="e">
        <f t="shared" si="68"/>
        <v>#DIV/0!</v>
      </c>
      <c r="V83" s="69" t="e">
        <f t="shared" si="68"/>
        <v>#DIV/0!</v>
      </c>
      <c r="W83" s="69" t="e">
        <f t="shared" si="68"/>
        <v>#DIV/0!</v>
      </c>
      <c r="X83" s="69" t="e">
        <f t="shared" si="68"/>
        <v>#DIV/0!</v>
      </c>
      <c r="Y83" s="69" t="e">
        <f t="shared" si="68"/>
        <v>#DIV/0!</v>
      </c>
      <c r="Z83" s="69" t="e">
        <f t="shared" si="68"/>
        <v>#DIV/0!</v>
      </c>
      <c r="AA83" s="69" t="e">
        <f t="shared" si="68"/>
        <v>#DIV/0!</v>
      </c>
      <c r="AB83" s="69" t="e">
        <f t="shared" si="68"/>
        <v>#DIV/0!</v>
      </c>
      <c r="AC83" s="69" t="e">
        <f t="shared" si="68"/>
        <v>#DIV/0!</v>
      </c>
      <c r="AD83" s="69" t="e">
        <f t="shared" si="68"/>
        <v>#DIV/0!</v>
      </c>
      <c r="AE83" s="69" t="e">
        <f>SUM(S83:AD83)</f>
        <v>#DIV/0!</v>
      </c>
      <c r="AG83" s="65" t="s">
        <v>149</v>
      </c>
      <c r="AH83" s="65" t="s">
        <v>260</v>
      </c>
      <c r="AI83" s="69">
        <f>客単価!F11/12</f>
        <v>142.5</v>
      </c>
      <c r="AJ83" s="69">
        <f>AI83</f>
        <v>142.5</v>
      </c>
      <c r="AK83" s="69">
        <f t="shared" ref="AK83:AT83" si="69">AJ83</f>
        <v>142.5</v>
      </c>
      <c r="AL83" s="69">
        <f t="shared" si="69"/>
        <v>142.5</v>
      </c>
      <c r="AM83" s="69">
        <f t="shared" si="69"/>
        <v>142.5</v>
      </c>
      <c r="AN83" s="69">
        <f t="shared" si="69"/>
        <v>142.5</v>
      </c>
      <c r="AO83" s="69">
        <f t="shared" si="69"/>
        <v>142.5</v>
      </c>
      <c r="AP83" s="69">
        <f t="shared" si="69"/>
        <v>142.5</v>
      </c>
      <c r="AQ83" s="69">
        <f t="shared" si="69"/>
        <v>142.5</v>
      </c>
      <c r="AR83" s="69">
        <f t="shared" si="69"/>
        <v>142.5</v>
      </c>
      <c r="AS83" s="69">
        <f t="shared" si="69"/>
        <v>142.5</v>
      </c>
      <c r="AT83" s="69">
        <f t="shared" si="69"/>
        <v>142.5</v>
      </c>
      <c r="AU83" s="69">
        <f>SUM(AI83:AT83)</f>
        <v>1710</v>
      </c>
      <c r="AV83" s="69" t="s">
        <v>53</v>
      </c>
      <c r="AW83" s="65">
        <v>356</v>
      </c>
      <c r="AX83" s="65" t="s">
        <v>54</v>
      </c>
    </row>
    <row r="84" spans="1:51">
      <c r="B84" s="65" t="s">
        <v>24</v>
      </c>
      <c r="C84" s="69">
        <f t="shared" si="67"/>
        <v>2.3407924822932351</v>
      </c>
      <c r="D84" s="69">
        <f t="shared" si="67"/>
        <v>0.37187691707099435</v>
      </c>
      <c r="E84" s="69">
        <f t="shared" si="67"/>
        <v>2.0883060993066009</v>
      </c>
      <c r="F84" s="69" t="e">
        <f t="shared" si="67"/>
        <v>#DIV/0!</v>
      </c>
      <c r="G84" s="69" t="e">
        <f t="shared" si="67"/>
        <v>#DIV/0!</v>
      </c>
      <c r="H84" s="69" t="e">
        <f t="shared" si="67"/>
        <v>#DIV/0!</v>
      </c>
      <c r="I84" s="69" t="e">
        <f t="shared" si="67"/>
        <v>#DIV/0!</v>
      </c>
      <c r="J84" s="69" t="e">
        <f t="shared" si="67"/>
        <v>#DIV/0!</v>
      </c>
      <c r="K84" s="69" t="e">
        <f t="shared" si="67"/>
        <v>#DIV/0!</v>
      </c>
      <c r="L84" s="69" t="e">
        <f t="shared" si="67"/>
        <v>#DIV/0!</v>
      </c>
      <c r="M84" s="69" t="e">
        <f t="shared" si="67"/>
        <v>#DIV/0!</v>
      </c>
      <c r="N84" s="69" t="e">
        <f t="shared" si="67"/>
        <v>#DIV/0!</v>
      </c>
      <c r="O84" s="69" t="e">
        <f t="shared" si="67"/>
        <v>#DIV/0!</v>
      </c>
      <c r="R84" s="65" t="s">
        <v>24</v>
      </c>
      <c r="S84" s="69">
        <f>S4/S56</f>
        <v>83.945499999999996</v>
      </c>
      <c r="T84" s="69">
        <f t="shared" ref="T84:AD84" si="70">T4/T56</f>
        <v>13.33625</v>
      </c>
      <c r="U84" s="69">
        <f t="shared" si="70"/>
        <v>74.890833333333333</v>
      </c>
      <c r="V84" s="69" t="e">
        <f t="shared" si="70"/>
        <v>#DIV/0!</v>
      </c>
      <c r="W84" s="69" t="e">
        <f t="shared" si="70"/>
        <v>#DIV/0!</v>
      </c>
      <c r="X84" s="69" t="e">
        <f t="shared" si="70"/>
        <v>#DIV/0!</v>
      </c>
      <c r="Y84" s="69" t="e">
        <f t="shared" si="70"/>
        <v>#DIV/0!</v>
      </c>
      <c r="Z84" s="69" t="e">
        <f t="shared" si="70"/>
        <v>#DIV/0!</v>
      </c>
      <c r="AA84" s="69" t="e">
        <f t="shared" si="70"/>
        <v>#DIV/0!</v>
      </c>
      <c r="AB84" s="69" t="e">
        <f t="shared" si="70"/>
        <v>#DIV/0!</v>
      </c>
      <c r="AC84" s="69" t="e">
        <f t="shared" si="70"/>
        <v>#DIV/0!</v>
      </c>
      <c r="AD84" s="69" t="e">
        <f t="shared" si="70"/>
        <v>#DIV/0!</v>
      </c>
      <c r="AE84" s="69" t="e">
        <f t="shared" ref="AE84:AE86" si="71">SUM(S84:AD84)</f>
        <v>#DIV/0!</v>
      </c>
      <c r="AH84" s="65" t="s">
        <v>24</v>
      </c>
      <c r="AI84" s="69">
        <f>客単価!F12/12</f>
        <v>35.862000000000002</v>
      </c>
      <c r="AJ84" s="69">
        <f t="shared" ref="AJ84:AT96" si="72">AI84</f>
        <v>35.862000000000002</v>
      </c>
      <c r="AK84" s="69">
        <f t="shared" si="72"/>
        <v>35.862000000000002</v>
      </c>
      <c r="AL84" s="69">
        <f t="shared" si="72"/>
        <v>35.862000000000002</v>
      </c>
      <c r="AM84" s="69">
        <f t="shared" si="72"/>
        <v>35.862000000000002</v>
      </c>
      <c r="AN84" s="69">
        <f t="shared" si="72"/>
        <v>35.862000000000002</v>
      </c>
      <c r="AO84" s="69">
        <f t="shared" si="72"/>
        <v>35.862000000000002</v>
      </c>
      <c r="AP84" s="69">
        <f t="shared" si="72"/>
        <v>35.862000000000002</v>
      </c>
      <c r="AQ84" s="69">
        <f t="shared" si="72"/>
        <v>35.862000000000002</v>
      </c>
      <c r="AR84" s="69">
        <f t="shared" si="72"/>
        <v>35.862000000000002</v>
      </c>
      <c r="AS84" s="69">
        <f t="shared" si="72"/>
        <v>35.862000000000002</v>
      </c>
      <c r="AT84" s="69">
        <f t="shared" si="72"/>
        <v>35.862000000000002</v>
      </c>
      <c r="AU84" s="69">
        <f t="shared" ref="AU84:AU108" si="73">SUM(AI84:AT84)</f>
        <v>430.34400000000011</v>
      </c>
      <c r="AV84" s="69" t="s">
        <v>55</v>
      </c>
      <c r="AW84" s="65">
        <v>400</v>
      </c>
      <c r="AX84" s="65" t="s">
        <v>56</v>
      </c>
    </row>
    <row r="85" spans="1:51">
      <c r="B85" s="65" t="s">
        <v>262</v>
      </c>
      <c r="C85" s="69">
        <f t="shared" si="67"/>
        <v>0.23980815347721821</v>
      </c>
      <c r="D85" s="69">
        <f t="shared" si="67"/>
        <v>0</v>
      </c>
      <c r="E85" s="69">
        <f t="shared" si="67"/>
        <v>0.20076961686464781</v>
      </c>
      <c r="F85" s="69" t="e">
        <f t="shared" si="67"/>
        <v>#DIV/0!</v>
      </c>
      <c r="G85" s="69" t="e">
        <f t="shared" si="67"/>
        <v>#DIV/0!</v>
      </c>
      <c r="H85" s="69" t="e">
        <f t="shared" si="67"/>
        <v>#DIV/0!</v>
      </c>
      <c r="I85" s="69" t="e">
        <f t="shared" si="67"/>
        <v>#DIV/0!</v>
      </c>
      <c r="J85" s="69" t="e">
        <f t="shared" si="67"/>
        <v>#DIV/0!</v>
      </c>
      <c r="K85" s="69" t="e">
        <f t="shared" si="67"/>
        <v>#DIV/0!</v>
      </c>
      <c r="L85" s="69" t="e">
        <f t="shared" si="67"/>
        <v>#DIV/0!</v>
      </c>
      <c r="M85" s="69" t="e">
        <f t="shared" si="67"/>
        <v>#DIV/0!</v>
      </c>
      <c r="N85" s="69" t="e">
        <f t="shared" si="67"/>
        <v>#DIV/0!</v>
      </c>
      <c r="O85" s="69" t="e">
        <f t="shared" si="67"/>
        <v>#DIV/0!</v>
      </c>
      <c r="R85" s="65" t="s">
        <v>262</v>
      </c>
      <c r="S85" s="69">
        <f t="shared" ref="S85:AD85" si="74">S5/S57</f>
        <v>8.6</v>
      </c>
      <c r="T85" s="69">
        <f t="shared" si="74"/>
        <v>0</v>
      </c>
      <c r="U85" s="69">
        <f t="shared" si="74"/>
        <v>7.2</v>
      </c>
      <c r="V85" s="69" t="e">
        <f t="shared" si="74"/>
        <v>#DIV/0!</v>
      </c>
      <c r="W85" s="69" t="e">
        <f t="shared" si="74"/>
        <v>#DIV/0!</v>
      </c>
      <c r="X85" s="69" t="e">
        <f t="shared" si="74"/>
        <v>#DIV/0!</v>
      </c>
      <c r="Y85" s="69" t="e">
        <f t="shared" si="74"/>
        <v>#DIV/0!</v>
      </c>
      <c r="Z85" s="69" t="e">
        <f t="shared" si="74"/>
        <v>#DIV/0!</v>
      </c>
      <c r="AA85" s="69" t="e">
        <f t="shared" si="74"/>
        <v>#DIV/0!</v>
      </c>
      <c r="AB85" s="69" t="e">
        <f t="shared" si="74"/>
        <v>#DIV/0!</v>
      </c>
      <c r="AC85" s="69" t="e">
        <f t="shared" si="74"/>
        <v>#DIV/0!</v>
      </c>
      <c r="AD85" s="69" t="e">
        <f t="shared" si="74"/>
        <v>#DIV/0!</v>
      </c>
      <c r="AE85" s="69" t="e">
        <f t="shared" si="71"/>
        <v>#DIV/0!</v>
      </c>
      <c r="AH85" s="65" t="s">
        <v>262</v>
      </c>
      <c r="AI85" s="69">
        <f>客単価!F13/12</f>
        <v>35.862000000000002</v>
      </c>
      <c r="AJ85" s="69">
        <f t="shared" si="72"/>
        <v>35.862000000000002</v>
      </c>
      <c r="AK85" s="69">
        <f t="shared" si="72"/>
        <v>35.862000000000002</v>
      </c>
      <c r="AL85" s="69">
        <f t="shared" si="72"/>
        <v>35.862000000000002</v>
      </c>
      <c r="AM85" s="69">
        <f t="shared" si="72"/>
        <v>35.862000000000002</v>
      </c>
      <c r="AN85" s="69">
        <f t="shared" si="72"/>
        <v>35.862000000000002</v>
      </c>
      <c r="AO85" s="212">
        <v>52</v>
      </c>
      <c r="AP85" s="69">
        <f t="shared" si="72"/>
        <v>52</v>
      </c>
      <c r="AQ85" s="69">
        <f t="shared" si="72"/>
        <v>52</v>
      </c>
      <c r="AR85" s="69">
        <f t="shared" si="72"/>
        <v>52</v>
      </c>
      <c r="AS85" s="69">
        <f t="shared" si="72"/>
        <v>52</v>
      </c>
      <c r="AT85" s="69">
        <f t="shared" si="72"/>
        <v>52</v>
      </c>
      <c r="AU85" s="69">
        <f t="shared" si="73"/>
        <v>527.17200000000003</v>
      </c>
    </row>
    <row r="86" spans="1:51">
      <c r="B86" s="65" t="s">
        <v>26</v>
      </c>
      <c r="C86" s="69" t="e">
        <f t="shared" si="67"/>
        <v>#DIV/0!</v>
      </c>
      <c r="D86" s="69" t="e">
        <f t="shared" si="67"/>
        <v>#DIV/0!</v>
      </c>
      <c r="E86" s="69" t="e">
        <f t="shared" si="67"/>
        <v>#DIV/0!</v>
      </c>
      <c r="F86" s="69" t="e">
        <f t="shared" si="67"/>
        <v>#DIV/0!</v>
      </c>
      <c r="G86" s="69" t="e">
        <f t="shared" si="67"/>
        <v>#DIV/0!</v>
      </c>
      <c r="H86" s="69" t="e">
        <f t="shared" si="67"/>
        <v>#DIV/0!</v>
      </c>
      <c r="I86" s="69" t="e">
        <f t="shared" si="67"/>
        <v>#DIV/0!</v>
      </c>
      <c r="J86" s="69" t="e">
        <f t="shared" si="67"/>
        <v>#DIV/0!</v>
      </c>
      <c r="K86" s="69" t="e">
        <f t="shared" si="67"/>
        <v>#DIV/0!</v>
      </c>
      <c r="L86" s="69" t="e">
        <f t="shared" si="67"/>
        <v>#DIV/0!</v>
      </c>
      <c r="M86" s="69" t="e">
        <f t="shared" si="67"/>
        <v>#DIV/0!</v>
      </c>
      <c r="N86" s="69" t="e">
        <f t="shared" si="67"/>
        <v>#DIV/0!</v>
      </c>
      <c r="O86" s="69" t="e">
        <f t="shared" si="67"/>
        <v>#DIV/0!</v>
      </c>
      <c r="R86" s="65" t="s">
        <v>26</v>
      </c>
      <c r="S86" s="69" t="e">
        <f t="shared" ref="S86:AD86" si="75">S6/S58</f>
        <v>#DIV/0!</v>
      </c>
      <c r="T86" s="69" t="e">
        <f t="shared" si="75"/>
        <v>#DIV/0!</v>
      </c>
      <c r="U86" s="69" t="e">
        <f t="shared" si="75"/>
        <v>#DIV/0!</v>
      </c>
      <c r="V86" s="69" t="e">
        <f t="shared" si="75"/>
        <v>#DIV/0!</v>
      </c>
      <c r="W86" s="69" t="e">
        <f t="shared" si="75"/>
        <v>#DIV/0!</v>
      </c>
      <c r="X86" s="69" t="e">
        <f t="shared" si="75"/>
        <v>#DIV/0!</v>
      </c>
      <c r="Y86" s="69" t="e">
        <f t="shared" si="75"/>
        <v>#DIV/0!</v>
      </c>
      <c r="Z86" s="69" t="e">
        <f t="shared" si="75"/>
        <v>#DIV/0!</v>
      </c>
      <c r="AA86" s="69" t="e">
        <f t="shared" si="75"/>
        <v>#DIV/0!</v>
      </c>
      <c r="AB86" s="69" t="e">
        <f t="shared" si="75"/>
        <v>#DIV/0!</v>
      </c>
      <c r="AC86" s="69" t="e">
        <f t="shared" si="75"/>
        <v>#DIV/0!</v>
      </c>
      <c r="AD86" s="69" t="e">
        <f t="shared" si="75"/>
        <v>#DIV/0!</v>
      </c>
      <c r="AE86" s="69" t="e">
        <f t="shared" si="71"/>
        <v>#DIV/0!</v>
      </c>
      <c r="AH86" s="65" t="s">
        <v>26</v>
      </c>
      <c r="AI86" s="69">
        <f>客単価!F14/12</f>
        <v>55.393000000000001</v>
      </c>
      <c r="AJ86" s="69">
        <f t="shared" si="72"/>
        <v>55.393000000000001</v>
      </c>
      <c r="AK86" s="69">
        <f t="shared" si="72"/>
        <v>55.393000000000001</v>
      </c>
      <c r="AL86" s="69">
        <f t="shared" si="72"/>
        <v>55.393000000000001</v>
      </c>
      <c r="AM86" s="69">
        <f t="shared" si="72"/>
        <v>55.393000000000001</v>
      </c>
      <c r="AN86" s="69">
        <f t="shared" si="72"/>
        <v>55.393000000000001</v>
      </c>
      <c r="AO86" s="69">
        <f t="shared" si="72"/>
        <v>55.393000000000001</v>
      </c>
      <c r="AP86" s="69">
        <f t="shared" si="72"/>
        <v>55.393000000000001</v>
      </c>
      <c r="AQ86" s="69">
        <f t="shared" si="72"/>
        <v>55.393000000000001</v>
      </c>
      <c r="AR86" s="69">
        <f t="shared" si="72"/>
        <v>55.393000000000001</v>
      </c>
      <c r="AS86" s="69">
        <f t="shared" si="72"/>
        <v>55.393000000000001</v>
      </c>
      <c r="AT86" s="69">
        <f t="shared" si="72"/>
        <v>55.393000000000001</v>
      </c>
      <c r="AU86" s="69">
        <f t="shared" si="73"/>
        <v>664.71600000000024</v>
      </c>
    </row>
    <row r="87" spans="1:51">
      <c r="B87" s="172" t="s">
        <v>162</v>
      </c>
      <c r="C87" s="173" t="e">
        <f t="shared" si="67"/>
        <v>#DIV/0!</v>
      </c>
      <c r="D87" s="173" t="e">
        <f t="shared" si="67"/>
        <v>#DIV/0!</v>
      </c>
      <c r="E87" s="173" t="e">
        <f t="shared" si="67"/>
        <v>#DIV/0!</v>
      </c>
      <c r="F87" s="173" t="e">
        <f t="shared" si="67"/>
        <v>#DIV/0!</v>
      </c>
      <c r="G87" s="173" t="e">
        <f t="shared" si="67"/>
        <v>#DIV/0!</v>
      </c>
      <c r="H87" s="173" t="e">
        <f t="shared" si="67"/>
        <v>#DIV/0!</v>
      </c>
      <c r="I87" s="173" t="e">
        <f t="shared" si="67"/>
        <v>#DIV/0!</v>
      </c>
      <c r="J87" s="173" t="e">
        <f t="shared" si="67"/>
        <v>#DIV/0!</v>
      </c>
      <c r="K87" s="173" t="e">
        <f t="shared" si="67"/>
        <v>#DIV/0!</v>
      </c>
      <c r="L87" s="173" t="e">
        <f t="shared" si="67"/>
        <v>#DIV/0!</v>
      </c>
      <c r="M87" s="173" t="e">
        <f t="shared" si="67"/>
        <v>#DIV/0!</v>
      </c>
      <c r="N87" s="173" t="e">
        <f t="shared" si="67"/>
        <v>#DIV/0!</v>
      </c>
      <c r="O87" s="173" t="e">
        <f t="shared" si="67"/>
        <v>#DIV/0!</v>
      </c>
      <c r="R87" s="172" t="s">
        <v>162</v>
      </c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H87" s="172" t="s">
        <v>162</v>
      </c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</row>
    <row r="88" spans="1:51">
      <c r="A88" s="65" t="s">
        <v>150</v>
      </c>
      <c r="B88" s="65" t="s">
        <v>260</v>
      </c>
      <c r="C88" s="69" t="e">
        <f t="shared" si="67"/>
        <v>#DIV/0!</v>
      </c>
      <c r="D88" s="69" t="e">
        <f t="shared" si="67"/>
        <v>#DIV/0!</v>
      </c>
      <c r="E88" s="69" t="e">
        <f t="shared" si="67"/>
        <v>#DIV/0!</v>
      </c>
      <c r="F88" s="69" t="e">
        <f t="shared" si="67"/>
        <v>#DIV/0!</v>
      </c>
      <c r="G88" s="69" t="e">
        <f t="shared" si="67"/>
        <v>#DIV/0!</v>
      </c>
      <c r="H88" s="69" t="e">
        <f t="shared" si="67"/>
        <v>#DIV/0!</v>
      </c>
      <c r="I88" s="69" t="e">
        <f t="shared" si="67"/>
        <v>#DIV/0!</v>
      </c>
      <c r="J88" s="69" t="e">
        <f t="shared" si="67"/>
        <v>#DIV/0!</v>
      </c>
      <c r="K88" s="69" t="e">
        <f t="shared" si="67"/>
        <v>#DIV/0!</v>
      </c>
      <c r="L88" s="69" t="e">
        <f t="shared" si="67"/>
        <v>#DIV/0!</v>
      </c>
      <c r="M88" s="69" t="e">
        <f t="shared" si="67"/>
        <v>#DIV/0!</v>
      </c>
      <c r="N88" s="69" t="e">
        <f t="shared" si="67"/>
        <v>#DIV/0!</v>
      </c>
      <c r="O88" s="69" t="e">
        <f t="shared" si="67"/>
        <v>#DIV/0!</v>
      </c>
      <c r="Q88" s="65" t="s">
        <v>150</v>
      </c>
      <c r="R88" s="65" t="s">
        <v>260</v>
      </c>
      <c r="S88" s="69" t="e">
        <f t="shared" ref="S88:AD88" si="76">S11/S60</f>
        <v>#DIV/0!</v>
      </c>
      <c r="T88" s="69" t="e">
        <f t="shared" si="76"/>
        <v>#DIV/0!</v>
      </c>
      <c r="U88" s="69" t="e">
        <f t="shared" si="76"/>
        <v>#DIV/0!</v>
      </c>
      <c r="V88" s="69" t="e">
        <f t="shared" si="76"/>
        <v>#DIV/0!</v>
      </c>
      <c r="W88" s="69" t="e">
        <f t="shared" si="76"/>
        <v>#DIV/0!</v>
      </c>
      <c r="X88" s="69" t="e">
        <f t="shared" si="76"/>
        <v>#DIV/0!</v>
      </c>
      <c r="Y88" s="69" t="e">
        <f t="shared" si="76"/>
        <v>#DIV/0!</v>
      </c>
      <c r="Z88" s="69" t="e">
        <f t="shared" si="76"/>
        <v>#DIV/0!</v>
      </c>
      <c r="AA88" s="69" t="e">
        <f t="shared" si="76"/>
        <v>#DIV/0!</v>
      </c>
      <c r="AB88" s="69" t="e">
        <f t="shared" si="76"/>
        <v>#DIV/0!</v>
      </c>
      <c r="AC88" s="69" t="e">
        <f t="shared" si="76"/>
        <v>#DIV/0!</v>
      </c>
      <c r="AD88" s="69" t="e">
        <f t="shared" si="76"/>
        <v>#DIV/0!</v>
      </c>
      <c r="AE88" s="69" t="e">
        <f t="shared" ref="AE88:AE91" si="77">SUM(S88:AD88)</f>
        <v>#DIV/0!</v>
      </c>
      <c r="AG88" s="65" t="s">
        <v>150</v>
      </c>
      <c r="AH88" s="65" t="s">
        <v>260</v>
      </c>
      <c r="AI88" s="69">
        <f>客単価!F16/12</f>
        <v>420</v>
      </c>
      <c r="AJ88" s="69">
        <f t="shared" si="72"/>
        <v>420</v>
      </c>
      <c r="AK88" s="69">
        <f t="shared" si="72"/>
        <v>420</v>
      </c>
      <c r="AL88" s="69">
        <f t="shared" si="72"/>
        <v>420</v>
      </c>
      <c r="AM88" s="69">
        <f t="shared" si="72"/>
        <v>420</v>
      </c>
      <c r="AN88" s="69">
        <f t="shared" si="72"/>
        <v>420</v>
      </c>
      <c r="AO88" s="69">
        <f t="shared" si="72"/>
        <v>420</v>
      </c>
      <c r="AP88" s="69">
        <f t="shared" si="72"/>
        <v>420</v>
      </c>
      <c r="AQ88" s="69">
        <f t="shared" si="72"/>
        <v>420</v>
      </c>
      <c r="AR88" s="69">
        <f t="shared" si="72"/>
        <v>420</v>
      </c>
      <c r="AS88" s="69">
        <f t="shared" si="72"/>
        <v>420</v>
      </c>
      <c r="AT88" s="69">
        <f t="shared" si="72"/>
        <v>420</v>
      </c>
      <c r="AU88" s="69">
        <f t="shared" si="73"/>
        <v>5040</v>
      </c>
      <c r="AV88" s="69" t="s">
        <v>53</v>
      </c>
      <c r="AW88" s="65">
        <v>2100</v>
      </c>
      <c r="AX88" s="65" t="s">
        <v>54</v>
      </c>
    </row>
    <row r="89" spans="1:51">
      <c r="B89" s="65" t="s">
        <v>24</v>
      </c>
      <c r="C89" s="69" t="e">
        <f t="shared" si="67"/>
        <v>#DIV/0!</v>
      </c>
      <c r="D89" s="69" t="e">
        <f t="shared" si="67"/>
        <v>#DIV/0!</v>
      </c>
      <c r="E89" s="69">
        <f t="shared" si="67"/>
        <v>0.98558362612235784</v>
      </c>
      <c r="F89" s="69" t="e">
        <f t="shared" si="67"/>
        <v>#DIV/0!</v>
      </c>
      <c r="G89" s="69" t="e">
        <f t="shared" si="67"/>
        <v>#DIV/0!</v>
      </c>
      <c r="H89" s="69" t="e">
        <f t="shared" si="67"/>
        <v>#DIV/0!</v>
      </c>
      <c r="I89" s="69" t="e">
        <f t="shared" si="67"/>
        <v>#DIV/0!</v>
      </c>
      <c r="J89" s="69" t="e">
        <f t="shared" si="67"/>
        <v>#DIV/0!</v>
      </c>
      <c r="K89" s="69" t="e">
        <f t="shared" si="67"/>
        <v>#DIV/0!</v>
      </c>
      <c r="L89" s="69" t="e">
        <f t="shared" si="67"/>
        <v>#DIV/0!</v>
      </c>
      <c r="M89" s="69" t="e">
        <f t="shared" si="67"/>
        <v>#DIV/0!</v>
      </c>
      <c r="N89" s="69" t="e">
        <f t="shared" si="67"/>
        <v>#DIV/0!</v>
      </c>
      <c r="O89" s="69" t="e">
        <f t="shared" si="67"/>
        <v>#DIV/0!</v>
      </c>
      <c r="R89" s="65" t="s">
        <v>24</v>
      </c>
      <c r="S89" s="69" t="e">
        <f t="shared" ref="S89:AD89" si="78">S12/S61</f>
        <v>#DIV/0!</v>
      </c>
      <c r="T89" s="69" t="e">
        <f t="shared" si="78"/>
        <v>#DIV/0!</v>
      </c>
      <c r="U89" s="69">
        <f t="shared" si="78"/>
        <v>35.344999999999999</v>
      </c>
      <c r="V89" s="69" t="e">
        <f t="shared" si="78"/>
        <v>#DIV/0!</v>
      </c>
      <c r="W89" s="69" t="e">
        <f t="shared" si="78"/>
        <v>#DIV/0!</v>
      </c>
      <c r="X89" s="69" t="e">
        <f t="shared" si="78"/>
        <v>#DIV/0!</v>
      </c>
      <c r="Y89" s="69" t="e">
        <f t="shared" si="78"/>
        <v>#DIV/0!</v>
      </c>
      <c r="Z89" s="69" t="e">
        <f t="shared" si="78"/>
        <v>#DIV/0!</v>
      </c>
      <c r="AA89" s="69" t="e">
        <f t="shared" si="78"/>
        <v>#DIV/0!</v>
      </c>
      <c r="AB89" s="69" t="e">
        <f t="shared" si="78"/>
        <v>#DIV/0!</v>
      </c>
      <c r="AC89" s="69" t="e">
        <f t="shared" si="78"/>
        <v>#DIV/0!</v>
      </c>
      <c r="AD89" s="69" t="e">
        <f t="shared" si="78"/>
        <v>#DIV/0!</v>
      </c>
      <c r="AE89" s="69" t="e">
        <f t="shared" si="77"/>
        <v>#DIV/0!</v>
      </c>
      <c r="AH89" s="65" t="s">
        <v>24</v>
      </c>
      <c r="AI89" s="69">
        <f>客単価!F17/12</f>
        <v>35.862000000000002</v>
      </c>
      <c r="AJ89" s="69">
        <f t="shared" si="72"/>
        <v>35.862000000000002</v>
      </c>
      <c r="AK89" s="69">
        <f t="shared" si="72"/>
        <v>35.862000000000002</v>
      </c>
      <c r="AL89" s="69">
        <f t="shared" si="72"/>
        <v>35.862000000000002</v>
      </c>
      <c r="AM89" s="69">
        <f t="shared" si="72"/>
        <v>35.862000000000002</v>
      </c>
      <c r="AN89" s="69">
        <f t="shared" si="72"/>
        <v>35.862000000000002</v>
      </c>
      <c r="AO89" s="69">
        <f t="shared" si="72"/>
        <v>35.862000000000002</v>
      </c>
      <c r="AP89" s="69">
        <f t="shared" si="72"/>
        <v>35.862000000000002</v>
      </c>
      <c r="AQ89" s="69">
        <f t="shared" si="72"/>
        <v>35.862000000000002</v>
      </c>
      <c r="AR89" s="69">
        <f t="shared" si="72"/>
        <v>35.862000000000002</v>
      </c>
      <c r="AS89" s="69">
        <f t="shared" si="72"/>
        <v>35.862000000000002</v>
      </c>
      <c r="AT89" s="69">
        <f t="shared" si="72"/>
        <v>35.862000000000002</v>
      </c>
      <c r="AU89" s="69">
        <f t="shared" si="73"/>
        <v>430.34400000000011</v>
      </c>
      <c r="AV89" s="69" t="s">
        <v>55</v>
      </c>
      <c r="AW89" s="65">
        <v>200</v>
      </c>
      <c r="AX89" s="65" t="s">
        <v>56</v>
      </c>
      <c r="AY89" s="65" t="s">
        <v>289</v>
      </c>
    </row>
    <row r="90" spans="1:51">
      <c r="B90" s="65" t="s">
        <v>262</v>
      </c>
      <c r="C90" s="69" t="e">
        <f t="shared" si="67"/>
        <v>#DIV/0!</v>
      </c>
      <c r="D90" s="69">
        <f t="shared" si="67"/>
        <v>6.6679848510198259</v>
      </c>
      <c r="E90" s="69">
        <f t="shared" si="67"/>
        <v>0</v>
      </c>
      <c r="F90" s="69" t="e">
        <f t="shared" si="67"/>
        <v>#DIV/0!</v>
      </c>
      <c r="G90" s="69" t="e">
        <f t="shared" si="67"/>
        <v>#DIV/0!</v>
      </c>
      <c r="H90" s="69" t="e">
        <f t="shared" si="67"/>
        <v>#DIV/0!</v>
      </c>
      <c r="I90" s="69" t="e">
        <f t="shared" si="67"/>
        <v>#DIV/0!</v>
      </c>
      <c r="J90" s="69" t="e">
        <f t="shared" si="67"/>
        <v>#DIV/0!</v>
      </c>
      <c r="K90" s="69" t="e">
        <f t="shared" si="67"/>
        <v>#DIV/0!</v>
      </c>
      <c r="L90" s="69" t="e">
        <f t="shared" si="67"/>
        <v>#DIV/0!</v>
      </c>
      <c r="M90" s="69" t="e">
        <f t="shared" si="67"/>
        <v>#DIV/0!</v>
      </c>
      <c r="N90" s="69" t="e">
        <f t="shared" si="67"/>
        <v>#DIV/0!</v>
      </c>
      <c r="O90" s="69" t="e">
        <f t="shared" si="67"/>
        <v>#DIV/0!</v>
      </c>
      <c r="R90" s="65" t="s">
        <v>262</v>
      </c>
      <c r="S90" s="69" t="e">
        <f t="shared" ref="S90:AD90" si="79">S13/S62</f>
        <v>#DIV/0!</v>
      </c>
      <c r="T90" s="69">
        <f t="shared" si="79"/>
        <v>239.12727272727301</v>
      </c>
      <c r="U90" s="69">
        <f t="shared" si="79"/>
        <v>0</v>
      </c>
      <c r="V90" s="69" t="e">
        <f t="shared" si="79"/>
        <v>#DIV/0!</v>
      </c>
      <c r="W90" s="69" t="e">
        <f t="shared" si="79"/>
        <v>#DIV/0!</v>
      </c>
      <c r="X90" s="69" t="e">
        <f t="shared" si="79"/>
        <v>#DIV/0!</v>
      </c>
      <c r="Y90" s="69" t="e">
        <f t="shared" si="79"/>
        <v>#DIV/0!</v>
      </c>
      <c r="Z90" s="69" t="e">
        <f t="shared" si="79"/>
        <v>#DIV/0!</v>
      </c>
      <c r="AA90" s="69" t="e">
        <f t="shared" si="79"/>
        <v>#DIV/0!</v>
      </c>
      <c r="AB90" s="69" t="e">
        <f t="shared" si="79"/>
        <v>#DIV/0!</v>
      </c>
      <c r="AC90" s="69" t="e">
        <f t="shared" si="79"/>
        <v>#DIV/0!</v>
      </c>
      <c r="AD90" s="69" t="e">
        <f t="shared" si="79"/>
        <v>#DIV/0!</v>
      </c>
      <c r="AE90" s="69" t="e">
        <f t="shared" si="77"/>
        <v>#DIV/0!</v>
      </c>
      <c r="AH90" s="65" t="s">
        <v>262</v>
      </c>
      <c r="AI90" s="69">
        <f>客単価!F18/12</f>
        <v>35.862000000000002</v>
      </c>
      <c r="AJ90" s="69">
        <f t="shared" si="72"/>
        <v>35.862000000000002</v>
      </c>
      <c r="AK90" s="69">
        <f t="shared" si="72"/>
        <v>35.862000000000002</v>
      </c>
      <c r="AL90" s="69">
        <f t="shared" si="72"/>
        <v>35.862000000000002</v>
      </c>
      <c r="AM90" s="69">
        <f t="shared" si="72"/>
        <v>35.862000000000002</v>
      </c>
      <c r="AN90" s="69">
        <f t="shared" si="72"/>
        <v>35.862000000000002</v>
      </c>
      <c r="AO90" s="212">
        <v>52</v>
      </c>
      <c r="AP90" s="69">
        <f t="shared" si="72"/>
        <v>52</v>
      </c>
      <c r="AQ90" s="69">
        <f t="shared" si="72"/>
        <v>52</v>
      </c>
      <c r="AR90" s="69">
        <f t="shared" si="72"/>
        <v>52</v>
      </c>
      <c r="AS90" s="69">
        <f t="shared" si="72"/>
        <v>52</v>
      </c>
      <c r="AT90" s="69">
        <f t="shared" si="72"/>
        <v>52</v>
      </c>
      <c r="AU90" s="69">
        <f t="shared" si="73"/>
        <v>527.17200000000003</v>
      </c>
    </row>
    <row r="91" spans="1:51">
      <c r="B91" s="65" t="s">
        <v>26</v>
      </c>
      <c r="C91" s="69" t="e">
        <f t="shared" si="67"/>
        <v>#DIV/0!</v>
      </c>
      <c r="D91" s="69" t="e">
        <f t="shared" si="67"/>
        <v>#DIV/0!</v>
      </c>
      <c r="E91" s="69" t="e">
        <f t="shared" si="67"/>
        <v>#DIV/0!</v>
      </c>
      <c r="F91" s="69" t="e">
        <f t="shared" si="67"/>
        <v>#DIV/0!</v>
      </c>
      <c r="G91" s="69" t="e">
        <f t="shared" si="67"/>
        <v>#DIV/0!</v>
      </c>
      <c r="H91" s="69" t="e">
        <f t="shared" si="67"/>
        <v>#DIV/0!</v>
      </c>
      <c r="I91" s="69" t="e">
        <f t="shared" si="67"/>
        <v>#DIV/0!</v>
      </c>
      <c r="J91" s="69" t="e">
        <f t="shared" si="67"/>
        <v>#DIV/0!</v>
      </c>
      <c r="K91" s="69" t="e">
        <f t="shared" si="67"/>
        <v>#DIV/0!</v>
      </c>
      <c r="L91" s="69" t="e">
        <f t="shared" si="67"/>
        <v>#DIV/0!</v>
      </c>
      <c r="M91" s="69" t="e">
        <f t="shared" si="67"/>
        <v>#DIV/0!</v>
      </c>
      <c r="N91" s="69" t="e">
        <f t="shared" si="67"/>
        <v>#DIV/0!</v>
      </c>
      <c r="O91" s="69" t="e">
        <f t="shared" si="67"/>
        <v>#DIV/0!</v>
      </c>
      <c r="R91" s="65" t="s">
        <v>26</v>
      </c>
      <c r="S91" s="69" t="e">
        <f t="shared" ref="S91:AD91" si="80">S14/S63</f>
        <v>#DIV/0!</v>
      </c>
      <c r="T91" s="69" t="e">
        <f t="shared" si="80"/>
        <v>#DIV/0!</v>
      </c>
      <c r="U91" s="69" t="e">
        <f t="shared" si="80"/>
        <v>#DIV/0!</v>
      </c>
      <c r="V91" s="69" t="e">
        <f t="shared" si="80"/>
        <v>#DIV/0!</v>
      </c>
      <c r="W91" s="69" t="e">
        <f t="shared" si="80"/>
        <v>#DIV/0!</v>
      </c>
      <c r="X91" s="69" t="e">
        <f t="shared" si="80"/>
        <v>#DIV/0!</v>
      </c>
      <c r="Y91" s="69" t="e">
        <f t="shared" si="80"/>
        <v>#DIV/0!</v>
      </c>
      <c r="Z91" s="69" t="e">
        <f t="shared" si="80"/>
        <v>#DIV/0!</v>
      </c>
      <c r="AA91" s="69" t="e">
        <f t="shared" si="80"/>
        <v>#DIV/0!</v>
      </c>
      <c r="AB91" s="69" t="e">
        <f t="shared" si="80"/>
        <v>#DIV/0!</v>
      </c>
      <c r="AC91" s="69" t="e">
        <f t="shared" si="80"/>
        <v>#DIV/0!</v>
      </c>
      <c r="AD91" s="69" t="e">
        <f t="shared" si="80"/>
        <v>#DIV/0!</v>
      </c>
      <c r="AE91" s="69" t="e">
        <f t="shared" si="77"/>
        <v>#DIV/0!</v>
      </c>
      <c r="AH91" s="65" t="s">
        <v>26</v>
      </c>
      <c r="AI91" s="69">
        <f>客単価!F19/12</f>
        <v>55.393000000000001</v>
      </c>
      <c r="AJ91" s="69">
        <f t="shared" si="72"/>
        <v>55.393000000000001</v>
      </c>
      <c r="AK91" s="69">
        <f t="shared" si="72"/>
        <v>55.393000000000001</v>
      </c>
      <c r="AL91" s="69">
        <f t="shared" si="72"/>
        <v>55.393000000000001</v>
      </c>
      <c r="AM91" s="69">
        <f t="shared" si="72"/>
        <v>55.393000000000001</v>
      </c>
      <c r="AN91" s="69">
        <f t="shared" si="72"/>
        <v>55.393000000000001</v>
      </c>
      <c r="AO91" s="69">
        <f t="shared" si="72"/>
        <v>55.393000000000001</v>
      </c>
      <c r="AP91" s="69">
        <f t="shared" si="72"/>
        <v>55.393000000000001</v>
      </c>
      <c r="AQ91" s="69">
        <f t="shared" si="72"/>
        <v>55.393000000000001</v>
      </c>
      <c r="AR91" s="69">
        <f t="shared" si="72"/>
        <v>55.393000000000001</v>
      </c>
      <c r="AS91" s="69">
        <f t="shared" si="72"/>
        <v>55.393000000000001</v>
      </c>
      <c r="AT91" s="69">
        <f t="shared" si="72"/>
        <v>55.393000000000001</v>
      </c>
      <c r="AU91" s="69">
        <f t="shared" si="73"/>
        <v>664.71600000000024</v>
      </c>
    </row>
    <row r="92" spans="1:51">
      <c r="B92" s="172"/>
      <c r="C92" s="173" t="e">
        <f t="shared" si="67"/>
        <v>#DIV/0!</v>
      </c>
      <c r="D92" s="173" t="e">
        <f t="shared" si="67"/>
        <v>#DIV/0!</v>
      </c>
      <c r="E92" s="173" t="e">
        <f t="shared" si="67"/>
        <v>#DIV/0!</v>
      </c>
      <c r="F92" s="173" t="e">
        <f t="shared" si="67"/>
        <v>#DIV/0!</v>
      </c>
      <c r="G92" s="173" t="e">
        <f t="shared" si="67"/>
        <v>#DIV/0!</v>
      </c>
      <c r="H92" s="173" t="e">
        <f t="shared" si="67"/>
        <v>#DIV/0!</v>
      </c>
      <c r="I92" s="173" t="e">
        <f t="shared" si="67"/>
        <v>#DIV/0!</v>
      </c>
      <c r="J92" s="173" t="e">
        <f t="shared" si="67"/>
        <v>#DIV/0!</v>
      </c>
      <c r="K92" s="173" t="e">
        <f t="shared" si="67"/>
        <v>#DIV/0!</v>
      </c>
      <c r="L92" s="173" t="e">
        <f t="shared" si="67"/>
        <v>#DIV/0!</v>
      </c>
      <c r="M92" s="173" t="e">
        <f t="shared" si="67"/>
        <v>#DIV/0!</v>
      </c>
      <c r="N92" s="173" t="e">
        <f t="shared" si="67"/>
        <v>#DIV/0!</v>
      </c>
      <c r="O92" s="173" t="e">
        <f t="shared" si="67"/>
        <v>#DIV/0!</v>
      </c>
      <c r="R92" s="172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H92" s="172"/>
      <c r="AI92" s="173"/>
      <c r="AJ92" s="173"/>
      <c r="AK92" s="173"/>
      <c r="AL92" s="173"/>
      <c r="AM92" s="173"/>
      <c r="AN92" s="173"/>
      <c r="AO92" s="173"/>
      <c r="AP92" s="173"/>
      <c r="AQ92" s="173"/>
      <c r="AR92" s="173"/>
      <c r="AS92" s="173"/>
      <c r="AT92" s="173"/>
      <c r="AU92" s="173"/>
    </row>
    <row r="93" spans="1:51">
      <c r="A93" s="65" t="s">
        <v>151</v>
      </c>
      <c r="B93" s="65" t="s">
        <v>260</v>
      </c>
      <c r="C93" s="69" t="e">
        <f t="shared" si="67"/>
        <v>#DIV/0!</v>
      </c>
      <c r="D93" s="69" t="e">
        <f t="shared" si="67"/>
        <v>#DIV/0!</v>
      </c>
      <c r="E93" s="69" t="e">
        <f t="shared" si="67"/>
        <v>#DIV/0!</v>
      </c>
      <c r="F93" s="69" t="e">
        <f t="shared" si="67"/>
        <v>#DIV/0!</v>
      </c>
      <c r="G93" s="69" t="e">
        <f t="shared" si="67"/>
        <v>#DIV/0!</v>
      </c>
      <c r="H93" s="69" t="e">
        <f t="shared" si="67"/>
        <v>#DIV/0!</v>
      </c>
      <c r="I93" s="69" t="e">
        <f t="shared" si="67"/>
        <v>#DIV/0!</v>
      </c>
      <c r="J93" s="69" t="e">
        <f t="shared" si="67"/>
        <v>#DIV/0!</v>
      </c>
      <c r="K93" s="69" t="e">
        <f t="shared" si="67"/>
        <v>#DIV/0!</v>
      </c>
      <c r="L93" s="69" t="e">
        <f t="shared" si="67"/>
        <v>#DIV/0!</v>
      </c>
      <c r="M93" s="69" t="e">
        <f t="shared" si="67"/>
        <v>#DIV/0!</v>
      </c>
      <c r="N93" s="69" t="e">
        <f t="shared" si="67"/>
        <v>#DIV/0!</v>
      </c>
      <c r="O93" s="69" t="e">
        <f t="shared" si="67"/>
        <v>#DIV/0!</v>
      </c>
      <c r="Q93" s="65" t="s">
        <v>151</v>
      </c>
      <c r="R93" s="65" t="s">
        <v>260</v>
      </c>
      <c r="S93" s="69" t="e">
        <f t="shared" ref="S93:AD93" si="81">S19/S65</f>
        <v>#DIV/0!</v>
      </c>
      <c r="T93" s="69" t="e">
        <f t="shared" si="81"/>
        <v>#DIV/0!</v>
      </c>
      <c r="U93" s="69" t="e">
        <f t="shared" si="81"/>
        <v>#DIV/0!</v>
      </c>
      <c r="V93" s="69" t="e">
        <f t="shared" si="81"/>
        <v>#DIV/0!</v>
      </c>
      <c r="W93" s="69" t="e">
        <f t="shared" si="81"/>
        <v>#DIV/0!</v>
      </c>
      <c r="X93" s="69" t="e">
        <f t="shared" si="81"/>
        <v>#DIV/0!</v>
      </c>
      <c r="Y93" s="69" t="e">
        <f t="shared" si="81"/>
        <v>#DIV/0!</v>
      </c>
      <c r="Z93" s="69" t="e">
        <f t="shared" si="81"/>
        <v>#DIV/0!</v>
      </c>
      <c r="AA93" s="69" t="e">
        <f t="shared" si="81"/>
        <v>#DIV/0!</v>
      </c>
      <c r="AB93" s="69" t="e">
        <f t="shared" si="81"/>
        <v>#DIV/0!</v>
      </c>
      <c r="AC93" s="69" t="e">
        <f t="shared" si="81"/>
        <v>#DIV/0!</v>
      </c>
      <c r="AD93" s="69" t="e">
        <f t="shared" si="81"/>
        <v>#DIV/0!</v>
      </c>
      <c r="AE93" s="69" t="e">
        <f t="shared" ref="AE93:AE96" si="82">SUM(S93:AD93)</f>
        <v>#DIV/0!</v>
      </c>
      <c r="AG93" s="65" t="s">
        <v>151</v>
      </c>
      <c r="AH93" s="65" t="s">
        <v>260</v>
      </c>
      <c r="AI93" s="69">
        <f>客単価!F21/12</f>
        <v>10</v>
      </c>
      <c r="AJ93" s="69">
        <f t="shared" si="72"/>
        <v>10</v>
      </c>
      <c r="AK93" s="69">
        <f t="shared" si="72"/>
        <v>10</v>
      </c>
      <c r="AL93" s="69">
        <f t="shared" si="72"/>
        <v>10</v>
      </c>
      <c r="AM93" s="69">
        <f t="shared" si="72"/>
        <v>10</v>
      </c>
      <c r="AN93" s="69">
        <f t="shared" si="72"/>
        <v>10</v>
      </c>
      <c r="AO93" s="69">
        <f t="shared" si="72"/>
        <v>10</v>
      </c>
      <c r="AP93" s="69">
        <f t="shared" si="72"/>
        <v>10</v>
      </c>
      <c r="AQ93" s="69">
        <f t="shared" si="72"/>
        <v>10</v>
      </c>
      <c r="AR93" s="69">
        <f t="shared" si="72"/>
        <v>10</v>
      </c>
      <c r="AS93" s="69">
        <f t="shared" si="72"/>
        <v>10</v>
      </c>
      <c r="AT93" s="69">
        <f t="shared" si="72"/>
        <v>10</v>
      </c>
      <c r="AU93" s="69">
        <f t="shared" si="73"/>
        <v>120</v>
      </c>
      <c r="AV93" s="69" t="s">
        <v>53</v>
      </c>
      <c r="AW93" s="65">
        <v>80</v>
      </c>
      <c r="AX93" s="65" t="s">
        <v>54</v>
      </c>
    </row>
    <row r="94" spans="1:51">
      <c r="B94" s="65" t="s">
        <v>24</v>
      </c>
      <c r="C94" s="69" t="e">
        <f t="shared" si="67"/>
        <v>#DIV/0!</v>
      </c>
      <c r="D94" s="69" t="e">
        <f t="shared" si="67"/>
        <v>#DIV/0!</v>
      </c>
      <c r="E94" s="69" t="e">
        <f t="shared" si="67"/>
        <v>#DIV/0!</v>
      </c>
      <c r="F94" s="69" t="e">
        <f t="shared" si="67"/>
        <v>#DIV/0!</v>
      </c>
      <c r="G94" s="69" t="e">
        <f t="shared" si="67"/>
        <v>#DIV/0!</v>
      </c>
      <c r="H94" s="69" t="e">
        <f t="shared" si="67"/>
        <v>#DIV/0!</v>
      </c>
      <c r="I94" s="69" t="e">
        <f t="shared" si="67"/>
        <v>#DIV/0!</v>
      </c>
      <c r="J94" s="69" t="e">
        <f t="shared" si="67"/>
        <v>#DIV/0!</v>
      </c>
      <c r="K94" s="69" t="e">
        <f t="shared" si="67"/>
        <v>#DIV/0!</v>
      </c>
      <c r="L94" s="69" t="e">
        <f t="shared" si="67"/>
        <v>#DIV/0!</v>
      </c>
      <c r="M94" s="69" t="e">
        <f t="shared" si="67"/>
        <v>#DIV/0!</v>
      </c>
      <c r="N94" s="69" t="e">
        <f t="shared" si="67"/>
        <v>#DIV/0!</v>
      </c>
      <c r="O94" s="69" t="e">
        <f t="shared" si="67"/>
        <v>#DIV/0!</v>
      </c>
      <c r="R94" s="65" t="s">
        <v>24</v>
      </c>
      <c r="S94" s="69" t="e">
        <f t="shared" ref="S94:AD94" si="83">S20/S66</f>
        <v>#DIV/0!</v>
      </c>
      <c r="T94" s="69" t="e">
        <f t="shared" si="83"/>
        <v>#DIV/0!</v>
      </c>
      <c r="U94" s="69" t="e">
        <f t="shared" si="83"/>
        <v>#DIV/0!</v>
      </c>
      <c r="V94" s="69" t="e">
        <f t="shared" si="83"/>
        <v>#DIV/0!</v>
      </c>
      <c r="W94" s="69" t="e">
        <f t="shared" si="83"/>
        <v>#DIV/0!</v>
      </c>
      <c r="X94" s="69" t="e">
        <f t="shared" si="83"/>
        <v>#DIV/0!</v>
      </c>
      <c r="Y94" s="69" t="e">
        <f t="shared" si="83"/>
        <v>#DIV/0!</v>
      </c>
      <c r="Z94" s="69" t="e">
        <f t="shared" si="83"/>
        <v>#DIV/0!</v>
      </c>
      <c r="AA94" s="69" t="e">
        <f t="shared" si="83"/>
        <v>#DIV/0!</v>
      </c>
      <c r="AB94" s="69" t="e">
        <f t="shared" si="83"/>
        <v>#DIV/0!</v>
      </c>
      <c r="AC94" s="69" t="e">
        <f t="shared" si="83"/>
        <v>#DIV/0!</v>
      </c>
      <c r="AD94" s="69" t="e">
        <f t="shared" si="83"/>
        <v>#DIV/0!</v>
      </c>
      <c r="AE94" s="69" t="e">
        <f t="shared" si="82"/>
        <v>#DIV/0!</v>
      </c>
      <c r="AH94" s="65" t="s">
        <v>24</v>
      </c>
      <c r="AI94" s="69">
        <f>客単価!F22/12</f>
        <v>17.931000000000001</v>
      </c>
      <c r="AJ94" s="69">
        <f t="shared" si="72"/>
        <v>17.931000000000001</v>
      </c>
      <c r="AK94" s="69">
        <f t="shared" si="72"/>
        <v>17.931000000000001</v>
      </c>
      <c r="AL94" s="69">
        <f t="shared" si="72"/>
        <v>17.931000000000001</v>
      </c>
      <c r="AM94" s="69">
        <f t="shared" si="72"/>
        <v>17.931000000000001</v>
      </c>
      <c r="AN94" s="69">
        <f t="shared" si="72"/>
        <v>17.931000000000001</v>
      </c>
      <c r="AO94" s="69">
        <f t="shared" si="72"/>
        <v>17.931000000000001</v>
      </c>
      <c r="AP94" s="69">
        <f t="shared" si="72"/>
        <v>17.931000000000001</v>
      </c>
      <c r="AQ94" s="69">
        <f>AP94</f>
        <v>17.931000000000001</v>
      </c>
      <c r="AR94" s="69">
        <f t="shared" si="72"/>
        <v>17.931000000000001</v>
      </c>
      <c r="AS94" s="69">
        <f t="shared" si="72"/>
        <v>17.931000000000001</v>
      </c>
      <c r="AT94" s="69">
        <f t="shared" si="72"/>
        <v>17.931000000000001</v>
      </c>
      <c r="AU94" s="69">
        <f t="shared" si="73"/>
        <v>215.17200000000005</v>
      </c>
      <c r="AV94" s="69" t="s">
        <v>55</v>
      </c>
      <c r="AW94" s="65">
        <v>250</v>
      </c>
      <c r="AX94" s="65" t="s">
        <v>56</v>
      </c>
    </row>
    <row r="95" spans="1:51">
      <c r="B95" s="65" t="s">
        <v>262</v>
      </c>
      <c r="C95" s="69" t="e">
        <f t="shared" si="67"/>
        <v>#DIV/0!</v>
      </c>
      <c r="D95" s="69" t="e">
        <f t="shared" si="67"/>
        <v>#DIV/0!</v>
      </c>
      <c r="E95" s="69" t="e">
        <f t="shared" si="67"/>
        <v>#DIV/0!</v>
      </c>
      <c r="F95" s="69" t="e">
        <f t="shared" si="67"/>
        <v>#DIV/0!</v>
      </c>
      <c r="G95" s="69" t="e">
        <f t="shared" si="67"/>
        <v>#DIV/0!</v>
      </c>
      <c r="H95" s="69" t="e">
        <f t="shared" si="67"/>
        <v>#DIV/0!</v>
      </c>
      <c r="I95" s="69" t="e">
        <f t="shared" si="67"/>
        <v>#DIV/0!</v>
      </c>
      <c r="J95" s="69" t="e">
        <f t="shared" si="67"/>
        <v>#DIV/0!</v>
      </c>
      <c r="K95" s="69" t="e">
        <f t="shared" si="67"/>
        <v>#DIV/0!</v>
      </c>
      <c r="L95" s="69" t="e">
        <f t="shared" si="67"/>
        <v>#DIV/0!</v>
      </c>
      <c r="M95" s="69" t="e">
        <f t="shared" si="67"/>
        <v>#DIV/0!</v>
      </c>
      <c r="N95" s="69" t="e">
        <f t="shared" si="67"/>
        <v>#DIV/0!</v>
      </c>
      <c r="O95" s="69" t="e">
        <f t="shared" si="67"/>
        <v>#DIV/0!</v>
      </c>
      <c r="R95" s="65" t="s">
        <v>262</v>
      </c>
      <c r="S95" s="69" t="e">
        <f t="shared" ref="S95:AD95" si="84">S21/S67</f>
        <v>#DIV/0!</v>
      </c>
      <c r="T95" s="69" t="e">
        <f t="shared" si="84"/>
        <v>#DIV/0!</v>
      </c>
      <c r="U95" s="69" t="e">
        <f t="shared" si="84"/>
        <v>#DIV/0!</v>
      </c>
      <c r="V95" s="69" t="e">
        <f t="shared" si="84"/>
        <v>#DIV/0!</v>
      </c>
      <c r="W95" s="69" t="e">
        <f t="shared" si="84"/>
        <v>#DIV/0!</v>
      </c>
      <c r="X95" s="69" t="e">
        <f t="shared" si="84"/>
        <v>#DIV/0!</v>
      </c>
      <c r="Y95" s="69" t="e">
        <f t="shared" si="84"/>
        <v>#DIV/0!</v>
      </c>
      <c r="Z95" s="69" t="e">
        <f t="shared" si="84"/>
        <v>#DIV/0!</v>
      </c>
      <c r="AA95" s="69" t="e">
        <f t="shared" si="84"/>
        <v>#DIV/0!</v>
      </c>
      <c r="AB95" s="69" t="e">
        <f t="shared" si="84"/>
        <v>#DIV/0!</v>
      </c>
      <c r="AC95" s="69" t="e">
        <f t="shared" si="84"/>
        <v>#DIV/0!</v>
      </c>
      <c r="AD95" s="69" t="e">
        <f t="shared" si="84"/>
        <v>#DIV/0!</v>
      </c>
      <c r="AE95" s="69" t="e">
        <f t="shared" si="82"/>
        <v>#DIV/0!</v>
      </c>
      <c r="AH95" s="65" t="s">
        <v>262</v>
      </c>
      <c r="AI95" s="69">
        <f>客単価!F23/12</f>
        <v>17.931000000000001</v>
      </c>
      <c r="AJ95" s="69">
        <f t="shared" si="72"/>
        <v>17.931000000000001</v>
      </c>
      <c r="AK95" s="69">
        <f t="shared" si="72"/>
        <v>17.931000000000001</v>
      </c>
      <c r="AL95" s="69">
        <f t="shared" si="72"/>
        <v>17.931000000000001</v>
      </c>
      <c r="AM95" s="69">
        <f t="shared" si="72"/>
        <v>17.931000000000001</v>
      </c>
      <c r="AN95" s="69">
        <f t="shared" si="72"/>
        <v>17.931000000000001</v>
      </c>
      <c r="AO95" s="212">
        <f>AO90/2</f>
        <v>26</v>
      </c>
      <c r="AP95" s="69">
        <f t="shared" si="72"/>
        <v>26</v>
      </c>
      <c r="AQ95" s="69">
        <f t="shared" si="72"/>
        <v>26</v>
      </c>
      <c r="AR95" s="69">
        <f t="shared" si="72"/>
        <v>26</v>
      </c>
      <c r="AS95" s="69">
        <f t="shared" si="72"/>
        <v>26</v>
      </c>
      <c r="AT95" s="69">
        <f t="shared" si="72"/>
        <v>26</v>
      </c>
      <c r="AU95" s="69">
        <f t="shared" si="73"/>
        <v>263.58600000000001</v>
      </c>
      <c r="AV95" s="69" t="s">
        <v>58</v>
      </c>
    </row>
    <row r="96" spans="1:51">
      <c r="B96" s="65" t="s">
        <v>26</v>
      </c>
      <c r="C96" s="69" t="e">
        <f t="shared" si="67"/>
        <v>#DIV/0!</v>
      </c>
      <c r="D96" s="69" t="e">
        <f t="shared" si="67"/>
        <v>#DIV/0!</v>
      </c>
      <c r="E96" s="69" t="e">
        <f t="shared" si="67"/>
        <v>#DIV/0!</v>
      </c>
      <c r="F96" s="69" t="e">
        <f t="shared" si="67"/>
        <v>#DIV/0!</v>
      </c>
      <c r="G96" s="69" t="e">
        <f t="shared" si="67"/>
        <v>#DIV/0!</v>
      </c>
      <c r="H96" s="69" t="e">
        <f t="shared" si="67"/>
        <v>#DIV/0!</v>
      </c>
      <c r="I96" s="69" t="e">
        <f t="shared" si="67"/>
        <v>#DIV/0!</v>
      </c>
      <c r="J96" s="69" t="e">
        <f t="shared" si="67"/>
        <v>#DIV/0!</v>
      </c>
      <c r="K96" s="69" t="e">
        <f t="shared" si="67"/>
        <v>#DIV/0!</v>
      </c>
      <c r="L96" s="69" t="e">
        <f t="shared" si="67"/>
        <v>#DIV/0!</v>
      </c>
      <c r="M96" s="69" t="e">
        <f t="shared" si="67"/>
        <v>#DIV/0!</v>
      </c>
      <c r="N96" s="69" t="e">
        <f t="shared" si="67"/>
        <v>#DIV/0!</v>
      </c>
      <c r="O96" s="69" t="e">
        <f t="shared" si="67"/>
        <v>#DIV/0!</v>
      </c>
      <c r="R96" s="65" t="s">
        <v>26</v>
      </c>
      <c r="S96" s="69" t="e">
        <f t="shared" ref="S96:AD96" si="85">S22/S68</f>
        <v>#DIV/0!</v>
      </c>
      <c r="T96" s="69" t="e">
        <f t="shared" si="85"/>
        <v>#DIV/0!</v>
      </c>
      <c r="U96" s="69" t="e">
        <f t="shared" si="85"/>
        <v>#DIV/0!</v>
      </c>
      <c r="V96" s="69" t="e">
        <f t="shared" si="85"/>
        <v>#DIV/0!</v>
      </c>
      <c r="W96" s="69" t="e">
        <f t="shared" si="85"/>
        <v>#DIV/0!</v>
      </c>
      <c r="X96" s="69" t="e">
        <f t="shared" si="85"/>
        <v>#DIV/0!</v>
      </c>
      <c r="Y96" s="69" t="e">
        <f t="shared" si="85"/>
        <v>#DIV/0!</v>
      </c>
      <c r="Z96" s="69" t="e">
        <f t="shared" si="85"/>
        <v>#DIV/0!</v>
      </c>
      <c r="AA96" s="69" t="e">
        <f t="shared" si="85"/>
        <v>#DIV/0!</v>
      </c>
      <c r="AB96" s="69" t="e">
        <f t="shared" si="85"/>
        <v>#DIV/0!</v>
      </c>
      <c r="AC96" s="69" t="e">
        <f t="shared" si="85"/>
        <v>#DIV/0!</v>
      </c>
      <c r="AD96" s="69" t="e">
        <f t="shared" si="85"/>
        <v>#DIV/0!</v>
      </c>
      <c r="AE96" s="69" t="e">
        <f t="shared" si="82"/>
        <v>#DIV/0!</v>
      </c>
      <c r="AH96" s="65" t="s">
        <v>26</v>
      </c>
      <c r="AI96" s="69">
        <f>客単価!F24/12</f>
        <v>27.6965</v>
      </c>
      <c r="AJ96" s="69">
        <f t="shared" si="72"/>
        <v>27.6965</v>
      </c>
      <c r="AK96" s="69">
        <f t="shared" si="72"/>
        <v>27.6965</v>
      </c>
      <c r="AL96" s="69">
        <f t="shared" si="72"/>
        <v>27.6965</v>
      </c>
      <c r="AM96" s="69">
        <f t="shared" si="72"/>
        <v>27.6965</v>
      </c>
      <c r="AN96" s="69">
        <f t="shared" si="72"/>
        <v>27.6965</v>
      </c>
      <c r="AO96" s="69">
        <f t="shared" si="72"/>
        <v>27.6965</v>
      </c>
      <c r="AP96" s="69">
        <f t="shared" si="72"/>
        <v>27.6965</v>
      </c>
      <c r="AQ96" s="69">
        <f t="shared" si="72"/>
        <v>27.6965</v>
      </c>
      <c r="AR96" s="69">
        <f t="shared" si="72"/>
        <v>27.6965</v>
      </c>
      <c r="AS96" s="69">
        <f t="shared" si="72"/>
        <v>27.6965</v>
      </c>
      <c r="AT96" s="69">
        <f t="shared" si="72"/>
        <v>27.6965</v>
      </c>
      <c r="AU96" s="69">
        <f t="shared" si="73"/>
        <v>332.35800000000012</v>
      </c>
    </row>
    <row r="97" spans="1:51">
      <c r="B97" s="172" t="s">
        <v>162</v>
      </c>
      <c r="C97" s="173" t="e">
        <f t="shared" si="67"/>
        <v>#DIV/0!</v>
      </c>
      <c r="D97" s="173" t="e">
        <f t="shared" si="67"/>
        <v>#DIV/0!</v>
      </c>
      <c r="E97" s="173" t="e">
        <f t="shared" si="67"/>
        <v>#DIV/0!</v>
      </c>
      <c r="F97" s="173" t="e">
        <f t="shared" si="67"/>
        <v>#DIV/0!</v>
      </c>
      <c r="G97" s="173" t="e">
        <f t="shared" si="67"/>
        <v>#DIV/0!</v>
      </c>
      <c r="H97" s="173" t="e">
        <f t="shared" si="67"/>
        <v>#DIV/0!</v>
      </c>
      <c r="I97" s="173" t="e">
        <f t="shared" si="67"/>
        <v>#DIV/0!</v>
      </c>
      <c r="J97" s="173" t="e">
        <f t="shared" si="67"/>
        <v>#DIV/0!</v>
      </c>
      <c r="K97" s="173" t="e">
        <f t="shared" si="67"/>
        <v>#DIV/0!</v>
      </c>
      <c r="L97" s="173" t="e">
        <f t="shared" si="67"/>
        <v>#DIV/0!</v>
      </c>
      <c r="M97" s="173" t="e">
        <f t="shared" si="67"/>
        <v>#DIV/0!</v>
      </c>
      <c r="N97" s="173" t="e">
        <f t="shared" si="67"/>
        <v>#DIV/0!</v>
      </c>
      <c r="O97" s="173" t="e">
        <f t="shared" si="67"/>
        <v>#DIV/0!</v>
      </c>
      <c r="R97" s="172" t="s">
        <v>162</v>
      </c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H97" s="172" t="s">
        <v>162</v>
      </c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3"/>
      <c r="AT97" s="173"/>
      <c r="AU97" s="173"/>
    </row>
    <row r="98" spans="1:51">
      <c r="A98" s="65" t="s">
        <v>266</v>
      </c>
      <c r="B98" s="65" t="s">
        <v>260</v>
      </c>
      <c r="C98" s="180" t="e">
        <f t="shared" si="67"/>
        <v>#DIV/0!</v>
      </c>
      <c r="D98" s="180" t="e">
        <f t="shared" si="67"/>
        <v>#DIV/0!</v>
      </c>
      <c r="E98" s="180" t="e">
        <f t="shared" si="67"/>
        <v>#DIV/0!</v>
      </c>
      <c r="F98" s="180" t="e">
        <f t="shared" si="67"/>
        <v>#DIV/0!</v>
      </c>
      <c r="G98" s="180" t="e">
        <f t="shared" si="67"/>
        <v>#DIV/0!</v>
      </c>
      <c r="H98" s="180" t="e">
        <f t="shared" si="67"/>
        <v>#DIV/0!</v>
      </c>
      <c r="I98" s="180" t="e">
        <f t="shared" si="67"/>
        <v>#DIV/0!</v>
      </c>
      <c r="J98" s="180" t="e">
        <f t="shared" si="67"/>
        <v>#DIV/0!</v>
      </c>
      <c r="K98" s="180" t="e">
        <f t="shared" si="67"/>
        <v>#DIV/0!</v>
      </c>
      <c r="L98" s="180" t="e">
        <f t="shared" si="67"/>
        <v>#DIV/0!</v>
      </c>
      <c r="M98" s="180" t="e">
        <f t="shared" si="67"/>
        <v>#DIV/0!</v>
      </c>
      <c r="N98" s="180" t="e">
        <f t="shared" si="67"/>
        <v>#DIV/0!</v>
      </c>
      <c r="O98" s="69" t="e">
        <f t="shared" si="67"/>
        <v>#DIV/0!</v>
      </c>
      <c r="Q98" s="65" t="s">
        <v>266</v>
      </c>
      <c r="R98" s="65" t="s">
        <v>260</v>
      </c>
      <c r="S98" s="180" t="e">
        <f t="shared" ref="S98:AD98" si="86">S27/S70</f>
        <v>#DIV/0!</v>
      </c>
      <c r="T98" s="180" t="e">
        <f t="shared" si="86"/>
        <v>#DIV/0!</v>
      </c>
      <c r="U98" s="180" t="e">
        <f t="shared" si="86"/>
        <v>#DIV/0!</v>
      </c>
      <c r="V98" s="180" t="e">
        <f t="shared" si="86"/>
        <v>#DIV/0!</v>
      </c>
      <c r="W98" s="180" t="e">
        <f t="shared" si="86"/>
        <v>#DIV/0!</v>
      </c>
      <c r="X98" s="180" t="e">
        <f t="shared" si="86"/>
        <v>#DIV/0!</v>
      </c>
      <c r="Y98" s="180" t="e">
        <f t="shared" si="86"/>
        <v>#DIV/0!</v>
      </c>
      <c r="Z98" s="180" t="e">
        <f t="shared" si="86"/>
        <v>#DIV/0!</v>
      </c>
      <c r="AA98" s="180" t="e">
        <f t="shared" si="86"/>
        <v>#DIV/0!</v>
      </c>
      <c r="AB98" s="180" t="e">
        <f t="shared" si="86"/>
        <v>#DIV/0!</v>
      </c>
      <c r="AC98" s="180" t="e">
        <f t="shared" si="86"/>
        <v>#DIV/0!</v>
      </c>
      <c r="AD98" s="180" t="e">
        <f t="shared" si="86"/>
        <v>#DIV/0!</v>
      </c>
      <c r="AE98" s="69" t="e">
        <f t="shared" ref="AE98:AE100" si="87">SUM(S98:AD98)</f>
        <v>#DIV/0!</v>
      </c>
      <c r="AG98" s="65" t="s">
        <v>266</v>
      </c>
      <c r="AH98" s="65" t="s">
        <v>260</v>
      </c>
      <c r="AI98" s="69">
        <f t="shared" ref="AI98:AT98" si="88">800*250/1000</f>
        <v>200</v>
      </c>
      <c r="AJ98" s="69">
        <f t="shared" si="88"/>
        <v>200</v>
      </c>
      <c r="AK98" s="69">
        <f t="shared" si="88"/>
        <v>200</v>
      </c>
      <c r="AL98" s="69">
        <f t="shared" si="88"/>
        <v>200</v>
      </c>
      <c r="AM98" s="69">
        <f t="shared" si="88"/>
        <v>200</v>
      </c>
      <c r="AN98" s="69">
        <f t="shared" si="88"/>
        <v>200</v>
      </c>
      <c r="AO98" s="69">
        <f t="shared" si="88"/>
        <v>200</v>
      </c>
      <c r="AP98" s="69">
        <f t="shared" si="88"/>
        <v>200</v>
      </c>
      <c r="AQ98" s="69">
        <f t="shared" si="88"/>
        <v>200</v>
      </c>
      <c r="AR98" s="69">
        <f t="shared" si="88"/>
        <v>200</v>
      </c>
      <c r="AS98" s="69">
        <f t="shared" si="88"/>
        <v>200</v>
      </c>
      <c r="AT98" s="69">
        <f t="shared" si="88"/>
        <v>200</v>
      </c>
      <c r="AU98" s="69">
        <f t="shared" si="73"/>
        <v>2400</v>
      </c>
      <c r="AW98" s="65" t="s">
        <v>290</v>
      </c>
    </row>
    <row r="99" spans="1:51">
      <c r="B99" s="65" t="s">
        <v>267</v>
      </c>
      <c r="C99" s="180" t="e">
        <f t="shared" si="67"/>
        <v>#DIV/0!</v>
      </c>
      <c r="D99" s="180" t="e">
        <f t="shared" si="67"/>
        <v>#DIV/0!</v>
      </c>
      <c r="E99" s="180" t="e">
        <f t="shared" si="67"/>
        <v>#DIV/0!</v>
      </c>
      <c r="F99" s="180" t="e">
        <f t="shared" si="67"/>
        <v>#DIV/0!</v>
      </c>
      <c r="G99" s="180" t="e">
        <f t="shared" si="67"/>
        <v>#DIV/0!</v>
      </c>
      <c r="H99" s="180" t="e">
        <f t="shared" si="67"/>
        <v>#DIV/0!</v>
      </c>
      <c r="I99" s="180" t="e">
        <f t="shared" si="67"/>
        <v>#DIV/0!</v>
      </c>
      <c r="J99" s="180" t="e">
        <f t="shared" si="67"/>
        <v>#DIV/0!</v>
      </c>
      <c r="K99" s="180" t="e">
        <f t="shared" si="67"/>
        <v>#DIV/0!</v>
      </c>
      <c r="L99" s="180" t="e">
        <f t="shared" si="67"/>
        <v>#DIV/0!</v>
      </c>
      <c r="M99" s="180" t="e">
        <f t="shared" si="67"/>
        <v>#DIV/0!</v>
      </c>
      <c r="N99" s="180" t="e">
        <f t="shared" si="67"/>
        <v>#DIV/0!</v>
      </c>
      <c r="O99" s="69" t="e">
        <f t="shared" si="67"/>
        <v>#DIV/0!</v>
      </c>
      <c r="R99" s="65" t="s">
        <v>267</v>
      </c>
      <c r="S99" s="180" t="e">
        <f t="shared" ref="S99:AD99" si="89">S28/S71</f>
        <v>#DIV/0!</v>
      </c>
      <c r="T99" s="180" t="e">
        <f t="shared" si="89"/>
        <v>#DIV/0!</v>
      </c>
      <c r="U99" s="180" t="e">
        <f t="shared" si="89"/>
        <v>#DIV/0!</v>
      </c>
      <c r="V99" s="180" t="e">
        <f t="shared" si="89"/>
        <v>#DIV/0!</v>
      </c>
      <c r="W99" s="180" t="e">
        <f t="shared" si="89"/>
        <v>#DIV/0!</v>
      </c>
      <c r="X99" s="180" t="e">
        <f t="shared" si="89"/>
        <v>#DIV/0!</v>
      </c>
      <c r="Y99" s="180" t="e">
        <f t="shared" si="89"/>
        <v>#DIV/0!</v>
      </c>
      <c r="Z99" s="180" t="e">
        <f t="shared" si="89"/>
        <v>#DIV/0!</v>
      </c>
      <c r="AA99" s="180" t="e">
        <f t="shared" si="89"/>
        <v>#DIV/0!</v>
      </c>
      <c r="AB99" s="180" t="e">
        <f t="shared" si="89"/>
        <v>#DIV/0!</v>
      </c>
      <c r="AC99" s="180" t="e">
        <f t="shared" si="89"/>
        <v>#DIV/0!</v>
      </c>
      <c r="AD99" s="180" t="e">
        <f t="shared" si="89"/>
        <v>#DIV/0!</v>
      </c>
      <c r="AE99" s="69" t="e">
        <f t="shared" si="87"/>
        <v>#DIV/0!</v>
      </c>
      <c r="AH99" s="65" t="s">
        <v>267</v>
      </c>
      <c r="AI99" s="174">
        <v>500</v>
      </c>
      <c r="AJ99" s="180">
        <f>AI99</f>
        <v>500</v>
      </c>
      <c r="AK99" s="180">
        <f t="shared" ref="AK99:AT100" si="90">AJ99</f>
        <v>500</v>
      </c>
      <c r="AL99" s="180">
        <f t="shared" si="90"/>
        <v>500</v>
      </c>
      <c r="AM99" s="180">
        <f t="shared" si="90"/>
        <v>500</v>
      </c>
      <c r="AN99" s="180">
        <f t="shared" si="90"/>
        <v>500</v>
      </c>
      <c r="AO99" s="180">
        <f t="shared" si="90"/>
        <v>500</v>
      </c>
      <c r="AP99" s="180">
        <f t="shared" si="90"/>
        <v>500</v>
      </c>
      <c r="AQ99" s="180">
        <f t="shared" si="90"/>
        <v>500</v>
      </c>
      <c r="AR99" s="180">
        <f t="shared" si="90"/>
        <v>500</v>
      </c>
      <c r="AS99" s="180">
        <f t="shared" si="90"/>
        <v>500</v>
      </c>
      <c r="AT99" s="180">
        <f t="shared" si="90"/>
        <v>500</v>
      </c>
      <c r="AU99" s="69">
        <f t="shared" si="73"/>
        <v>6000</v>
      </c>
      <c r="AW99" s="65" t="s">
        <v>291</v>
      </c>
    </row>
    <row r="100" spans="1:51">
      <c r="B100" s="65" t="s">
        <v>268</v>
      </c>
      <c r="C100" s="180" t="e">
        <f t="shared" si="67"/>
        <v>#DIV/0!</v>
      </c>
      <c r="D100" s="180" t="e">
        <f t="shared" si="67"/>
        <v>#DIV/0!</v>
      </c>
      <c r="E100" s="180" t="e">
        <f t="shared" si="67"/>
        <v>#DIV/0!</v>
      </c>
      <c r="F100" s="180" t="e">
        <f t="shared" si="67"/>
        <v>#DIV/0!</v>
      </c>
      <c r="G100" s="180" t="e">
        <f t="shared" si="67"/>
        <v>#DIV/0!</v>
      </c>
      <c r="H100" s="180" t="e">
        <f t="shared" si="67"/>
        <v>#DIV/0!</v>
      </c>
      <c r="I100" s="180" t="e">
        <f t="shared" si="67"/>
        <v>#DIV/0!</v>
      </c>
      <c r="J100" s="180" t="e">
        <f t="shared" si="67"/>
        <v>#DIV/0!</v>
      </c>
      <c r="K100" s="180" t="e">
        <f t="shared" si="67"/>
        <v>#DIV/0!</v>
      </c>
      <c r="L100" s="180" t="e">
        <f t="shared" si="67"/>
        <v>#DIV/0!</v>
      </c>
      <c r="M100" s="180" t="e">
        <f t="shared" si="67"/>
        <v>#DIV/0!</v>
      </c>
      <c r="N100" s="180" t="e">
        <f t="shared" si="67"/>
        <v>#DIV/0!</v>
      </c>
      <c r="O100" s="69" t="e">
        <f t="shared" si="67"/>
        <v>#DIV/0!</v>
      </c>
      <c r="R100" s="65" t="s">
        <v>268</v>
      </c>
      <c r="S100" s="180" t="e">
        <f t="shared" ref="S100:AD100" si="91">S29/S72</f>
        <v>#DIV/0!</v>
      </c>
      <c r="T100" s="180" t="e">
        <f t="shared" si="91"/>
        <v>#DIV/0!</v>
      </c>
      <c r="U100" s="180" t="e">
        <f t="shared" si="91"/>
        <v>#DIV/0!</v>
      </c>
      <c r="V100" s="180" t="e">
        <f t="shared" si="91"/>
        <v>#DIV/0!</v>
      </c>
      <c r="W100" s="180" t="e">
        <f t="shared" si="91"/>
        <v>#DIV/0!</v>
      </c>
      <c r="X100" s="180" t="e">
        <f t="shared" si="91"/>
        <v>#DIV/0!</v>
      </c>
      <c r="Y100" s="180" t="e">
        <f t="shared" si="91"/>
        <v>#DIV/0!</v>
      </c>
      <c r="Z100" s="180" t="e">
        <f t="shared" si="91"/>
        <v>#DIV/0!</v>
      </c>
      <c r="AA100" s="180" t="e">
        <f t="shared" si="91"/>
        <v>#DIV/0!</v>
      </c>
      <c r="AB100" s="180" t="e">
        <f t="shared" si="91"/>
        <v>#DIV/0!</v>
      </c>
      <c r="AC100" s="180" t="e">
        <f t="shared" si="91"/>
        <v>#DIV/0!</v>
      </c>
      <c r="AD100" s="180" t="e">
        <f t="shared" si="91"/>
        <v>#DIV/0!</v>
      </c>
      <c r="AE100" s="69" t="e">
        <f t="shared" si="87"/>
        <v>#DIV/0!</v>
      </c>
      <c r="AH100" s="65" t="s">
        <v>268</v>
      </c>
      <c r="AI100" s="174">
        <v>400</v>
      </c>
      <c r="AJ100" s="180">
        <f>AI100</f>
        <v>400</v>
      </c>
      <c r="AK100" s="180">
        <f t="shared" si="90"/>
        <v>400</v>
      </c>
      <c r="AL100" s="180">
        <f t="shared" si="90"/>
        <v>400</v>
      </c>
      <c r="AM100" s="180">
        <f t="shared" si="90"/>
        <v>400</v>
      </c>
      <c r="AN100" s="180">
        <f t="shared" si="90"/>
        <v>400</v>
      </c>
      <c r="AO100" s="180">
        <f t="shared" si="90"/>
        <v>400</v>
      </c>
      <c r="AP100" s="180">
        <f t="shared" si="90"/>
        <v>400</v>
      </c>
      <c r="AQ100" s="180">
        <f t="shared" si="90"/>
        <v>400</v>
      </c>
      <c r="AR100" s="180">
        <f t="shared" si="90"/>
        <v>400</v>
      </c>
      <c r="AS100" s="180">
        <f t="shared" si="90"/>
        <v>400</v>
      </c>
      <c r="AT100" s="180">
        <f t="shared" si="90"/>
        <v>400</v>
      </c>
      <c r="AU100" s="69">
        <f t="shared" si="73"/>
        <v>4800</v>
      </c>
      <c r="AW100" s="65" t="s">
        <v>292</v>
      </c>
    </row>
    <row r="101" spans="1:51">
      <c r="B101" s="190" t="s">
        <v>162</v>
      </c>
      <c r="C101" s="191" t="e">
        <f t="shared" si="67"/>
        <v>#DIV/0!</v>
      </c>
      <c r="D101" s="191" t="e">
        <f t="shared" si="67"/>
        <v>#DIV/0!</v>
      </c>
      <c r="E101" s="191" t="e">
        <f t="shared" si="67"/>
        <v>#DIV/0!</v>
      </c>
      <c r="F101" s="191" t="e">
        <f t="shared" si="67"/>
        <v>#DIV/0!</v>
      </c>
      <c r="G101" s="191" t="e">
        <f t="shared" si="67"/>
        <v>#DIV/0!</v>
      </c>
      <c r="H101" s="191" t="e">
        <f t="shared" si="67"/>
        <v>#DIV/0!</v>
      </c>
      <c r="I101" s="191" t="e">
        <f t="shared" si="67"/>
        <v>#DIV/0!</v>
      </c>
      <c r="J101" s="191" t="e">
        <f t="shared" si="67"/>
        <v>#DIV/0!</v>
      </c>
      <c r="K101" s="191" t="e">
        <f t="shared" si="67"/>
        <v>#DIV/0!</v>
      </c>
      <c r="L101" s="191" t="e">
        <f t="shared" si="67"/>
        <v>#DIV/0!</v>
      </c>
      <c r="M101" s="191" t="e">
        <f t="shared" si="67"/>
        <v>#DIV/0!</v>
      </c>
      <c r="N101" s="191" t="e">
        <f t="shared" si="67"/>
        <v>#DIV/0!</v>
      </c>
      <c r="O101" s="191" t="e">
        <f t="shared" si="67"/>
        <v>#DIV/0!</v>
      </c>
      <c r="R101" s="190" t="s">
        <v>162</v>
      </c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H101" s="190" t="s">
        <v>162</v>
      </c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</row>
    <row r="102" spans="1:51">
      <c r="A102" s="188" t="s">
        <v>42</v>
      </c>
      <c r="B102" s="188" t="s">
        <v>260</v>
      </c>
      <c r="C102" s="189">
        <f>S102/AI102</f>
        <v>1.5010264703183778</v>
      </c>
      <c r="D102" s="189">
        <f t="shared" si="67"/>
        <v>1.070425038994403</v>
      </c>
      <c r="E102" s="189">
        <f t="shared" si="67"/>
        <v>1.0964308652169921</v>
      </c>
      <c r="F102" s="189" t="e">
        <f t="shared" si="67"/>
        <v>#DIV/0!</v>
      </c>
      <c r="G102" s="189" t="e">
        <f t="shared" si="67"/>
        <v>#DIV/0!</v>
      </c>
      <c r="H102" s="189" t="e">
        <f t="shared" si="67"/>
        <v>#DIV/0!</v>
      </c>
      <c r="I102" s="189" t="e">
        <f t="shared" si="67"/>
        <v>#DIV/0!</v>
      </c>
      <c r="J102" s="189" t="e">
        <f t="shared" si="67"/>
        <v>#DIV/0!</v>
      </c>
      <c r="K102" s="189" t="e">
        <f t="shared" si="67"/>
        <v>#DIV/0!</v>
      </c>
      <c r="L102" s="189" t="e">
        <f t="shared" ref="C102:O108" si="92">AB102/AR102</f>
        <v>#DIV/0!</v>
      </c>
      <c r="M102" s="189" t="e">
        <f t="shared" si="92"/>
        <v>#DIV/0!</v>
      </c>
      <c r="N102" s="189" t="e">
        <f t="shared" si="92"/>
        <v>#DIV/0!</v>
      </c>
      <c r="O102" s="189" t="e">
        <f t="shared" si="92"/>
        <v>#DIV/0!</v>
      </c>
      <c r="P102" s="188"/>
      <c r="Q102" s="188" t="s">
        <v>42</v>
      </c>
      <c r="R102" s="188" t="s">
        <v>260</v>
      </c>
      <c r="S102" s="189">
        <f t="shared" ref="S102:AD102" si="93">S34/S74</f>
        <v>232.67111111111112</v>
      </c>
      <c r="T102" s="189">
        <f t="shared" si="93"/>
        <v>165.92444444444442</v>
      </c>
      <c r="U102" s="189">
        <f t="shared" si="93"/>
        <v>169.95555555555552</v>
      </c>
      <c r="V102" s="189" t="e">
        <f t="shared" si="93"/>
        <v>#DIV/0!</v>
      </c>
      <c r="W102" s="189" t="e">
        <f t="shared" si="93"/>
        <v>#DIV/0!</v>
      </c>
      <c r="X102" s="189" t="e">
        <f t="shared" si="93"/>
        <v>#DIV/0!</v>
      </c>
      <c r="Y102" s="189" t="e">
        <f t="shared" si="93"/>
        <v>#DIV/0!</v>
      </c>
      <c r="Z102" s="189" t="e">
        <f t="shared" si="93"/>
        <v>#DIV/0!</v>
      </c>
      <c r="AA102" s="189" t="e">
        <f t="shared" si="93"/>
        <v>#DIV/0!</v>
      </c>
      <c r="AB102" s="189" t="e">
        <f t="shared" si="93"/>
        <v>#DIV/0!</v>
      </c>
      <c r="AC102" s="189" t="e">
        <f t="shared" si="93"/>
        <v>#DIV/0!</v>
      </c>
      <c r="AD102" s="189" t="e">
        <f t="shared" si="93"/>
        <v>#DIV/0!</v>
      </c>
      <c r="AE102" s="189" t="e">
        <f>SUM(S102:AD102)</f>
        <v>#DIV/0!</v>
      </c>
      <c r="AF102" s="188"/>
      <c r="AG102" s="188" t="s">
        <v>42</v>
      </c>
      <c r="AH102" s="188" t="s">
        <v>260</v>
      </c>
      <c r="AI102" s="189">
        <f>客単価!E5/12</f>
        <v>155.00800000000001</v>
      </c>
      <c r="AJ102" s="189">
        <f t="shared" ref="AJ102:AT105" si="94">AI102</f>
        <v>155.00800000000001</v>
      </c>
      <c r="AK102" s="189">
        <f t="shared" si="94"/>
        <v>155.00800000000001</v>
      </c>
      <c r="AL102" s="189">
        <f t="shared" si="94"/>
        <v>155.00800000000001</v>
      </c>
      <c r="AM102" s="189">
        <f t="shared" si="94"/>
        <v>155.00800000000001</v>
      </c>
      <c r="AN102" s="189">
        <f t="shared" si="94"/>
        <v>155.00800000000001</v>
      </c>
      <c r="AO102" s="189">
        <f t="shared" si="94"/>
        <v>155.00800000000001</v>
      </c>
      <c r="AP102" s="189">
        <f t="shared" si="94"/>
        <v>155.00800000000001</v>
      </c>
      <c r="AQ102" s="189">
        <f t="shared" si="94"/>
        <v>155.00800000000001</v>
      </c>
      <c r="AR102" s="189">
        <f t="shared" si="94"/>
        <v>155.00800000000001</v>
      </c>
      <c r="AS102" s="189">
        <f t="shared" si="94"/>
        <v>155.00800000000001</v>
      </c>
      <c r="AT102" s="189">
        <f t="shared" si="94"/>
        <v>155.00800000000001</v>
      </c>
      <c r="AU102" s="189">
        <f>SUM(AI102:AT102)</f>
        <v>1860.0960000000002</v>
      </c>
      <c r="AV102" s="189" t="s">
        <v>53</v>
      </c>
      <c r="AW102" s="188">
        <v>2100</v>
      </c>
      <c r="AX102" s="188" t="s">
        <v>54</v>
      </c>
      <c r="AY102" s="188"/>
    </row>
    <row r="103" spans="1:51">
      <c r="A103" s="188"/>
      <c r="B103" s="188" t="s">
        <v>24</v>
      </c>
      <c r="C103" s="189" t="e">
        <f t="shared" si="92"/>
        <v>#DIV/0!</v>
      </c>
      <c r="D103" s="189" t="e">
        <f t="shared" si="92"/>
        <v>#DIV/0!</v>
      </c>
      <c r="E103" s="189" t="e">
        <f t="shared" si="92"/>
        <v>#DIV/0!</v>
      </c>
      <c r="F103" s="189" t="e">
        <f t="shared" si="92"/>
        <v>#DIV/0!</v>
      </c>
      <c r="G103" s="189" t="e">
        <f t="shared" si="92"/>
        <v>#DIV/0!</v>
      </c>
      <c r="H103" s="189" t="e">
        <f t="shared" si="92"/>
        <v>#DIV/0!</v>
      </c>
      <c r="I103" s="189" t="e">
        <f t="shared" si="92"/>
        <v>#DIV/0!</v>
      </c>
      <c r="J103" s="189" t="e">
        <f t="shared" si="92"/>
        <v>#DIV/0!</v>
      </c>
      <c r="K103" s="189" t="e">
        <f t="shared" si="92"/>
        <v>#DIV/0!</v>
      </c>
      <c r="L103" s="189" t="e">
        <f t="shared" si="92"/>
        <v>#DIV/0!</v>
      </c>
      <c r="M103" s="189" t="e">
        <f t="shared" si="92"/>
        <v>#DIV/0!</v>
      </c>
      <c r="N103" s="189" t="e">
        <f t="shared" si="92"/>
        <v>#DIV/0!</v>
      </c>
      <c r="O103" s="189" t="e">
        <f t="shared" si="92"/>
        <v>#DIV/0!</v>
      </c>
      <c r="P103" s="188"/>
      <c r="Q103" s="188"/>
      <c r="R103" s="188" t="s">
        <v>24</v>
      </c>
      <c r="S103" s="189" t="e">
        <f t="shared" ref="S103:AD103" si="95">S35/S75</f>
        <v>#DIV/0!</v>
      </c>
      <c r="T103" s="189" t="e">
        <f t="shared" si="95"/>
        <v>#DIV/0!</v>
      </c>
      <c r="U103" s="189" t="e">
        <f t="shared" si="95"/>
        <v>#DIV/0!</v>
      </c>
      <c r="V103" s="189" t="e">
        <f t="shared" si="95"/>
        <v>#DIV/0!</v>
      </c>
      <c r="W103" s="189" t="e">
        <f t="shared" si="95"/>
        <v>#DIV/0!</v>
      </c>
      <c r="X103" s="189" t="e">
        <f t="shared" si="95"/>
        <v>#DIV/0!</v>
      </c>
      <c r="Y103" s="189" t="e">
        <f t="shared" si="95"/>
        <v>#DIV/0!</v>
      </c>
      <c r="Z103" s="189" t="e">
        <f t="shared" si="95"/>
        <v>#DIV/0!</v>
      </c>
      <c r="AA103" s="189" t="e">
        <f t="shared" si="95"/>
        <v>#DIV/0!</v>
      </c>
      <c r="AB103" s="189" t="e">
        <f t="shared" si="95"/>
        <v>#DIV/0!</v>
      </c>
      <c r="AC103" s="189" t="e">
        <f t="shared" si="95"/>
        <v>#DIV/0!</v>
      </c>
      <c r="AD103" s="189" t="e">
        <f t="shared" si="95"/>
        <v>#DIV/0!</v>
      </c>
      <c r="AE103" s="189" t="e">
        <f>SUM(S103:AD103)</f>
        <v>#DIV/0!</v>
      </c>
      <c r="AF103" s="188"/>
      <c r="AG103" s="188"/>
      <c r="AH103" s="188" t="s">
        <v>24</v>
      </c>
      <c r="AI103" s="189">
        <f>客単価!E6/12</f>
        <v>35.862000000000002</v>
      </c>
      <c r="AJ103" s="189">
        <f t="shared" si="94"/>
        <v>35.862000000000002</v>
      </c>
      <c r="AK103" s="189">
        <f t="shared" si="94"/>
        <v>35.862000000000002</v>
      </c>
      <c r="AL103" s="189">
        <f t="shared" si="94"/>
        <v>35.862000000000002</v>
      </c>
      <c r="AM103" s="189">
        <f t="shared" si="94"/>
        <v>35.862000000000002</v>
      </c>
      <c r="AN103" s="189">
        <f t="shared" si="94"/>
        <v>35.862000000000002</v>
      </c>
      <c r="AO103" s="189">
        <f t="shared" si="94"/>
        <v>35.862000000000002</v>
      </c>
      <c r="AP103" s="189">
        <f t="shared" si="94"/>
        <v>35.862000000000002</v>
      </c>
      <c r="AQ103" s="189">
        <f t="shared" si="94"/>
        <v>35.862000000000002</v>
      </c>
      <c r="AR103" s="189">
        <f t="shared" si="94"/>
        <v>35.862000000000002</v>
      </c>
      <c r="AS103" s="189">
        <f t="shared" si="94"/>
        <v>35.862000000000002</v>
      </c>
      <c r="AT103" s="189">
        <f t="shared" si="94"/>
        <v>35.862000000000002</v>
      </c>
      <c r="AU103" s="189">
        <f>SUM(AI103:AT103)</f>
        <v>430.34400000000011</v>
      </c>
      <c r="AV103" s="189" t="s">
        <v>55</v>
      </c>
      <c r="AW103" s="188">
        <v>200</v>
      </c>
      <c r="AX103" s="188" t="s">
        <v>56</v>
      </c>
      <c r="AY103" s="188" t="s">
        <v>289</v>
      </c>
    </row>
    <row r="104" spans="1:51">
      <c r="A104" s="188"/>
      <c r="B104" s="188" t="s">
        <v>262</v>
      </c>
      <c r="C104" s="189">
        <f t="shared" si="92"/>
        <v>0.48461799758436869</v>
      </c>
      <c r="D104" s="189">
        <f t="shared" si="92"/>
        <v>0.54727075389615043</v>
      </c>
      <c r="E104" s="189">
        <f t="shared" si="92"/>
        <v>1.1878674000139617</v>
      </c>
      <c r="F104" s="189" t="e">
        <f t="shared" si="92"/>
        <v>#DIV/0!</v>
      </c>
      <c r="G104" s="189" t="e">
        <f t="shared" si="92"/>
        <v>#DIV/0!</v>
      </c>
      <c r="H104" s="189" t="e">
        <f t="shared" si="92"/>
        <v>#DIV/0!</v>
      </c>
      <c r="I104" s="189" t="e">
        <f t="shared" si="92"/>
        <v>#DIV/0!</v>
      </c>
      <c r="J104" s="189" t="e">
        <f t="shared" si="92"/>
        <v>#DIV/0!</v>
      </c>
      <c r="K104" s="189" t="e">
        <f t="shared" si="92"/>
        <v>#DIV/0!</v>
      </c>
      <c r="L104" s="189" t="e">
        <f t="shared" si="92"/>
        <v>#DIV/0!</v>
      </c>
      <c r="M104" s="189" t="e">
        <f t="shared" si="92"/>
        <v>#DIV/0!</v>
      </c>
      <c r="N104" s="189" t="e">
        <f t="shared" si="92"/>
        <v>#DIV/0!</v>
      </c>
      <c r="O104" s="189" t="e">
        <f t="shared" si="92"/>
        <v>#DIV/0!</v>
      </c>
      <c r="P104" s="188"/>
      <c r="Q104" s="188"/>
      <c r="R104" s="188" t="s">
        <v>262</v>
      </c>
      <c r="S104" s="189">
        <f t="shared" ref="S104:AD104" si="96">S36/S76</f>
        <v>17.37937062937063</v>
      </c>
      <c r="T104" s="189">
        <f t="shared" si="96"/>
        <v>19.62622377622375</v>
      </c>
      <c r="U104" s="189">
        <f t="shared" si="96"/>
        <v>42.599300699300699</v>
      </c>
      <c r="V104" s="189" t="e">
        <f t="shared" si="96"/>
        <v>#DIV/0!</v>
      </c>
      <c r="W104" s="189" t="e">
        <f t="shared" si="96"/>
        <v>#DIV/0!</v>
      </c>
      <c r="X104" s="189" t="e">
        <f t="shared" si="96"/>
        <v>#DIV/0!</v>
      </c>
      <c r="Y104" s="189" t="e">
        <f t="shared" si="96"/>
        <v>#DIV/0!</v>
      </c>
      <c r="Z104" s="189" t="e">
        <f t="shared" si="96"/>
        <v>#DIV/0!</v>
      </c>
      <c r="AA104" s="189" t="e">
        <f t="shared" si="96"/>
        <v>#DIV/0!</v>
      </c>
      <c r="AB104" s="189" t="e">
        <f t="shared" si="96"/>
        <v>#DIV/0!</v>
      </c>
      <c r="AC104" s="189" t="e">
        <f t="shared" si="96"/>
        <v>#DIV/0!</v>
      </c>
      <c r="AD104" s="189" t="e">
        <f t="shared" si="96"/>
        <v>#DIV/0!</v>
      </c>
      <c r="AE104" s="189" t="e">
        <f>SUM(S104:AD104)</f>
        <v>#DIV/0!</v>
      </c>
      <c r="AF104" s="188"/>
      <c r="AG104" s="188"/>
      <c r="AH104" s="188" t="s">
        <v>262</v>
      </c>
      <c r="AI104" s="189">
        <f>客単価!E7/12</f>
        <v>35.862000000000002</v>
      </c>
      <c r="AJ104" s="189">
        <f t="shared" si="94"/>
        <v>35.862000000000002</v>
      </c>
      <c r="AK104" s="189">
        <f t="shared" si="94"/>
        <v>35.862000000000002</v>
      </c>
      <c r="AL104" s="189">
        <f t="shared" si="94"/>
        <v>35.862000000000002</v>
      </c>
      <c r="AM104" s="189">
        <f t="shared" si="94"/>
        <v>35.862000000000002</v>
      </c>
      <c r="AN104" s="189">
        <f t="shared" si="94"/>
        <v>35.862000000000002</v>
      </c>
      <c r="AO104" s="213">
        <v>52</v>
      </c>
      <c r="AP104" s="189">
        <f t="shared" si="94"/>
        <v>52</v>
      </c>
      <c r="AQ104" s="189">
        <f t="shared" si="94"/>
        <v>52</v>
      </c>
      <c r="AR104" s="189">
        <f t="shared" si="94"/>
        <v>52</v>
      </c>
      <c r="AS104" s="189">
        <f t="shared" si="94"/>
        <v>52</v>
      </c>
      <c r="AT104" s="189">
        <f t="shared" si="94"/>
        <v>52</v>
      </c>
      <c r="AU104" s="189">
        <f>SUM(AI104:AT104)</f>
        <v>527.17200000000003</v>
      </c>
      <c r="AV104" s="189"/>
      <c r="AW104" s="188"/>
      <c r="AX104" s="188"/>
      <c r="AY104" s="188"/>
    </row>
    <row r="105" spans="1:51">
      <c r="A105" s="188"/>
      <c r="B105" s="188" t="s">
        <v>26</v>
      </c>
      <c r="C105" s="189">
        <f t="shared" si="92"/>
        <v>0.96409184182007468</v>
      </c>
      <c r="D105" s="189">
        <f t="shared" si="92"/>
        <v>0.89116937978707522</v>
      </c>
      <c r="E105" s="189">
        <f t="shared" si="92"/>
        <v>0.35303662151819853</v>
      </c>
      <c r="F105" s="189" t="e">
        <f t="shared" si="92"/>
        <v>#DIV/0!</v>
      </c>
      <c r="G105" s="189" t="e">
        <f t="shared" si="92"/>
        <v>#DIV/0!</v>
      </c>
      <c r="H105" s="189" t="e">
        <f t="shared" si="92"/>
        <v>#DIV/0!</v>
      </c>
      <c r="I105" s="189" t="e">
        <f t="shared" si="92"/>
        <v>#DIV/0!</v>
      </c>
      <c r="J105" s="189" t="e">
        <f t="shared" si="92"/>
        <v>#DIV/0!</v>
      </c>
      <c r="K105" s="189" t="e">
        <f t="shared" si="92"/>
        <v>#DIV/0!</v>
      </c>
      <c r="L105" s="189" t="e">
        <f t="shared" si="92"/>
        <v>#DIV/0!</v>
      </c>
      <c r="M105" s="189" t="e">
        <f t="shared" si="92"/>
        <v>#DIV/0!</v>
      </c>
      <c r="N105" s="189" t="e">
        <f t="shared" si="92"/>
        <v>#DIV/0!</v>
      </c>
      <c r="O105" s="189" t="e">
        <f t="shared" si="92"/>
        <v>#DIV/0!</v>
      </c>
      <c r="P105" s="188"/>
      <c r="Q105" s="188"/>
      <c r="R105" s="188" t="s">
        <v>26</v>
      </c>
      <c r="S105" s="189">
        <f t="shared" ref="S105:AD105" si="97">S37/S77</f>
        <v>53.403939393939396</v>
      </c>
      <c r="T105" s="189">
        <f t="shared" si="97"/>
        <v>49.364545454545457</v>
      </c>
      <c r="U105" s="189">
        <f t="shared" si="97"/>
        <v>19.555757575757571</v>
      </c>
      <c r="V105" s="189" t="e">
        <f t="shared" si="97"/>
        <v>#DIV/0!</v>
      </c>
      <c r="W105" s="189" t="e">
        <f t="shared" si="97"/>
        <v>#DIV/0!</v>
      </c>
      <c r="X105" s="189" t="e">
        <f t="shared" si="97"/>
        <v>#DIV/0!</v>
      </c>
      <c r="Y105" s="189" t="e">
        <f t="shared" si="97"/>
        <v>#DIV/0!</v>
      </c>
      <c r="Z105" s="189" t="e">
        <f t="shared" si="97"/>
        <v>#DIV/0!</v>
      </c>
      <c r="AA105" s="189" t="e">
        <f t="shared" si="97"/>
        <v>#DIV/0!</v>
      </c>
      <c r="AB105" s="189" t="e">
        <f t="shared" si="97"/>
        <v>#DIV/0!</v>
      </c>
      <c r="AC105" s="189" t="e">
        <f t="shared" si="97"/>
        <v>#DIV/0!</v>
      </c>
      <c r="AD105" s="189" t="e">
        <f t="shared" si="97"/>
        <v>#DIV/0!</v>
      </c>
      <c r="AE105" s="189" t="e">
        <f>SUM(S105:AD105)</f>
        <v>#DIV/0!</v>
      </c>
      <c r="AF105" s="188"/>
      <c r="AG105" s="188"/>
      <c r="AH105" s="188" t="s">
        <v>26</v>
      </c>
      <c r="AI105" s="189">
        <f>客単価!E8/12</f>
        <v>55.393000000000001</v>
      </c>
      <c r="AJ105" s="189">
        <f t="shared" si="94"/>
        <v>55.393000000000001</v>
      </c>
      <c r="AK105" s="189">
        <f t="shared" si="94"/>
        <v>55.393000000000001</v>
      </c>
      <c r="AL105" s="189">
        <f t="shared" si="94"/>
        <v>55.393000000000001</v>
      </c>
      <c r="AM105" s="189">
        <f t="shared" si="94"/>
        <v>55.393000000000001</v>
      </c>
      <c r="AN105" s="189">
        <f t="shared" si="94"/>
        <v>55.393000000000001</v>
      </c>
      <c r="AO105" s="189">
        <f>AN105</f>
        <v>55.393000000000001</v>
      </c>
      <c r="AP105" s="189">
        <f t="shared" si="94"/>
        <v>55.393000000000001</v>
      </c>
      <c r="AQ105" s="189">
        <f t="shared" si="94"/>
        <v>55.393000000000001</v>
      </c>
      <c r="AR105" s="189">
        <f t="shared" si="94"/>
        <v>55.393000000000001</v>
      </c>
      <c r="AS105" s="189">
        <f t="shared" si="94"/>
        <v>55.393000000000001</v>
      </c>
      <c r="AT105" s="189">
        <f t="shared" si="94"/>
        <v>55.393000000000001</v>
      </c>
      <c r="AU105" s="189">
        <f>SUM(AI105:AT105)</f>
        <v>664.71600000000024</v>
      </c>
      <c r="AV105" s="189"/>
      <c r="AW105" s="188"/>
      <c r="AX105" s="188"/>
      <c r="AY105" s="188"/>
    </row>
    <row r="106" spans="1:51">
      <c r="A106" s="188"/>
      <c r="B106" s="190"/>
      <c r="C106" s="191" t="e">
        <f t="shared" si="92"/>
        <v>#DIV/0!</v>
      </c>
      <c r="D106" s="191" t="e">
        <f t="shared" si="92"/>
        <v>#DIV/0!</v>
      </c>
      <c r="E106" s="191" t="e">
        <f t="shared" si="92"/>
        <v>#DIV/0!</v>
      </c>
      <c r="F106" s="191" t="e">
        <f t="shared" si="92"/>
        <v>#DIV/0!</v>
      </c>
      <c r="G106" s="191" t="e">
        <f t="shared" si="92"/>
        <v>#DIV/0!</v>
      </c>
      <c r="H106" s="191" t="e">
        <f t="shared" si="92"/>
        <v>#DIV/0!</v>
      </c>
      <c r="I106" s="191" t="e">
        <f t="shared" si="92"/>
        <v>#DIV/0!</v>
      </c>
      <c r="J106" s="191" t="e">
        <f t="shared" si="92"/>
        <v>#DIV/0!</v>
      </c>
      <c r="K106" s="191" t="e">
        <f t="shared" si="92"/>
        <v>#DIV/0!</v>
      </c>
      <c r="L106" s="191" t="e">
        <f t="shared" si="92"/>
        <v>#DIV/0!</v>
      </c>
      <c r="M106" s="191" t="e">
        <f t="shared" si="92"/>
        <v>#DIV/0!</v>
      </c>
      <c r="N106" s="191" t="e">
        <f t="shared" si="92"/>
        <v>#DIV/0!</v>
      </c>
      <c r="O106" s="191" t="e">
        <f t="shared" si="92"/>
        <v>#DIV/0!</v>
      </c>
      <c r="P106" s="188"/>
      <c r="Q106" s="188"/>
      <c r="R106" s="190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88"/>
      <c r="AG106" s="188"/>
      <c r="AH106" s="190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89"/>
      <c r="AW106" s="188"/>
      <c r="AX106" s="188"/>
      <c r="AY106" s="188"/>
    </row>
    <row r="107" spans="1:51">
      <c r="B107" s="172" t="s">
        <v>162</v>
      </c>
      <c r="C107" s="173" t="e">
        <f t="shared" si="92"/>
        <v>#DIV/0!</v>
      </c>
      <c r="D107" s="173" t="e">
        <f t="shared" si="92"/>
        <v>#DIV/0!</v>
      </c>
      <c r="E107" s="173" t="e">
        <f t="shared" si="92"/>
        <v>#DIV/0!</v>
      </c>
      <c r="F107" s="173" t="e">
        <f t="shared" si="92"/>
        <v>#DIV/0!</v>
      </c>
      <c r="G107" s="173" t="e">
        <f t="shared" si="92"/>
        <v>#DIV/0!</v>
      </c>
      <c r="H107" s="173" t="e">
        <f t="shared" si="92"/>
        <v>#DIV/0!</v>
      </c>
      <c r="I107" s="173" t="e">
        <f t="shared" si="92"/>
        <v>#DIV/0!</v>
      </c>
      <c r="J107" s="173" t="e">
        <f t="shared" si="92"/>
        <v>#DIV/0!</v>
      </c>
      <c r="K107" s="173" t="e">
        <f t="shared" si="92"/>
        <v>#DIV/0!</v>
      </c>
      <c r="L107" s="173" t="e">
        <f t="shared" si="92"/>
        <v>#DIV/0!</v>
      </c>
      <c r="M107" s="173" t="e">
        <f t="shared" si="92"/>
        <v>#DIV/0!</v>
      </c>
      <c r="N107" s="173" t="e">
        <f t="shared" si="92"/>
        <v>#DIV/0!</v>
      </c>
      <c r="O107" s="173" t="e">
        <f t="shared" si="92"/>
        <v>#DIV/0!</v>
      </c>
      <c r="R107" s="172" t="s">
        <v>162</v>
      </c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H107" s="172" t="s">
        <v>162</v>
      </c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</row>
    <row r="108" spans="1:51">
      <c r="A108" s="65" t="s">
        <v>287</v>
      </c>
      <c r="B108" s="65" t="s">
        <v>272</v>
      </c>
      <c r="C108" s="69">
        <f t="shared" si="92"/>
        <v>3.411392405063296</v>
      </c>
      <c r="D108" s="69">
        <f t="shared" si="92"/>
        <v>2.7680053701572684</v>
      </c>
      <c r="E108" s="69">
        <f t="shared" si="92"/>
        <v>1.4753272439585712</v>
      </c>
      <c r="F108" s="69" t="e">
        <f t="shared" si="92"/>
        <v>#DIV/0!</v>
      </c>
      <c r="G108" s="69" t="e">
        <f t="shared" si="92"/>
        <v>#DIV/0!</v>
      </c>
      <c r="H108" s="69" t="e">
        <f t="shared" si="92"/>
        <v>#DIV/0!</v>
      </c>
      <c r="I108" s="69" t="e">
        <f t="shared" si="92"/>
        <v>#DIV/0!</v>
      </c>
      <c r="J108" s="69" t="e">
        <f t="shared" si="92"/>
        <v>#DIV/0!</v>
      </c>
      <c r="K108" s="69" t="e">
        <f t="shared" si="92"/>
        <v>#DIV/0!</v>
      </c>
      <c r="L108" s="69" t="e">
        <f t="shared" si="92"/>
        <v>#DIV/0!</v>
      </c>
      <c r="M108" s="69" t="e">
        <f t="shared" si="92"/>
        <v>#DIV/0!</v>
      </c>
      <c r="N108" s="69" t="e">
        <f t="shared" si="92"/>
        <v>#DIV/0!</v>
      </c>
      <c r="O108" s="69" t="e">
        <f t="shared" si="92"/>
        <v>#DIV/0!</v>
      </c>
      <c r="Q108" s="65" t="s">
        <v>287</v>
      </c>
      <c r="R108" s="65" t="s">
        <v>272</v>
      </c>
      <c r="S108" s="69">
        <f>S42/S79</f>
        <v>539.0000000000008</v>
      </c>
      <c r="T108" s="69">
        <f>T42/T79</f>
        <v>437.3448484848484</v>
      </c>
      <c r="U108" s="69">
        <f>U42/U79</f>
        <v>233.10170454545425</v>
      </c>
      <c r="V108" s="69" t="e">
        <f>V42/V79</f>
        <v>#DIV/0!</v>
      </c>
      <c r="W108" s="69" t="e">
        <f t="shared" ref="W108:AD108" si="98">W42/W79</f>
        <v>#DIV/0!</v>
      </c>
      <c r="X108" s="69" t="e">
        <f t="shared" si="98"/>
        <v>#DIV/0!</v>
      </c>
      <c r="Y108" s="69" t="e">
        <f t="shared" si="98"/>
        <v>#DIV/0!</v>
      </c>
      <c r="Z108" s="69" t="e">
        <f t="shared" si="98"/>
        <v>#DIV/0!</v>
      </c>
      <c r="AA108" s="69" t="e">
        <f t="shared" si="98"/>
        <v>#DIV/0!</v>
      </c>
      <c r="AB108" s="69" t="e">
        <f t="shared" si="98"/>
        <v>#DIV/0!</v>
      </c>
      <c r="AC108" s="69" t="e">
        <f t="shared" si="98"/>
        <v>#DIV/0!</v>
      </c>
      <c r="AD108" s="69" t="e">
        <f t="shared" si="98"/>
        <v>#DIV/0!</v>
      </c>
      <c r="AE108" s="69" t="e">
        <f t="shared" ref="AE108" si="99">SUM(S108:AD108)</f>
        <v>#DIV/0!</v>
      </c>
      <c r="AG108" s="65" t="s">
        <v>287</v>
      </c>
      <c r="AH108" s="65" t="s">
        <v>272</v>
      </c>
      <c r="AI108" s="69">
        <v>158</v>
      </c>
      <c r="AJ108" s="69">
        <f>AI108</f>
        <v>158</v>
      </c>
      <c r="AK108" s="69">
        <f t="shared" ref="AK108:AT108" si="100">AJ108</f>
        <v>158</v>
      </c>
      <c r="AL108" s="69">
        <f t="shared" si="100"/>
        <v>158</v>
      </c>
      <c r="AM108" s="69">
        <f t="shared" si="100"/>
        <v>158</v>
      </c>
      <c r="AN108" s="69">
        <f t="shared" si="100"/>
        <v>158</v>
      </c>
      <c r="AO108" s="69">
        <f t="shared" si="100"/>
        <v>158</v>
      </c>
      <c r="AP108" s="69">
        <f t="shared" si="100"/>
        <v>158</v>
      </c>
      <c r="AQ108" s="69">
        <f t="shared" si="100"/>
        <v>158</v>
      </c>
      <c r="AR108" s="69">
        <f t="shared" si="100"/>
        <v>158</v>
      </c>
      <c r="AS108" s="69">
        <f t="shared" si="100"/>
        <v>158</v>
      </c>
      <c r="AT108" s="69">
        <f t="shared" si="100"/>
        <v>158</v>
      </c>
      <c r="AU108" s="69">
        <f t="shared" si="73"/>
        <v>1896</v>
      </c>
    </row>
    <row r="110" spans="1:51" s="199" customFormat="1">
      <c r="A110" s="199" t="s">
        <v>51</v>
      </c>
      <c r="C110" s="200" t="s">
        <v>188</v>
      </c>
      <c r="D110" s="200" t="s">
        <v>312</v>
      </c>
      <c r="E110" s="200" t="s">
        <v>191</v>
      </c>
      <c r="F110" s="200" t="s">
        <v>192</v>
      </c>
      <c r="G110" s="200" t="s">
        <v>193</v>
      </c>
      <c r="H110" s="200" t="s">
        <v>194</v>
      </c>
      <c r="I110" s="200" t="s">
        <v>195</v>
      </c>
      <c r="J110" s="200" t="s">
        <v>196</v>
      </c>
      <c r="K110" s="200" t="s">
        <v>197</v>
      </c>
      <c r="L110" s="200" t="s">
        <v>198</v>
      </c>
      <c r="M110" s="200" t="s">
        <v>199</v>
      </c>
      <c r="N110" s="200" t="s">
        <v>200</v>
      </c>
      <c r="O110" s="200" t="s">
        <v>38</v>
      </c>
      <c r="Q110" s="199" t="s">
        <v>51</v>
      </c>
      <c r="S110" s="200" t="s">
        <v>188</v>
      </c>
      <c r="T110" s="200" t="s">
        <v>312</v>
      </c>
      <c r="U110" s="200" t="s">
        <v>191</v>
      </c>
      <c r="V110" s="200" t="s">
        <v>192</v>
      </c>
      <c r="W110" s="200" t="s">
        <v>193</v>
      </c>
      <c r="X110" s="200" t="s">
        <v>194</v>
      </c>
      <c r="Y110" s="200" t="s">
        <v>195</v>
      </c>
      <c r="Z110" s="200" t="s">
        <v>196</v>
      </c>
      <c r="AA110" s="200" t="s">
        <v>197</v>
      </c>
      <c r="AB110" s="200" t="s">
        <v>198</v>
      </c>
      <c r="AC110" s="200" t="s">
        <v>199</v>
      </c>
      <c r="AD110" s="200" t="s">
        <v>200</v>
      </c>
      <c r="AE110" s="200" t="s">
        <v>38</v>
      </c>
      <c r="AG110" s="199" t="s">
        <v>51</v>
      </c>
      <c r="AI110" s="200" t="s">
        <v>188</v>
      </c>
      <c r="AJ110" s="200" t="s">
        <v>312</v>
      </c>
      <c r="AK110" s="200" t="s">
        <v>191</v>
      </c>
      <c r="AL110" s="200" t="s">
        <v>192</v>
      </c>
      <c r="AM110" s="200" t="s">
        <v>193</v>
      </c>
      <c r="AN110" s="200" t="s">
        <v>194</v>
      </c>
      <c r="AO110" s="200" t="s">
        <v>195</v>
      </c>
      <c r="AP110" s="200" t="s">
        <v>196</v>
      </c>
      <c r="AQ110" s="200" t="s">
        <v>197</v>
      </c>
      <c r="AR110" s="200" t="s">
        <v>198</v>
      </c>
      <c r="AS110" s="200" t="s">
        <v>199</v>
      </c>
      <c r="AT110" s="200" t="s">
        <v>200</v>
      </c>
      <c r="AU110" s="200" t="s">
        <v>38</v>
      </c>
      <c r="AV110" s="200"/>
    </row>
    <row r="111" spans="1:51">
      <c r="A111" s="188"/>
      <c r="B111" s="188" t="s">
        <v>260</v>
      </c>
      <c r="C111" s="189" t="e">
        <f t="shared" ref="C111:O114" si="101">S111/AI111</f>
        <v>#REF!</v>
      </c>
      <c r="D111" s="189" t="e">
        <f t="shared" si="101"/>
        <v>#REF!</v>
      </c>
      <c r="E111" s="189" t="e">
        <f t="shared" si="101"/>
        <v>#REF!</v>
      </c>
      <c r="F111" s="189" t="e">
        <f t="shared" si="101"/>
        <v>#REF!</v>
      </c>
      <c r="G111" s="189" t="e">
        <f t="shared" si="101"/>
        <v>#REF!</v>
      </c>
      <c r="H111" s="189" t="e">
        <f t="shared" si="101"/>
        <v>#REF!</v>
      </c>
      <c r="I111" s="189" t="e">
        <f t="shared" si="101"/>
        <v>#REF!</v>
      </c>
      <c r="J111" s="189" t="e">
        <f t="shared" si="101"/>
        <v>#REF!</v>
      </c>
      <c r="K111" s="189" t="e">
        <f t="shared" si="101"/>
        <v>#REF!</v>
      </c>
      <c r="L111" s="189" t="e">
        <f t="shared" si="101"/>
        <v>#REF!</v>
      </c>
      <c r="M111" s="189" t="e">
        <f t="shared" si="101"/>
        <v>#REF!</v>
      </c>
      <c r="N111" s="189" t="e">
        <f t="shared" si="101"/>
        <v>#REF!</v>
      </c>
      <c r="O111" s="189" t="e">
        <f t="shared" si="101"/>
        <v>#REF!</v>
      </c>
      <c r="P111" s="188"/>
      <c r="Q111" s="188"/>
      <c r="R111" s="188" t="s">
        <v>260</v>
      </c>
      <c r="S111" s="189" t="e">
        <f>#REF!/S83</f>
        <v>#REF!</v>
      </c>
      <c r="T111" s="189" t="e">
        <f>#REF!/T83</f>
        <v>#REF!</v>
      </c>
      <c r="U111" s="189" t="e">
        <f>#REF!/U83</f>
        <v>#REF!</v>
      </c>
      <c r="V111" s="189" t="e">
        <f>#REF!/V83</f>
        <v>#REF!</v>
      </c>
      <c r="W111" s="189" t="e">
        <f>#REF!/W83</f>
        <v>#REF!</v>
      </c>
      <c r="X111" s="189" t="e">
        <f>#REF!/X83</f>
        <v>#REF!</v>
      </c>
      <c r="Y111" s="189" t="e">
        <f>#REF!/Y83</f>
        <v>#REF!</v>
      </c>
      <c r="Z111" s="189" t="e">
        <f>#REF!/Z83</f>
        <v>#REF!</v>
      </c>
      <c r="AA111" s="189" t="e">
        <f>#REF!/AA83</f>
        <v>#REF!</v>
      </c>
      <c r="AB111" s="189" t="e">
        <f>#REF!/AB83</f>
        <v>#REF!</v>
      </c>
      <c r="AC111" s="189" t="e">
        <f>#REF!/AC83</f>
        <v>#REF!</v>
      </c>
      <c r="AD111" s="189" t="e">
        <f>#REF!/AD83</f>
        <v>#REF!</v>
      </c>
      <c r="AE111" s="189" t="e">
        <f>SUM(S111:AD111)</f>
        <v>#REF!</v>
      </c>
      <c r="AF111" s="188"/>
      <c r="AG111" s="188"/>
      <c r="AH111" s="188" t="s">
        <v>260</v>
      </c>
      <c r="AI111" s="201">
        <v>0.93</v>
      </c>
      <c r="AJ111" s="201">
        <f t="shared" ref="AJ111:AT114" si="102">AI111</f>
        <v>0.93</v>
      </c>
      <c r="AK111" s="201">
        <f t="shared" si="102"/>
        <v>0.93</v>
      </c>
      <c r="AL111" s="201">
        <f t="shared" si="102"/>
        <v>0.93</v>
      </c>
      <c r="AM111" s="201">
        <f t="shared" si="102"/>
        <v>0.93</v>
      </c>
      <c r="AN111" s="201">
        <f t="shared" si="102"/>
        <v>0.93</v>
      </c>
      <c r="AO111" s="201">
        <f t="shared" si="102"/>
        <v>0.93</v>
      </c>
      <c r="AP111" s="201">
        <f t="shared" si="102"/>
        <v>0.93</v>
      </c>
      <c r="AQ111" s="201">
        <f t="shared" si="102"/>
        <v>0.93</v>
      </c>
      <c r="AR111" s="201">
        <f t="shared" si="102"/>
        <v>0.93</v>
      </c>
      <c r="AS111" s="201">
        <f t="shared" si="102"/>
        <v>0.93</v>
      </c>
      <c r="AT111" s="201">
        <f t="shared" si="102"/>
        <v>0.93</v>
      </c>
      <c r="AU111" s="189">
        <f>SUM(AI111:AT111)</f>
        <v>11.159999999999998</v>
      </c>
      <c r="AV111" s="189" t="s">
        <v>53</v>
      </c>
      <c r="AW111" s="188">
        <v>356</v>
      </c>
      <c r="AX111" s="188" t="s">
        <v>54</v>
      </c>
      <c r="AY111" s="188"/>
    </row>
    <row r="112" spans="1:51">
      <c r="A112" s="188"/>
      <c r="B112" s="188" t="s">
        <v>24</v>
      </c>
      <c r="C112" s="189">
        <f t="shared" si="101"/>
        <v>212.156218189773</v>
      </c>
      <c r="D112" s="189">
        <f t="shared" si="101"/>
        <v>1324.9981292831862</v>
      </c>
      <c r="E112" s="189">
        <f t="shared" si="101"/>
        <v>254.4868163936323</v>
      </c>
      <c r="F112" s="189" t="e">
        <f t="shared" si="101"/>
        <v>#DIV/0!</v>
      </c>
      <c r="G112" s="189" t="e">
        <f t="shared" si="101"/>
        <v>#DIV/0!</v>
      </c>
      <c r="H112" s="189" t="e">
        <f t="shared" si="101"/>
        <v>#DIV/0!</v>
      </c>
      <c r="I112" s="189" t="e">
        <f t="shared" si="101"/>
        <v>#DIV/0!</v>
      </c>
      <c r="J112" s="189" t="e">
        <f t="shared" si="101"/>
        <v>#DIV/0!</v>
      </c>
      <c r="K112" s="189" t="e">
        <f t="shared" si="101"/>
        <v>#DIV/0!</v>
      </c>
      <c r="L112" s="189" t="e">
        <f t="shared" si="101"/>
        <v>#DIV/0!</v>
      </c>
      <c r="M112" s="189" t="e">
        <f t="shared" si="101"/>
        <v>#DIV/0!</v>
      </c>
      <c r="N112" s="189" t="e">
        <f t="shared" si="101"/>
        <v>#DIV/0!</v>
      </c>
      <c r="O112" s="189" t="e">
        <f t="shared" si="101"/>
        <v>#DIV/0!</v>
      </c>
      <c r="P112" s="188"/>
      <c r="Q112" s="188"/>
      <c r="R112" s="188" t="s">
        <v>24</v>
      </c>
      <c r="S112" s="189">
        <f t="shared" ref="S112:AD114" si="103">S51/S84</f>
        <v>186.69747200700024</v>
      </c>
      <c r="T112" s="189">
        <f t="shared" si="103"/>
        <v>1165.998353769204</v>
      </c>
      <c r="U112" s="189">
        <f t="shared" si="103"/>
        <v>223.94839842639641</v>
      </c>
      <c r="V112" s="189" t="e">
        <f t="shared" si="103"/>
        <v>#DIV/0!</v>
      </c>
      <c r="W112" s="189" t="e">
        <f t="shared" si="103"/>
        <v>#DIV/0!</v>
      </c>
      <c r="X112" s="189" t="e">
        <f t="shared" si="103"/>
        <v>#DIV/0!</v>
      </c>
      <c r="Y112" s="189" t="e">
        <f t="shared" si="103"/>
        <v>#DIV/0!</v>
      </c>
      <c r="Z112" s="189" t="e">
        <f t="shared" si="103"/>
        <v>#DIV/0!</v>
      </c>
      <c r="AA112" s="189" t="e">
        <f t="shared" si="103"/>
        <v>#DIV/0!</v>
      </c>
      <c r="AB112" s="189" t="e">
        <f t="shared" si="103"/>
        <v>#DIV/0!</v>
      </c>
      <c r="AC112" s="189" t="e">
        <f t="shared" si="103"/>
        <v>#DIV/0!</v>
      </c>
      <c r="AD112" s="189" t="e">
        <f t="shared" si="103"/>
        <v>#DIV/0!</v>
      </c>
      <c r="AE112" s="189" t="e">
        <f>SUM(S112:AD112)</f>
        <v>#DIV/0!</v>
      </c>
      <c r="AF112" s="188"/>
      <c r="AG112" s="188"/>
      <c r="AH112" s="188" t="s">
        <v>24</v>
      </c>
      <c r="AI112" s="201">
        <v>0.88</v>
      </c>
      <c r="AJ112" s="201">
        <f t="shared" si="102"/>
        <v>0.88</v>
      </c>
      <c r="AK112" s="201">
        <f t="shared" si="102"/>
        <v>0.88</v>
      </c>
      <c r="AL112" s="201">
        <f t="shared" si="102"/>
        <v>0.88</v>
      </c>
      <c r="AM112" s="201">
        <f t="shared" si="102"/>
        <v>0.88</v>
      </c>
      <c r="AN112" s="201">
        <f t="shared" si="102"/>
        <v>0.88</v>
      </c>
      <c r="AO112" s="201">
        <f t="shared" si="102"/>
        <v>0.88</v>
      </c>
      <c r="AP112" s="201">
        <f t="shared" si="102"/>
        <v>0.88</v>
      </c>
      <c r="AQ112" s="201">
        <f t="shared" si="102"/>
        <v>0.88</v>
      </c>
      <c r="AR112" s="201">
        <f t="shared" si="102"/>
        <v>0.88</v>
      </c>
      <c r="AS112" s="201">
        <f t="shared" si="102"/>
        <v>0.88</v>
      </c>
      <c r="AT112" s="201">
        <f t="shared" si="102"/>
        <v>0.88</v>
      </c>
      <c r="AU112" s="189">
        <f>SUM(AI112:AT112)</f>
        <v>10.560000000000002</v>
      </c>
      <c r="AV112" s="189" t="s">
        <v>55</v>
      </c>
      <c r="AW112" s="188">
        <v>400</v>
      </c>
      <c r="AX112" s="188" t="s">
        <v>56</v>
      </c>
      <c r="AY112" s="188"/>
    </row>
    <row r="113" spans="1:51">
      <c r="A113" s="188"/>
      <c r="B113" s="188" t="s">
        <v>262</v>
      </c>
      <c r="C113" s="189">
        <f t="shared" si="101"/>
        <v>0</v>
      </c>
      <c r="D113" s="189" t="e">
        <f t="shared" si="101"/>
        <v>#DIV/0!</v>
      </c>
      <c r="E113" s="189">
        <f t="shared" si="101"/>
        <v>0</v>
      </c>
      <c r="F113" s="189" t="e">
        <f t="shared" si="101"/>
        <v>#DIV/0!</v>
      </c>
      <c r="G113" s="189" t="e">
        <f t="shared" si="101"/>
        <v>#DIV/0!</v>
      </c>
      <c r="H113" s="189" t="e">
        <f t="shared" si="101"/>
        <v>#DIV/0!</v>
      </c>
      <c r="I113" s="189" t="e">
        <f t="shared" si="101"/>
        <v>#DIV/0!</v>
      </c>
      <c r="J113" s="189" t="e">
        <f t="shared" si="101"/>
        <v>#DIV/0!</v>
      </c>
      <c r="K113" s="189" t="e">
        <f t="shared" si="101"/>
        <v>#DIV/0!</v>
      </c>
      <c r="L113" s="189" t="e">
        <f t="shared" si="101"/>
        <v>#DIV/0!</v>
      </c>
      <c r="M113" s="189" t="e">
        <f t="shared" si="101"/>
        <v>#DIV/0!</v>
      </c>
      <c r="N113" s="189" t="e">
        <f t="shared" si="101"/>
        <v>#DIV/0!</v>
      </c>
      <c r="O113" s="189" t="e">
        <f t="shared" si="101"/>
        <v>#DIV/0!</v>
      </c>
      <c r="P113" s="188"/>
      <c r="Q113" s="188"/>
      <c r="R113" s="188" t="s">
        <v>262</v>
      </c>
      <c r="S113" s="189">
        <f t="shared" si="103"/>
        <v>0</v>
      </c>
      <c r="T113" s="189" t="e">
        <f t="shared" si="103"/>
        <v>#DIV/0!</v>
      </c>
      <c r="U113" s="189">
        <f t="shared" si="103"/>
        <v>0</v>
      </c>
      <c r="V113" s="189" t="e">
        <f t="shared" si="103"/>
        <v>#DIV/0!</v>
      </c>
      <c r="W113" s="189" t="e">
        <f t="shared" si="103"/>
        <v>#DIV/0!</v>
      </c>
      <c r="X113" s="189" t="e">
        <f t="shared" si="103"/>
        <v>#DIV/0!</v>
      </c>
      <c r="Y113" s="189" t="e">
        <f t="shared" si="103"/>
        <v>#DIV/0!</v>
      </c>
      <c r="Z113" s="189" t="e">
        <f t="shared" si="103"/>
        <v>#DIV/0!</v>
      </c>
      <c r="AA113" s="189" t="e">
        <f t="shared" si="103"/>
        <v>#DIV/0!</v>
      </c>
      <c r="AB113" s="189" t="e">
        <f t="shared" si="103"/>
        <v>#DIV/0!</v>
      </c>
      <c r="AC113" s="189" t="e">
        <f t="shared" si="103"/>
        <v>#DIV/0!</v>
      </c>
      <c r="AD113" s="189" t="e">
        <f t="shared" si="103"/>
        <v>#DIV/0!</v>
      </c>
      <c r="AE113" s="189" t="e">
        <f>SUM(S113:AD113)</f>
        <v>#DIV/0!</v>
      </c>
      <c r="AF113" s="188"/>
      <c r="AG113" s="188"/>
      <c r="AH113" s="188" t="s">
        <v>262</v>
      </c>
      <c r="AI113" s="201">
        <v>0.88</v>
      </c>
      <c r="AJ113" s="201">
        <f t="shared" si="102"/>
        <v>0.88</v>
      </c>
      <c r="AK113" s="201">
        <f t="shared" si="102"/>
        <v>0.88</v>
      </c>
      <c r="AL113" s="201">
        <f t="shared" si="102"/>
        <v>0.88</v>
      </c>
      <c r="AM113" s="201">
        <f t="shared" si="102"/>
        <v>0.88</v>
      </c>
      <c r="AN113" s="201">
        <f t="shared" si="102"/>
        <v>0.88</v>
      </c>
      <c r="AO113" s="201">
        <f t="shared" si="102"/>
        <v>0.88</v>
      </c>
      <c r="AP113" s="201">
        <f t="shared" si="102"/>
        <v>0.88</v>
      </c>
      <c r="AQ113" s="201">
        <f t="shared" si="102"/>
        <v>0.88</v>
      </c>
      <c r="AR113" s="201">
        <f t="shared" si="102"/>
        <v>0.88</v>
      </c>
      <c r="AS113" s="201">
        <f t="shared" si="102"/>
        <v>0.88</v>
      </c>
      <c r="AT113" s="201">
        <f t="shared" si="102"/>
        <v>0.88</v>
      </c>
      <c r="AU113" s="189">
        <f>SUM(AI113:AT113)</f>
        <v>10.560000000000002</v>
      </c>
      <c r="AV113" s="189"/>
      <c r="AW113" s="188"/>
      <c r="AX113" s="188"/>
      <c r="AY113" s="188"/>
    </row>
    <row r="114" spans="1:51">
      <c r="A114" s="188"/>
      <c r="B114" s="188" t="s">
        <v>26</v>
      </c>
      <c r="C114" s="189" t="e">
        <f t="shared" si="101"/>
        <v>#DIV/0!</v>
      </c>
      <c r="D114" s="189" t="e">
        <f t="shared" si="101"/>
        <v>#DIV/0!</v>
      </c>
      <c r="E114" s="189" t="e">
        <f t="shared" si="101"/>
        <v>#DIV/0!</v>
      </c>
      <c r="F114" s="189" t="e">
        <f t="shared" si="101"/>
        <v>#DIV/0!</v>
      </c>
      <c r="G114" s="189" t="e">
        <f t="shared" si="101"/>
        <v>#DIV/0!</v>
      </c>
      <c r="H114" s="189" t="e">
        <f t="shared" si="101"/>
        <v>#DIV/0!</v>
      </c>
      <c r="I114" s="189" t="e">
        <f t="shared" si="101"/>
        <v>#DIV/0!</v>
      </c>
      <c r="J114" s="189" t="e">
        <f t="shared" si="101"/>
        <v>#DIV/0!</v>
      </c>
      <c r="K114" s="189" t="e">
        <f t="shared" si="101"/>
        <v>#DIV/0!</v>
      </c>
      <c r="L114" s="189" t="e">
        <f t="shared" si="101"/>
        <v>#DIV/0!</v>
      </c>
      <c r="M114" s="189" t="e">
        <f t="shared" si="101"/>
        <v>#DIV/0!</v>
      </c>
      <c r="N114" s="189" t="e">
        <f t="shared" si="101"/>
        <v>#DIV/0!</v>
      </c>
      <c r="O114" s="189" t="e">
        <f t="shared" si="101"/>
        <v>#DIV/0!</v>
      </c>
      <c r="P114" s="188"/>
      <c r="Q114" s="188"/>
      <c r="R114" s="188" t="s">
        <v>26</v>
      </c>
      <c r="S114" s="189" t="e">
        <f t="shared" si="103"/>
        <v>#DIV/0!</v>
      </c>
      <c r="T114" s="189" t="e">
        <f t="shared" si="103"/>
        <v>#DIV/0!</v>
      </c>
      <c r="U114" s="189" t="e">
        <f t="shared" si="103"/>
        <v>#DIV/0!</v>
      </c>
      <c r="V114" s="189" t="e">
        <f t="shared" si="103"/>
        <v>#DIV/0!</v>
      </c>
      <c r="W114" s="189" t="e">
        <f t="shared" si="103"/>
        <v>#DIV/0!</v>
      </c>
      <c r="X114" s="189" t="e">
        <f t="shared" si="103"/>
        <v>#DIV/0!</v>
      </c>
      <c r="Y114" s="189" t="e">
        <f t="shared" si="103"/>
        <v>#DIV/0!</v>
      </c>
      <c r="Z114" s="189" t="e">
        <f t="shared" si="103"/>
        <v>#DIV/0!</v>
      </c>
      <c r="AA114" s="189" t="e">
        <f t="shared" si="103"/>
        <v>#DIV/0!</v>
      </c>
      <c r="AB114" s="189" t="e">
        <f t="shared" si="103"/>
        <v>#DIV/0!</v>
      </c>
      <c r="AC114" s="189" t="e">
        <f t="shared" si="103"/>
        <v>#DIV/0!</v>
      </c>
      <c r="AD114" s="189" t="e">
        <f t="shared" si="103"/>
        <v>#DIV/0!</v>
      </c>
      <c r="AE114" s="189" t="e">
        <f>SUM(S114:AD114)</f>
        <v>#DIV/0!</v>
      </c>
      <c r="AF114" s="188"/>
      <c r="AG114" s="188"/>
      <c r="AH114" s="188" t="s">
        <v>26</v>
      </c>
      <c r="AI114" s="201">
        <v>1</v>
      </c>
      <c r="AJ114" s="201">
        <f t="shared" si="102"/>
        <v>1</v>
      </c>
      <c r="AK114" s="201">
        <f t="shared" si="102"/>
        <v>1</v>
      </c>
      <c r="AL114" s="201">
        <f t="shared" si="102"/>
        <v>1</v>
      </c>
      <c r="AM114" s="201">
        <f t="shared" si="102"/>
        <v>1</v>
      </c>
      <c r="AN114" s="201">
        <f t="shared" si="102"/>
        <v>1</v>
      </c>
      <c r="AO114" s="201">
        <f t="shared" si="102"/>
        <v>1</v>
      </c>
      <c r="AP114" s="201">
        <f t="shared" si="102"/>
        <v>1</v>
      </c>
      <c r="AQ114" s="201">
        <f t="shared" si="102"/>
        <v>1</v>
      </c>
      <c r="AR114" s="201">
        <f t="shared" si="102"/>
        <v>1</v>
      </c>
      <c r="AS114" s="201">
        <f t="shared" si="102"/>
        <v>1</v>
      </c>
      <c r="AT114" s="201">
        <f t="shared" si="102"/>
        <v>1</v>
      </c>
      <c r="AU114" s="189">
        <f>SUM(AI114:AT114)</f>
        <v>12</v>
      </c>
      <c r="AV114" s="189"/>
      <c r="AW114" s="188"/>
      <c r="AX114" s="188"/>
      <c r="AY114" s="188"/>
    </row>
    <row r="118" spans="1:51" hidden="1"/>
    <row r="119" spans="1:51" ht="12" hidden="1" customHeight="1">
      <c r="AG119" s="676"/>
      <c r="AH119" s="673"/>
      <c r="AI119" s="260"/>
      <c r="AJ119" s="260"/>
      <c r="AK119" s="260"/>
      <c r="AL119" s="260"/>
      <c r="AM119" s="260"/>
      <c r="AN119" s="260"/>
      <c r="AO119" s="260"/>
      <c r="AP119" s="260"/>
      <c r="AQ119" s="260"/>
      <c r="AR119" s="260"/>
      <c r="AS119" s="260"/>
      <c r="AT119" s="260"/>
      <c r="AU119" s="260"/>
    </row>
    <row r="120" spans="1:51" s="69" customFormat="1" hidden="1">
      <c r="A120" s="65"/>
      <c r="B120" s="65"/>
      <c r="P120" s="65"/>
      <c r="Q120" s="65"/>
      <c r="R120" s="65"/>
      <c r="AF120" s="65"/>
      <c r="AG120" s="677"/>
      <c r="AH120" s="674"/>
      <c r="AI120" s="261"/>
      <c r="AJ120" s="261"/>
      <c r="AK120" s="261"/>
      <c r="AL120" s="261"/>
      <c r="AM120" s="261"/>
      <c r="AN120" s="261"/>
      <c r="AO120" s="261"/>
      <c r="AP120" s="261"/>
      <c r="AQ120" s="261"/>
      <c r="AR120" s="261"/>
      <c r="AS120" s="261"/>
      <c r="AT120" s="261"/>
      <c r="AU120" s="261"/>
      <c r="AW120" s="65"/>
      <c r="AX120" s="65"/>
      <c r="AY120" s="65"/>
    </row>
    <row r="121" spans="1:51" hidden="1">
      <c r="AG121" s="677"/>
      <c r="AH121" s="674"/>
      <c r="AI121" s="261"/>
      <c r="AJ121" s="261"/>
      <c r="AK121" s="261"/>
      <c r="AL121" s="261"/>
      <c r="AM121" s="261"/>
      <c r="AN121" s="261"/>
      <c r="AO121" s="261"/>
      <c r="AP121" s="261"/>
      <c r="AQ121" s="261"/>
      <c r="AR121" s="261"/>
      <c r="AS121" s="261"/>
      <c r="AT121" s="261"/>
      <c r="AU121" s="261"/>
    </row>
    <row r="122" spans="1:51" hidden="1">
      <c r="AG122" s="677"/>
      <c r="AH122" s="674"/>
      <c r="AI122" s="261"/>
      <c r="AJ122" s="261"/>
      <c r="AK122" s="261"/>
      <c r="AL122" s="261"/>
      <c r="AM122" s="261"/>
      <c r="AN122" s="261"/>
      <c r="AO122" s="261"/>
      <c r="AP122" s="261"/>
      <c r="AQ122" s="261"/>
      <c r="AR122" s="261"/>
      <c r="AS122" s="261"/>
      <c r="AT122" s="261"/>
      <c r="AU122" s="261"/>
    </row>
    <row r="123" spans="1:51" hidden="1">
      <c r="AG123" s="677"/>
      <c r="AH123" s="674"/>
      <c r="AI123" s="261"/>
      <c r="AJ123" s="261"/>
      <c r="AK123" s="261"/>
      <c r="AL123" s="261"/>
      <c r="AM123" s="261"/>
      <c r="AN123" s="261"/>
      <c r="AO123" s="261"/>
      <c r="AP123" s="261"/>
      <c r="AQ123" s="261"/>
      <c r="AR123" s="261"/>
      <c r="AS123" s="261"/>
      <c r="AT123" s="261"/>
      <c r="AU123" s="261"/>
    </row>
    <row r="124" spans="1:51" hidden="1">
      <c r="AG124" s="677"/>
      <c r="AH124" s="673"/>
      <c r="AI124" s="261"/>
      <c r="AJ124" s="261"/>
      <c r="AK124" s="261"/>
      <c r="AL124" s="261"/>
      <c r="AM124" s="261"/>
      <c r="AN124" s="261"/>
      <c r="AO124" s="261"/>
      <c r="AP124" s="261"/>
      <c r="AQ124" s="261"/>
      <c r="AR124" s="261"/>
      <c r="AS124" s="261"/>
      <c r="AT124" s="261"/>
      <c r="AU124" s="261"/>
    </row>
    <row r="125" spans="1:51" hidden="1">
      <c r="AG125" s="677"/>
      <c r="AH125" s="674"/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</row>
    <row r="126" spans="1:51" hidden="1">
      <c r="AG126" s="677"/>
      <c r="AH126" s="674"/>
      <c r="AI126" s="261"/>
      <c r="AJ126" s="261"/>
      <c r="AK126" s="261"/>
      <c r="AL126" s="261"/>
      <c r="AM126" s="261"/>
      <c r="AN126" s="261"/>
      <c r="AO126" s="261"/>
      <c r="AP126" s="261"/>
      <c r="AQ126" s="261"/>
      <c r="AR126" s="261"/>
      <c r="AS126" s="261"/>
      <c r="AT126" s="261"/>
      <c r="AU126" s="261"/>
    </row>
    <row r="127" spans="1:51" hidden="1">
      <c r="AG127" s="677"/>
      <c r="AH127" s="674"/>
      <c r="AI127" s="261"/>
      <c r="AJ127" s="261"/>
      <c r="AK127" s="261"/>
      <c r="AL127" s="261"/>
      <c r="AM127" s="261"/>
      <c r="AN127" s="261"/>
      <c r="AO127" s="261"/>
      <c r="AP127" s="261"/>
      <c r="AQ127" s="261"/>
      <c r="AR127" s="261"/>
      <c r="AS127" s="261"/>
      <c r="AT127" s="261"/>
      <c r="AU127" s="261"/>
    </row>
    <row r="128" spans="1:51" hidden="1">
      <c r="AG128" s="677"/>
      <c r="AH128" s="674"/>
      <c r="AI128" s="261"/>
      <c r="AJ128" s="261"/>
      <c r="AK128" s="261"/>
      <c r="AL128" s="261"/>
      <c r="AM128" s="261"/>
      <c r="AN128" s="261"/>
      <c r="AO128" s="261"/>
      <c r="AP128" s="261"/>
      <c r="AQ128" s="261"/>
      <c r="AR128" s="261"/>
      <c r="AS128" s="261"/>
      <c r="AT128" s="261"/>
      <c r="AU128" s="261"/>
    </row>
    <row r="129" spans="33:47" hidden="1">
      <c r="AG129" s="677"/>
      <c r="AH129" s="673"/>
      <c r="AI129" s="261"/>
      <c r="AJ129" s="261"/>
      <c r="AK129" s="261"/>
      <c r="AL129" s="261"/>
      <c r="AM129" s="261"/>
      <c r="AN129" s="261"/>
      <c r="AO129" s="261"/>
      <c r="AP129" s="261"/>
      <c r="AQ129" s="261"/>
      <c r="AR129" s="261"/>
      <c r="AS129" s="261"/>
      <c r="AT129" s="261"/>
      <c r="AU129" s="261"/>
    </row>
    <row r="130" spans="33:47" hidden="1">
      <c r="AG130" s="677"/>
      <c r="AH130" s="674"/>
      <c r="AI130" s="261"/>
      <c r="AJ130" s="261"/>
      <c r="AK130" s="261"/>
      <c r="AL130" s="261"/>
      <c r="AM130" s="261"/>
      <c r="AN130" s="261"/>
      <c r="AO130" s="261"/>
      <c r="AP130" s="261"/>
      <c r="AQ130" s="261"/>
      <c r="AR130" s="261"/>
      <c r="AS130" s="261"/>
      <c r="AT130" s="261"/>
      <c r="AU130" s="261"/>
    </row>
    <row r="131" spans="33:47" hidden="1">
      <c r="AG131" s="677"/>
      <c r="AH131" s="674"/>
      <c r="AI131" s="261"/>
      <c r="AJ131" s="261"/>
      <c r="AK131" s="261"/>
      <c r="AL131" s="261"/>
      <c r="AM131" s="261"/>
      <c r="AN131" s="261"/>
      <c r="AO131" s="261"/>
      <c r="AP131" s="261"/>
      <c r="AQ131" s="261"/>
      <c r="AR131" s="261"/>
      <c r="AS131" s="261"/>
      <c r="AT131" s="261"/>
      <c r="AU131" s="261"/>
    </row>
    <row r="132" spans="33:47" hidden="1">
      <c r="AG132" s="677"/>
      <c r="AH132" s="674"/>
      <c r="AI132" s="261"/>
      <c r="AJ132" s="261"/>
      <c r="AK132" s="261"/>
      <c r="AL132" s="261"/>
      <c r="AM132" s="261"/>
      <c r="AN132" s="261"/>
      <c r="AO132" s="261"/>
      <c r="AP132" s="261"/>
      <c r="AQ132" s="261"/>
      <c r="AR132" s="261"/>
      <c r="AS132" s="261"/>
      <c r="AT132" s="261"/>
      <c r="AU132" s="261"/>
    </row>
    <row r="133" spans="33:47" hidden="1">
      <c r="AG133" s="678"/>
      <c r="AH133" s="675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</row>
    <row r="134" spans="33:47" hidden="1"/>
  </sheetData>
  <mergeCells count="11">
    <mergeCell ref="AH129:AH133"/>
    <mergeCell ref="AG119:AG133"/>
    <mergeCell ref="AG2:AH2"/>
    <mergeCell ref="AG11:AG18"/>
    <mergeCell ref="AH119:AH123"/>
    <mergeCell ref="AH124:AH128"/>
    <mergeCell ref="AG19:AG26"/>
    <mergeCell ref="AG27:AG33"/>
    <mergeCell ref="AG34:AG41"/>
    <mergeCell ref="AG3:AG10"/>
    <mergeCell ref="AG42:AG50"/>
  </mergeCells>
  <phoneticPr fontId="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7304-0DAD-478B-ABBC-336EDE0D3985}">
  <dimension ref="A1:AX99"/>
  <sheetViews>
    <sheetView workbookViewId="0">
      <selection activeCell="AM25" sqref="AM25"/>
    </sheetView>
  </sheetViews>
  <sheetFormatPr defaultColWidth="9.140625" defaultRowHeight="11.25" outlineLevelCol="1"/>
  <cols>
    <col min="1" max="1" width="14" style="65" bestFit="1" customWidth="1"/>
    <col min="2" max="2" width="22.5703125" style="65" customWidth="1"/>
    <col min="3" max="14" width="9.140625" style="69" hidden="1" customWidth="1" outlineLevel="1"/>
    <col min="15" max="15" width="9.140625" style="69" collapsed="1"/>
    <col min="16" max="16" width="9.140625" style="65"/>
    <col min="17" max="17" width="14" style="65" bestFit="1" customWidth="1"/>
    <col min="18" max="18" width="22.5703125" style="65" customWidth="1"/>
    <col min="19" max="30" width="9.140625" style="69" hidden="1" customWidth="1" outlineLevel="1"/>
    <col min="31" max="31" width="9.140625" style="69" customWidth="1" collapsed="1"/>
    <col min="32" max="32" width="9.140625" style="65"/>
    <col min="33" max="33" width="13.7109375" style="65" customWidth="1"/>
    <col min="34" max="34" width="22.5703125" style="65" customWidth="1"/>
    <col min="35" max="46" width="9.140625" style="69" customWidth="1" outlineLevel="1"/>
    <col min="47" max="48" width="9.140625" style="69"/>
    <col min="49" max="49" width="11" style="65" bestFit="1" customWidth="1"/>
    <col min="50" max="50" width="12" style="65" bestFit="1" customWidth="1"/>
    <col min="51" max="16384" width="9.140625" style="65"/>
  </cols>
  <sheetData>
    <row r="1" spans="1:50">
      <c r="A1" s="171" t="s">
        <v>253</v>
      </c>
      <c r="B1" s="171" t="s">
        <v>253</v>
      </c>
      <c r="C1" s="171" t="s">
        <v>253</v>
      </c>
      <c r="D1" s="171" t="s">
        <v>253</v>
      </c>
      <c r="E1" s="171" t="s">
        <v>253</v>
      </c>
      <c r="F1" s="171" t="s">
        <v>253</v>
      </c>
      <c r="G1" s="171" t="s">
        <v>253</v>
      </c>
      <c r="H1" s="171" t="s">
        <v>253</v>
      </c>
      <c r="I1" s="171" t="s">
        <v>253</v>
      </c>
      <c r="J1" s="171" t="s">
        <v>253</v>
      </c>
      <c r="K1" s="171" t="s">
        <v>253</v>
      </c>
      <c r="L1" s="171" t="s">
        <v>253</v>
      </c>
      <c r="M1" s="171" t="s">
        <v>253</v>
      </c>
      <c r="N1" s="171" t="s">
        <v>253</v>
      </c>
      <c r="O1" s="171" t="s">
        <v>253</v>
      </c>
      <c r="Q1" s="171" t="s">
        <v>142</v>
      </c>
      <c r="R1" s="171" t="s">
        <v>142</v>
      </c>
      <c r="S1" s="171" t="s">
        <v>142</v>
      </c>
      <c r="T1" s="171" t="s">
        <v>142</v>
      </c>
      <c r="U1" s="171" t="s">
        <v>142</v>
      </c>
      <c r="V1" s="171" t="s">
        <v>142</v>
      </c>
      <c r="W1" s="171" t="s">
        <v>142</v>
      </c>
      <c r="X1" s="171" t="s">
        <v>142</v>
      </c>
      <c r="Y1" s="171" t="s">
        <v>142</v>
      </c>
      <c r="Z1" s="171" t="s">
        <v>142</v>
      </c>
      <c r="AA1" s="171" t="s">
        <v>142</v>
      </c>
      <c r="AB1" s="171" t="s">
        <v>142</v>
      </c>
      <c r="AC1" s="171" t="s">
        <v>142</v>
      </c>
      <c r="AD1" s="171" t="s">
        <v>142</v>
      </c>
      <c r="AE1" s="171" t="s">
        <v>142</v>
      </c>
      <c r="AG1" s="171" t="s">
        <v>143</v>
      </c>
      <c r="AH1" s="171" t="s">
        <v>143</v>
      </c>
      <c r="AI1" s="171" t="s">
        <v>143</v>
      </c>
      <c r="AJ1" s="171" t="s">
        <v>143</v>
      </c>
      <c r="AK1" s="171" t="s">
        <v>143</v>
      </c>
      <c r="AL1" s="171" t="s">
        <v>143</v>
      </c>
      <c r="AM1" s="171" t="s">
        <v>143</v>
      </c>
      <c r="AN1" s="171" t="s">
        <v>143</v>
      </c>
      <c r="AO1" s="171" t="s">
        <v>143</v>
      </c>
      <c r="AP1" s="171" t="s">
        <v>143</v>
      </c>
      <c r="AQ1" s="171" t="s">
        <v>143</v>
      </c>
      <c r="AR1" s="171" t="s">
        <v>143</v>
      </c>
      <c r="AS1" s="171" t="s">
        <v>143</v>
      </c>
      <c r="AT1" s="171" t="s">
        <v>143</v>
      </c>
      <c r="AU1" s="171" t="s">
        <v>143</v>
      </c>
    </row>
    <row r="2" spans="1:50" s="185" customFormat="1">
      <c r="A2" s="185" t="s">
        <v>37</v>
      </c>
      <c r="C2" s="186" t="s">
        <v>188</v>
      </c>
      <c r="D2" s="186" t="s">
        <v>312</v>
      </c>
      <c r="E2" s="186" t="s">
        <v>191</v>
      </c>
      <c r="F2" s="186" t="s">
        <v>192</v>
      </c>
      <c r="G2" s="186" t="s">
        <v>193</v>
      </c>
      <c r="H2" s="186" t="s">
        <v>194</v>
      </c>
      <c r="I2" s="186" t="s">
        <v>195</v>
      </c>
      <c r="J2" s="186" t="s">
        <v>196</v>
      </c>
      <c r="K2" s="186" t="s">
        <v>197</v>
      </c>
      <c r="L2" s="186" t="s">
        <v>198</v>
      </c>
      <c r="M2" s="186" t="s">
        <v>199</v>
      </c>
      <c r="N2" s="186" t="s">
        <v>200</v>
      </c>
      <c r="O2" s="186" t="s">
        <v>38</v>
      </c>
      <c r="Q2" s="185" t="s">
        <v>37</v>
      </c>
      <c r="S2" s="186" t="s">
        <v>188</v>
      </c>
      <c r="T2" s="186" t="s">
        <v>312</v>
      </c>
      <c r="U2" s="186" t="s">
        <v>191</v>
      </c>
      <c r="V2" s="186" t="s">
        <v>192</v>
      </c>
      <c r="W2" s="186" t="s">
        <v>193</v>
      </c>
      <c r="X2" s="186" t="s">
        <v>194</v>
      </c>
      <c r="Y2" s="186" t="s">
        <v>195</v>
      </c>
      <c r="Z2" s="186" t="s">
        <v>196</v>
      </c>
      <c r="AA2" s="186" t="s">
        <v>197</v>
      </c>
      <c r="AB2" s="186" t="s">
        <v>198</v>
      </c>
      <c r="AC2" s="186" t="s">
        <v>199</v>
      </c>
      <c r="AD2" s="186" t="s">
        <v>200</v>
      </c>
      <c r="AE2" s="186" t="s">
        <v>38</v>
      </c>
      <c r="AG2" s="185" t="s">
        <v>37</v>
      </c>
      <c r="AI2" s="186" t="s">
        <v>188</v>
      </c>
      <c r="AJ2" s="186" t="s">
        <v>312</v>
      </c>
      <c r="AK2" s="186" t="s">
        <v>191</v>
      </c>
      <c r="AL2" s="186" t="s">
        <v>192</v>
      </c>
      <c r="AM2" s="186" t="s">
        <v>193</v>
      </c>
      <c r="AN2" s="186" t="s">
        <v>194</v>
      </c>
      <c r="AO2" s="186" t="s">
        <v>195</v>
      </c>
      <c r="AP2" s="186" t="s">
        <v>196</v>
      </c>
      <c r="AQ2" s="186" t="s">
        <v>197</v>
      </c>
      <c r="AR2" s="186" t="s">
        <v>198</v>
      </c>
      <c r="AS2" s="186" t="s">
        <v>199</v>
      </c>
      <c r="AT2" s="186" t="s">
        <v>200</v>
      </c>
      <c r="AU2" s="186" t="s">
        <v>38</v>
      </c>
      <c r="AV2" s="186" t="s">
        <v>255</v>
      </c>
      <c r="AW2" s="185" t="s">
        <v>256</v>
      </c>
      <c r="AX2" s="185" t="s">
        <v>257</v>
      </c>
    </row>
    <row r="3" spans="1:50">
      <c r="A3" s="65" t="s">
        <v>46</v>
      </c>
      <c r="B3" s="65" t="s">
        <v>260</v>
      </c>
      <c r="C3" s="228">
        <f>S3/AI3</f>
        <v>0</v>
      </c>
      <c r="D3" s="228">
        <f t="shared" ref="D3:N3" si="0">T3/AJ3</f>
        <v>0</v>
      </c>
      <c r="E3" s="228">
        <f t="shared" si="0"/>
        <v>0</v>
      </c>
      <c r="F3" s="228">
        <f t="shared" si="0"/>
        <v>0</v>
      </c>
      <c r="G3" s="228">
        <f t="shared" si="0"/>
        <v>0</v>
      </c>
      <c r="H3" s="228">
        <f t="shared" si="0"/>
        <v>0</v>
      </c>
      <c r="I3" s="228">
        <f t="shared" si="0"/>
        <v>0</v>
      </c>
      <c r="J3" s="228">
        <f t="shared" si="0"/>
        <v>0</v>
      </c>
      <c r="K3" s="228">
        <f t="shared" si="0"/>
        <v>0</v>
      </c>
      <c r="L3" s="228">
        <f t="shared" si="0"/>
        <v>0</v>
      </c>
      <c r="M3" s="228">
        <f t="shared" si="0"/>
        <v>0</v>
      </c>
      <c r="N3" s="228">
        <f t="shared" si="0"/>
        <v>0</v>
      </c>
      <c r="O3" s="228">
        <f>AE3/AU3</f>
        <v>0</v>
      </c>
      <c r="Q3" s="65" t="s">
        <v>46</v>
      </c>
      <c r="R3" s="65" t="s">
        <v>260</v>
      </c>
      <c r="S3" s="174">
        <f>SUM('25年PDCA'!AM5,'25年PDCA'!AM10,'25年PDCA'!AM15)</f>
        <v>0</v>
      </c>
      <c r="T3" s="174">
        <f>SUM('25年PDCA'!AN5,'25年PDCA'!AN10,'25年PDCA'!AN15)</f>
        <v>0</v>
      </c>
      <c r="U3" s="174">
        <f>SUM('25年PDCA'!AO5,'25年PDCA'!AO10,'25年PDCA'!AO15)</f>
        <v>0</v>
      </c>
      <c r="V3" s="174">
        <f>SUM('25年PDCA'!AP5,'25年PDCA'!AP10,'25年PDCA'!AP15)</f>
        <v>0</v>
      </c>
      <c r="W3" s="174">
        <f>SUM('25年PDCA'!AQ5,'25年PDCA'!AQ10,'25年PDCA'!AQ15)</f>
        <v>0</v>
      </c>
      <c r="X3" s="174">
        <f>SUM('25年PDCA'!AR5,'25年PDCA'!AR10,'25年PDCA'!AR15)</f>
        <v>0</v>
      </c>
      <c r="Y3" s="174">
        <f>SUM('25年PDCA'!AS5,'25年PDCA'!AS10,'25年PDCA'!AS15)</f>
        <v>0</v>
      </c>
      <c r="Z3" s="174">
        <f>SUM('25年PDCA'!AT5,'25年PDCA'!AT10,'25年PDCA'!AT15)</f>
        <v>0</v>
      </c>
      <c r="AA3" s="174">
        <f>SUM('25年PDCA'!AU5,'25年PDCA'!AU10,'25年PDCA'!AU15)</f>
        <v>0</v>
      </c>
      <c r="AB3" s="174">
        <f>SUM('25年PDCA'!AV5,'25年PDCA'!AV10,'25年PDCA'!AV15)</f>
        <v>0</v>
      </c>
      <c r="AC3" s="174">
        <f>SUM('25年PDCA'!AW5,'25年PDCA'!AW10,'25年PDCA'!AW15)</f>
        <v>0</v>
      </c>
      <c r="AD3" s="174">
        <f>SUM('25年PDCA'!AX5,'25年PDCA'!AX10,'25年PDCA'!AX15)</f>
        <v>0</v>
      </c>
      <c r="AE3" s="69">
        <f>SUM(S3:AD3)</f>
        <v>0</v>
      </c>
      <c r="AG3" s="65" t="s">
        <v>46</v>
      </c>
      <c r="AH3" s="65" t="s">
        <v>260</v>
      </c>
      <c r="AI3" s="69">
        <v>452.31440326530611</v>
      </c>
      <c r="AJ3" s="69">
        <v>904.62880653061222</v>
      </c>
      <c r="AK3" s="69">
        <v>1356.9432097959184</v>
      </c>
      <c r="AL3" s="69">
        <v>1809.2576130612244</v>
      </c>
      <c r="AM3" s="69">
        <v>2261.5720163265305</v>
      </c>
      <c r="AN3" s="69">
        <v>2713.8864195918368</v>
      </c>
      <c r="AO3" s="69">
        <v>3166.2008228571431</v>
      </c>
      <c r="AP3" s="69">
        <v>3618.5152261224493</v>
      </c>
      <c r="AQ3" s="69">
        <v>4462.8354455510207</v>
      </c>
      <c r="AR3" s="69">
        <v>5307.1556649795921</v>
      </c>
      <c r="AS3" s="69">
        <v>6151.4758844081634</v>
      </c>
      <c r="AT3" s="69">
        <v>6995.7961038367348</v>
      </c>
      <c r="AU3" s="69">
        <f>SUM(AI3:AT3)</f>
        <v>39200.581616326534</v>
      </c>
      <c r="AV3" s="180"/>
    </row>
    <row r="4" spans="1:50">
      <c r="A4" s="175" t="s">
        <v>46</v>
      </c>
      <c r="B4" s="65" t="s">
        <v>24</v>
      </c>
      <c r="C4" s="228">
        <f t="shared" ref="C4:C6" si="1">S4/AI4</f>
        <v>2.3077621852806702</v>
      </c>
      <c r="D4" s="228">
        <f t="shared" ref="D4:D7" si="2">T4/AJ4</f>
        <v>0.85022708834567207</v>
      </c>
      <c r="E4" s="228">
        <f t="shared" ref="E4:E7" si="3">U4/AK4</f>
        <v>0.85022688007903613</v>
      </c>
      <c r="F4" s="228">
        <f t="shared" ref="F4:F7" si="4">V4/AL4</f>
        <v>0.72876754846749914</v>
      </c>
      <c r="G4" s="228">
        <f t="shared" ref="G4:G7" si="5">W4/AM4</f>
        <v>0.68018017115676122</v>
      </c>
      <c r="H4" s="228">
        <f t="shared" ref="H4:H7" si="6">X4/AN4</f>
        <v>0.56681910023029247</v>
      </c>
      <c r="I4" s="228">
        <f t="shared" ref="I4:I7" si="7">Y4/AO4</f>
        <v>0.31232944025742637</v>
      </c>
      <c r="J4" s="228">
        <f t="shared" ref="J4:J7" si="8">Z4/AP4</f>
        <v>0</v>
      </c>
      <c r="K4" s="228">
        <f t="shared" ref="K4:K7" si="9">AA4/AQ4</f>
        <v>0</v>
      </c>
      <c r="L4" s="228">
        <f t="shared" ref="L4:L7" si="10">AB4/AR4</f>
        <v>0</v>
      </c>
      <c r="M4" s="228">
        <f t="shared" ref="M4:M7" si="11">AC4/AS4</f>
        <v>0</v>
      </c>
      <c r="N4" s="228">
        <f t="shared" ref="N4:N7" si="12">AD4/AT4</f>
        <v>0</v>
      </c>
      <c r="O4" s="228">
        <f t="shared" ref="O4:O6" si="13">AE4/AU4</f>
        <v>0.23669344532111108</v>
      </c>
      <c r="Q4" s="175" t="s">
        <v>46</v>
      </c>
      <c r="R4" s="65" t="s">
        <v>24</v>
      </c>
      <c r="S4" s="174">
        <f>SUM('25年PDCA'!AM6,'25年PDCA'!AM11,'25年PDCA'!AM16)</f>
        <v>167.89099999999999</v>
      </c>
      <c r="T4" s="174">
        <f>SUM('25年PDCA'!AN6,'25年PDCA'!AN11,'25年PDCA'!AN16)</f>
        <v>123.709</v>
      </c>
      <c r="U4" s="174">
        <f>SUM('25年PDCA'!AO6,'25年PDCA'!AO11,'25年PDCA'!AO16)</f>
        <v>185.56345454545448</v>
      </c>
      <c r="V4" s="174">
        <f>SUM('25年PDCA'!AP6,'25年PDCA'!AP11,'25年PDCA'!AP16)</f>
        <v>212.07300000000001</v>
      </c>
      <c r="W4" s="174">
        <f>SUM('25年PDCA'!AQ6,'25年PDCA'!AQ11,'25年PDCA'!AQ16)</f>
        <v>247.41745454545449</v>
      </c>
      <c r="X4" s="174">
        <f>SUM('25年PDCA'!AR6,'25年PDCA'!AR11,'25年PDCA'!AR16)</f>
        <v>247.41845454545449</v>
      </c>
      <c r="Y4" s="174">
        <f>SUM('25年PDCA'!AS6,'25年PDCA'!AS11,'25年PDCA'!AS16)</f>
        <v>159.05500000000001</v>
      </c>
      <c r="Z4" s="174">
        <f>SUM('25年PDCA'!AT6,'25年PDCA'!AT11,'25年PDCA'!AT16)</f>
        <v>0</v>
      </c>
      <c r="AA4" s="174">
        <f>SUM('25年PDCA'!AU6,'25年PDCA'!AU11,'25年PDCA'!AU16)</f>
        <v>0</v>
      </c>
      <c r="AB4" s="174">
        <f>SUM('25年PDCA'!AV6,'25年PDCA'!AV11,'25年PDCA'!AV16)</f>
        <v>0</v>
      </c>
      <c r="AC4" s="174">
        <f>SUM('25年PDCA'!AW6,'25年PDCA'!AW11,'25年PDCA'!AW16)</f>
        <v>0</v>
      </c>
      <c r="AD4" s="174">
        <f>SUM('25年PDCA'!AX6,'25年PDCA'!AX11,'25年PDCA'!AX16)</f>
        <v>0</v>
      </c>
      <c r="AE4" s="69">
        <f t="shared" ref="AE4:AE22" si="14">SUM(S4:AD4)</f>
        <v>1343.1273636363635</v>
      </c>
      <c r="AG4" s="175" t="s">
        <v>46</v>
      </c>
      <c r="AH4" s="65" t="s">
        <v>24</v>
      </c>
      <c r="AI4" s="69">
        <v>72.750563758622761</v>
      </c>
      <c r="AJ4" s="69">
        <v>145.50112751724552</v>
      </c>
      <c r="AK4" s="69">
        <v>218.25169127586827</v>
      </c>
      <c r="AL4" s="69">
        <v>291.00225503449104</v>
      </c>
      <c r="AM4" s="69">
        <v>363.75281879311382</v>
      </c>
      <c r="AN4" s="69">
        <v>436.50338255173659</v>
      </c>
      <c r="AO4" s="69">
        <v>509.25394631035937</v>
      </c>
      <c r="AP4" s="69">
        <v>582.00451006898209</v>
      </c>
      <c r="AQ4" s="69">
        <v>654.75507382760486</v>
      </c>
      <c r="AR4" s="69">
        <v>727.50563758622764</v>
      </c>
      <c r="AS4" s="69">
        <v>800.25620134485041</v>
      </c>
      <c r="AT4" s="69">
        <v>873.00676510347319</v>
      </c>
      <c r="AU4" s="69">
        <f t="shared" ref="AU4:AU6" si="15">SUM(AI4:AT4)</f>
        <v>5674.5439731725755</v>
      </c>
      <c r="AV4" s="180"/>
    </row>
    <row r="5" spans="1:50">
      <c r="A5" s="175" t="s">
        <v>46</v>
      </c>
      <c r="B5" s="65" t="s">
        <v>262</v>
      </c>
      <c r="C5" s="228">
        <f t="shared" si="1"/>
        <v>6.3327933408581935E-2</v>
      </c>
      <c r="D5" s="228">
        <f t="shared" si="2"/>
        <v>0.93271468940990809</v>
      </c>
      <c r="E5" s="228">
        <f t="shared" si="3"/>
        <v>0.81558702117113036</v>
      </c>
      <c r="F5" s="228">
        <f t="shared" si="4"/>
        <v>0.76475508589813979</v>
      </c>
      <c r="G5" s="228">
        <f t="shared" si="5"/>
        <v>0.42195415418707594</v>
      </c>
      <c r="H5" s="228">
        <f t="shared" si="6"/>
        <v>0.51023782315796318</v>
      </c>
      <c r="I5" s="228">
        <f t="shared" si="7"/>
        <v>0.37000239259136708</v>
      </c>
      <c r="J5" s="228">
        <f t="shared" si="8"/>
        <v>0</v>
      </c>
      <c r="K5" s="228">
        <f t="shared" si="9"/>
        <v>0</v>
      </c>
      <c r="L5" s="228">
        <f t="shared" si="10"/>
        <v>0</v>
      </c>
      <c r="M5" s="228">
        <f t="shared" si="11"/>
        <v>0</v>
      </c>
      <c r="N5" s="228">
        <f t="shared" si="12"/>
        <v>0</v>
      </c>
      <c r="O5" s="228">
        <f t="shared" si="13"/>
        <v>0.1948173484276548</v>
      </c>
      <c r="Q5" s="175" t="s">
        <v>46</v>
      </c>
      <c r="R5" s="65" t="s">
        <v>262</v>
      </c>
      <c r="S5" s="174">
        <f>SUM('25年PDCA'!AM7,'25年PDCA'!AM12,'25年PDCA'!AM17)</f>
        <v>8.6</v>
      </c>
      <c r="T5" s="174">
        <f>SUM('25年PDCA'!AN7,'25年PDCA'!AN12,'25年PDCA'!AN17)</f>
        <v>253.327272727273</v>
      </c>
      <c r="U5" s="174">
        <f>SUM('25年PDCA'!AO7,'25年PDCA'!AO12,'25年PDCA'!AO17)</f>
        <v>332.27272727272702</v>
      </c>
      <c r="V5" s="174">
        <f>SUM('25年PDCA'!AP7,'25年PDCA'!AP12,'25年PDCA'!AP17)</f>
        <v>415.41818181818195</v>
      </c>
      <c r="W5" s="174">
        <f>SUM('25年PDCA'!AQ7,'25年PDCA'!AQ12,'25年PDCA'!AQ17)</f>
        <v>286.50909090909101</v>
      </c>
      <c r="X5" s="174">
        <f>SUM('25年PDCA'!AR7,'25年PDCA'!AR12,'25年PDCA'!AR17)</f>
        <v>415.745</v>
      </c>
      <c r="Y5" s="174">
        <f>SUM('25年PDCA'!AS7,'25年PDCA'!AS12,'25年PDCA'!AS17)</f>
        <v>351.72699999999998</v>
      </c>
      <c r="Z5" s="174">
        <f>SUM('25年PDCA'!AT7,'25年PDCA'!AT12,'25年PDCA'!AT17)</f>
        <v>0</v>
      </c>
      <c r="AA5" s="174">
        <f>SUM('25年PDCA'!AU7,'25年PDCA'!AU12,'25年PDCA'!AU17)</f>
        <v>0</v>
      </c>
      <c r="AB5" s="174">
        <f>SUM('25年PDCA'!AV7,'25年PDCA'!AV12,'25年PDCA'!AV17)</f>
        <v>0</v>
      </c>
      <c r="AC5" s="174">
        <f>SUM('25年PDCA'!AW7,'25年PDCA'!AW12,'25年PDCA'!AW17)</f>
        <v>0</v>
      </c>
      <c r="AD5" s="174">
        <f>SUM('25年PDCA'!AX7,'25年PDCA'!AX12,'25年PDCA'!AX17)</f>
        <v>0</v>
      </c>
      <c r="AE5" s="69">
        <f t="shared" si="14"/>
        <v>2063.5992727272728</v>
      </c>
      <c r="AG5" s="175" t="s">
        <v>46</v>
      </c>
      <c r="AH5" s="65" t="s">
        <v>262</v>
      </c>
      <c r="AI5" s="69">
        <v>135.80105234942917</v>
      </c>
      <c r="AJ5" s="69">
        <v>271.60210469885834</v>
      </c>
      <c r="AK5" s="69">
        <v>407.40315704828754</v>
      </c>
      <c r="AL5" s="69">
        <v>543.20420939771668</v>
      </c>
      <c r="AM5" s="69">
        <v>679.00526174714582</v>
      </c>
      <c r="AN5" s="69">
        <v>814.80631409657497</v>
      </c>
      <c r="AO5" s="69">
        <v>950.60736644600411</v>
      </c>
      <c r="AP5" s="69">
        <v>1086.4084187954334</v>
      </c>
      <c r="AQ5" s="69">
        <v>1222.2094711448626</v>
      </c>
      <c r="AR5" s="69">
        <v>1358.0105234942919</v>
      </c>
      <c r="AS5" s="69">
        <v>1493.8115758437211</v>
      </c>
      <c r="AT5" s="69">
        <v>1629.6126281931504</v>
      </c>
      <c r="AU5" s="69">
        <f t="shared" si="15"/>
        <v>10592.482083255476</v>
      </c>
      <c r="AV5" s="180"/>
    </row>
    <row r="6" spans="1:50">
      <c r="A6" s="175" t="s">
        <v>46</v>
      </c>
      <c r="B6" s="65" t="s">
        <v>26</v>
      </c>
      <c r="C6" s="228">
        <f t="shared" si="1"/>
        <v>0</v>
      </c>
      <c r="D6" s="228">
        <f t="shared" si="2"/>
        <v>0</v>
      </c>
      <c r="E6" s="228">
        <f t="shared" si="3"/>
        <v>0</v>
      </c>
      <c r="F6" s="228">
        <f t="shared" si="4"/>
        <v>0</v>
      </c>
      <c r="G6" s="228">
        <f t="shared" si="5"/>
        <v>0</v>
      </c>
      <c r="H6" s="228">
        <f t="shared" si="6"/>
        <v>0</v>
      </c>
      <c r="I6" s="228">
        <f t="shared" si="7"/>
        <v>0</v>
      </c>
      <c r="J6" s="228">
        <f t="shared" si="8"/>
        <v>0</v>
      </c>
      <c r="K6" s="228">
        <f t="shared" si="9"/>
        <v>0</v>
      </c>
      <c r="L6" s="228">
        <f t="shared" si="10"/>
        <v>0</v>
      </c>
      <c r="M6" s="228">
        <f t="shared" si="11"/>
        <v>0</v>
      </c>
      <c r="N6" s="228">
        <f t="shared" si="12"/>
        <v>0</v>
      </c>
      <c r="O6" s="228">
        <f t="shared" si="13"/>
        <v>0</v>
      </c>
      <c r="Q6" s="175" t="s">
        <v>46</v>
      </c>
      <c r="R6" s="65" t="s">
        <v>26</v>
      </c>
      <c r="S6" s="174">
        <f>SUM('25年PDCA'!AM8,'25年PDCA'!AM13,'25年PDCA'!AM18)</f>
        <v>0</v>
      </c>
      <c r="T6" s="174">
        <f>SUM('25年PDCA'!AN8,'25年PDCA'!AN13,'25年PDCA'!AN18)</f>
        <v>0</v>
      </c>
      <c r="U6" s="174">
        <f>SUM('25年PDCA'!AO8,'25年PDCA'!AO13,'25年PDCA'!AO18)</f>
        <v>0</v>
      </c>
      <c r="V6" s="174">
        <f>SUM('25年PDCA'!AP8,'25年PDCA'!AP13,'25年PDCA'!AP18)</f>
        <v>0</v>
      </c>
      <c r="W6" s="174">
        <f>SUM('25年PDCA'!AQ8,'25年PDCA'!AQ13,'25年PDCA'!AQ18)</f>
        <v>0</v>
      </c>
      <c r="X6" s="174">
        <f>SUM('25年PDCA'!AR8,'25年PDCA'!AR13,'25年PDCA'!AR18)</f>
        <v>0</v>
      </c>
      <c r="Y6" s="174">
        <f>SUM('25年PDCA'!AS8,'25年PDCA'!AS13,'25年PDCA'!AS18)</f>
        <v>0</v>
      </c>
      <c r="Z6" s="174">
        <f>SUM('25年PDCA'!AT8,'25年PDCA'!AT13,'25年PDCA'!AT18)</f>
        <v>0</v>
      </c>
      <c r="AA6" s="174">
        <f>SUM('25年PDCA'!AU8,'25年PDCA'!AU13,'25年PDCA'!AU18)</f>
        <v>0</v>
      </c>
      <c r="AB6" s="174">
        <f>SUM('25年PDCA'!AV8,'25年PDCA'!AV13,'25年PDCA'!AV18)</f>
        <v>0</v>
      </c>
      <c r="AC6" s="174">
        <f>SUM('25年PDCA'!AW8,'25年PDCA'!AW13,'25年PDCA'!AW18)</f>
        <v>0</v>
      </c>
      <c r="AD6" s="174">
        <f>SUM('25年PDCA'!AX8,'25年PDCA'!AX13,'25年PDCA'!AX18)</f>
        <v>0</v>
      </c>
      <c r="AE6" s="69">
        <f t="shared" si="14"/>
        <v>0</v>
      </c>
      <c r="AG6" s="175" t="s">
        <v>46</v>
      </c>
      <c r="AH6" s="65" t="s">
        <v>26</v>
      </c>
      <c r="AI6" s="69">
        <v>19.068064415584416</v>
      </c>
      <c r="AJ6" s="69">
        <v>38.136128831168833</v>
      </c>
      <c r="AK6" s="69">
        <v>57.204193246753249</v>
      </c>
      <c r="AL6" s="69">
        <v>76.272257662337665</v>
      </c>
      <c r="AM6" s="69">
        <v>95.340322077922082</v>
      </c>
      <c r="AN6" s="69">
        <v>114.4083864935065</v>
      </c>
      <c r="AO6" s="69">
        <v>133.47645090909091</v>
      </c>
      <c r="AP6" s="69">
        <v>152.54451532467533</v>
      </c>
      <c r="AQ6" s="69">
        <v>171.61257974025975</v>
      </c>
      <c r="AR6" s="69">
        <v>190.68064415584416</v>
      </c>
      <c r="AS6" s="69">
        <v>209.74870857142858</v>
      </c>
      <c r="AT6" s="69">
        <v>228.816772987013</v>
      </c>
      <c r="AU6" s="69">
        <f t="shared" si="15"/>
        <v>1487.3090244155846</v>
      </c>
      <c r="AV6" s="180"/>
    </row>
    <row r="7" spans="1:50">
      <c r="A7" s="176" t="s">
        <v>46</v>
      </c>
      <c r="B7" s="176" t="s">
        <v>162</v>
      </c>
      <c r="C7" s="226">
        <f>S7/AI7</f>
        <v>0.25957074988284357</v>
      </c>
      <c r="D7" s="226">
        <f t="shared" si="2"/>
        <v>0.2772594297863647</v>
      </c>
      <c r="E7" s="226">
        <f t="shared" si="3"/>
        <v>0.25386587423912821</v>
      </c>
      <c r="F7" s="226">
        <f t="shared" si="4"/>
        <v>0.230717652188238</v>
      </c>
      <c r="G7" s="226">
        <f t="shared" si="5"/>
        <v>0.15705244322485856</v>
      </c>
      <c r="H7" s="226">
        <f t="shared" si="6"/>
        <v>0.16255581983525191</v>
      </c>
      <c r="I7" s="226">
        <f t="shared" si="7"/>
        <v>0.10731754574831301</v>
      </c>
      <c r="J7" s="226">
        <f t="shared" si="8"/>
        <v>0</v>
      </c>
      <c r="K7" s="226">
        <f t="shared" si="9"/>
        <v>0</v>
      </c>
      <c r="L7" s="226">
        <f t="shared" si="10"/>
        <v>0</v>
      </c>
      <c r="M7" s="226">
        <f t="shared" si="11"/>
        <v>0</v>
      </c>
      <c r="N7" s="226">
        <f t="shared" si="12"/>
        <v>0</v>
      </c>
      <c r="O7" s="226">
        <f>AE7/AU7</f>
        <v>5.9814443316232625E-2</v>
      </c>
      <c r="Q7" s="176" t="s">
        <v>46</v>
      </c>
      <c r="R7" s="176" t="s">
        <v>162</v>
      </c>
      <c r="S7" s="177">
        <f t="shared" ref="S7:AD7" si="16">SUM(S3:S6)</f>
        <v>176.49099999999999</v>
      </c>
      <c r="T7" s="177">
        <f t="shared" si="16"/>
        <v>377.036272727273</v>
      </c>
      <c r="U7" s="177">
        <f t="shared" si="16"/>
        <v>517.83618181818156</v>
      </c>
      <c r="V7" s="177">
        <f t="shared" si="16"/>
        <v>627.49118181818199</v>
      </c>
      <c r="W7" s="177">
        <f t="shared" si="16"/>
        <v>533.92654545454548</v>
      </c>
      <c r="X7" s="177">
        <f t="shared" si="16"/>
        <v>663.16345454545444</v>
      </c>
      <c r="Y7" s="177">
        <f t="shared" si="16"/>
        <v>510.78199999999998</v>
      </c>
      <c r="Z7" s="177">
        <f t="shared" si="16"/>
        <v>0</v>
      </c>
      <c r="AA7" s="177">
        <f t="shared" si="16"/>
        <v>0</v>
      </c>
      <c r="AB7" s="177">
        <f t="shared" si="16"/>
        <v>0</v>
      </c>
      <c r="AC7" s="177">
        <f t="shared" si="16"/>
        <v>0</v>
      </c>
      <c r="AD7" s="177">
        <f t="shared" si="16"/>
        <v>0</v>
      </c>
      <c r="AE7" s="177">
        <f>SUM(S7:AD7)</f>
        <v>3406.7266363636363</v>
      </c>
      <c r="AG7" s="176" t="s">
        <v>46</v>
      </c>
      <c r="AH7" s="176" t="s">
        <v>162</v>
      </c>
      <c r="AI7" s="177">
        <f t="shared" ref="AI7:AT7" si="17">SUM(AI3:AI6)</f>
        <v>679.93408378894242</v>
      </c>
      <c r="AJ7" s="177">
        <f t="shared" si="17"/>
        <v>1359.8681675778848</v>
      </c>
      <c r="AK7" s="177">
        <f t="shared" si="17"/>
        <v>2039.8022513668275</v>
      </c>
      <c r="AL7" s="177">
        <f t="shared" si="17"/>
        <v>2719.7363351557697</v>
      </c>
      <c r="AM7" s="177">
        <f t="shared" si="17"/>
        <v>3399.6704189447119</v>
      </c>
      <c r="AN7" s="177">
        <f t="shared" si="17"/>
        <v>4079.604502733655</v>
      </c>
      <c r="AO7" s="177">
        <f t="shared" si="17"/>
        <v>4759.5385865225981</v>
      </c>
      <c r="AP7" s="177">
        <f t="shared" si="17"/>
        <v>5439.4726703115402</v>
      </c>
      <c r="AQ7" s="177">
        <f t="shared" si="17"/>
        <v>6511.4125702637484</v>
      </c>
      <c r="AR7" s="177">
        <f t="shared" si="17"/>
        <v>7583.3524702159557</v>
      </c>
      <c r="AS7" s="177">
        <f t="shared" si="17"/>
        <v>8655.2923701681648</v>
      </c>
      <c r="AT7" s="177">
        <f t="shared" si="17"/>
        <v>9727.232270120372</v>
      </c>
      <c r="AU7" s="177">
        <f t="shared" ref="AU7:AU22" si="18">SUM(AI7:AT7)</f>
        <v>56954.916697170171</v>
      </c>
      <c r="AV7" s="180"/>
      <c r="AX7" s="219"/>
    </row>
    <row r="8" spans="1:50">
      <c r="A8" s="65" t="s">
        <v>266</v>
      </c>
      <c r="B8" s="65" t="s">
        <v>260</v>
      </c>
      <c r="C8" s="228">
        <f>S8/AI8</f>
        <v>0</v>
      </c>
      <c r="D8" s="228">
        <f t="shared" ref="D8:D12" si="19">T8/AJ8</f>
        <v>0</v>
      </c>
      <c r="E8" s="228">
        <f t="shared" ref="E8:E12" si="20">U8/AK8</f>
        <v>0</v>
      </c>
      <c r="F8" s="228">
        <f t="shared" ref="F8:F12" si="21">V8/AL8</f>
        <v>0</v>
      </c>
      <c r="G8" s="228">
        <f t="shared" ref="G8:G12" si="22">W8/AM8</f>
        <v>0</v>
      </c>
      <c r="H8" s="228">
        <f t="shared" ref="H8:H12" si="23">X8/AN8</f>
        <v>0</v>
      </c>
      <c r="I8" s="228">
        <f t="shared" ref="I8:I12" si="24">Y8/AO8</f>
        <v>0</v>
      </c>
      <c r="J8" s="228">
        <f t="shared" ref="J8:J12" si="25">Z8/AP8</f>
        <v>0</v>
      </c>
      <c r="K8" s="228">
        <f t="shared" ref="K8:K12" si="26">AA8/AQ8</f>
        <v>0</v>
      </c>
      <c r="L8" s="228">
        <f t="shared" ref="L8:L12" si="27">AB8/AR8</f>
        <v>0</v>
      </c>
      <c r="M8" s="228">
        <f t="shared" ref="M8:M12" si="28">AC8/AS8</f>
        <v>0</v>
      </c>
      <c r="N8" s="228">
        <f t="shared" ref="N8:N12" si="29">AD8/AT8</f>
        <v>0</v>
      </c>
      <c r="O8" s="228">
        <f>AE8/AU8</f>
        <v>0</v>
      </c>
      <c r="Q8" s="65" t="s">
        <v>266</v>
      </c>
      <c r="R8" s="65" t="s">
        <v>260</v>
      </c>
      <c r="S8" s="174">
        <f>'25年PDCA'!AM20</f>
        <v>0</v>
      </c>
      <c r="T8" s="174">
        <f>'25年PDCA'!AN20</f>
        <v>0</v>
      </c>
      <c r="U8" s="174">
        <f>'25年PDCA'!AO20</f>
        <v>0</v>
      </c>
      <c r="V8" s="174">
        <f>'25年PDCA'!AP20</f>
        <v>0</v>
      </c>
      <c r="W8" s="174">
        <f>'25年PDCA'!AQ20</f>
        <v>0</v>
      </c>
      <c r="X8" s="174">
        <f>'25年PDCA'!AR20</f>
        <v>0</v>
      </c>
      <c r="Y8" s="174">
        <f>'25年PDCA'!AS20</f>
        <v>0</v>
      </c>
      <c r="Z8" s="174">
        <f>'25年PDCA'!AT20</f>
        <v>0</v>
      </c>
      <c r="AA8" s="174">
        <f>'25年PDCA'!AU20</f>
        <v>0</v>
      </c>
      <c r="AB8" s="174">
        <f>'25年PDCA'!AV20</f>
        <v>0</v>
      </c>
      <c r="AC8" s="174">
        <f>'25年PDCA'!AW20</f>
        <v>0</v>
      </c>
      <c r="AD8" s="174">
        <f>'25年PDCA'!AX20</f>
        <v>0</v>
      </c>
      <c r="AE8" s="69">
        <f t="shared" si="14"/>
        <v>0</v>
      </c>
      <c r="AG8" s="65" t="s">
        <v>266</v>
      </c>
      <c r="AH8" s="65" t="s">
        <v>260</v>
      </c>
      <c r="AI8" s="69">
        <v>130.68513734693875</v>
      </c>
      <c r="AJ8" s="69">
        <v>130.68513734693875</v>
      </c>
      <c r="AK8" s="69">
        <v>130.68513734693875</v>
      </c>
      <c r="AL8" s="69">
        <v>130.68513734693875</v>
      </c>
      <c r="AM8" s="69">
        <v>130.68513734693875</v>
      </c>
      <c r="AN8" s="69">
        <v>130.68513734693875</v>
      </c>
      <c r="AO8" s="69">
        <v>130.68513734693875</v>
      </c>
      <c r="AP8" s="69">
        <v>130.68513734693875</v>
      </c>
      <c r="AQ8" s="69">
        <v>130.68513734693875</v>
      </c>
      <c r="AR8" s="69">
        <v>130.68513734693875</v>
      </c>
      <c r="AS8" s="69">
        <v>130.68513734693875</v>
      </c>
      <c r="AT8" s="69">
        <v>130.68513734693875</v>
      </c>
      <c r="AU8" s="69">
        <f t="shared" si="18"/>
        <v>1568.2216481632649</v>
      </c>
      <c r="AV8" s="180"/>
    </row>
    <row r="9" spans="1:50">
      <c r="A9" s="175" t="s">
        <v>266</v>
      </c>
      <c r="B9" s="65" t="s">
        <v>24</v>
      </c>
      <c r="C9" s="228">
        <f>S9/AI9</f>
        <v>0</v>
      </c>
      <c r="D9" s="228">
        <f t="shared" si="19"/>
        <v>0</v>
      </c>
      <c r="E9" s="228">
        <f t="shared" si="20"/>
        <v>0</v>
      </c>
      <c r="F9" s="228">
        <f t="shared" si="21"/>
        <v>0</v>
      </c>
      <c r="G9" s="228">
        <f t="shared" si="22"/>
        <v>0</v>
      </c>
      <c r="H9" s="228">
        <f t="shared" si="23"/>
        <v>0</v>
      </c>
      <c r="I9" s="228">
        <f t="shared" si="24"/>
        <v>0</v>
      </c>
      <c r="J9" s="228">
        <f t="shared" si="25"/>
        <v>0</v>
      </c>
      <c r="K9" s="228">
        <f t="shared" si="26"/>
        <v>0</v>
      </c>
      <c r="L9" s="228">
        <f t="shared" si="27"/>
        <v>0</v>
      </c>
      <c r="M9" s="228">
        <f t="shared" si="28"/>
        <v>0</v>
      </c>
      <c r="N9" s="228">
        <f t="shared" si="29"/>
        <v>0</v>
      </c>
      <c r="O9" s="228" t="e">
        <f>AE9/#REF!</f>
        <v>#REF!</v>
      </c>
      <c r="Q9" s="175" t="s">
        <v>266</v>
      </c>
      <c r="R9" s="65" t="s">
        <v>24</v>
      </c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69">
        <f t="shared" si="14"/>
        <v>0</v>
      </c>
      <c r="AG9" s="175" t="s">
        <v>266</v>
      </c>
      <c r="AH9" s="65" t="s">
        <v>24</v>
      </c>
      <c r="AI9" s="69">
        <v>245.52175692035203</v>
      </c>
      <c r="AJ9" s="69">
        <v>245.52175692035203</v>
      </c>
      <c r="AK9" s="69">
        <v>245.52175692035203</v>
      </c>
      <c r="AL9" s="69">
        <v>245.52175692035203</v>
      </c>
      <c r="AM9" s="69">
        <v>245.52175692035203</v>
      </c>
      <c r="AN9" s="69">
        <v>245.52175692035203</v>
      </c>
      <c r="AO9" s="69">
        <v>245.52175692035203</v>
      </c>
      <c r="AP9" s="69">
        <v>245.52175692035203</v>
      </c>
      <c r="AQ9" s="69">
        <v>245.52175692035203</v>
      </c>
      <c r="AR9" s="69">
        <v>245.52175692035203</v>
      </c>
      <c r="AS9" s="69">
        <v>245.52175692035203</v>
      </c>
      <c r="AT9" s="69">
        <v>245.52175692035203</v>
      </c>
      <c r="AU9" s="69">
        <f t="shared" si="18"/>
        <v>2946.2610830442241</v>
      </c>
      <c r="AV9" s="180"/>
    </row>
    <row r="10" spans="1:50">
      <c r="A10" s="175" t="s">
        <v>266</v>
      </c>
      <c r="B10" s="65" t="s">
        <v>262</v>
      </c>
      <c r="C10" s="228" t="e">
        <f>S10/AI10</f>
        <v>#DIV/0!</v>
      </c>
      <c r="D10" s="228" t="e">
        <f t="shared" si="19"/>
        <v>#DIV/0!</v>
      </c>
      <c r="E10" s="228" t="e">
        <f t="shared" si="20"/>
        <v>#DIV/0!</v>
      </c>
      <c r="F10" s="228" t="e">
        <f t="shared" si="21"/>
        <v>#DIV/0!</v>
      </c>
      <c r="G10" s="228" t="e">
        <f t="shared" si="22"/>
        <v>#DIV/0!</v>
      </c>
      <c r="H10" s="228" t="e">
        <f t="shared" si="23"/>
        <v>#DIV/0!</v>
      </c>
      <c r="I10" s="228" t="e">
        <f t="shared" si="24"/>
        <v>#DIV/0!</v>
      </c>
      <c r="J10" s="228" t="e">
        <f t="shared" si="25"/>
        <v>#DIV/0!</v>
      </c>
      <c r="K10" s="228" t="e">
        <f t="shared" si="26"/>
        <v>#DIV/0!</v>
      </c>
      <c r="L10" s="228" t="e">
        <f t="shared" si="27"/>
        <v>#DIV/0!</v>
      </c>
      <c r="M10" s="228" t="e">
        <f t="shared" si="28"/>
        <v>#DIV/0!</v>
      </c>
      <c r="N10" s="228" t="e">
        <f t="shared" si="29"/>
        <v>#DIV/0!</v>
      </c>
      <c r="O10" s="228" t="e">
        <f>AE10/#REF!</f>
        <v>#REF!</v>
      </c>
      <c r="Q10" s="175" t="s">
        <v>266</v>
      </c>
      <c r="R10" s="65" t="s">
        <v>262</v>
      </c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69">
        <f t="shared" si="14"/>
        <v>0</v>
      </c>
      <c r="AG10" s="175" t="s">
        <v>266</v>
      </c>
      <c r="AH10" s="65" t="s">
        <v>262</v>
      </c>
      <c r="AI10" s="69">
        <v>0</v>
      </c>
      <c r="AJ10" s="69">
        <v>0</v>
      </c>
      <c r="AK10" s="69">
        <v>0</v>
      </c>
      <c r="AL10" s="69">
        <v>0</v>
      </c>
      <c r="AM10" s="69">
        <v>0</v>
      </c>
      <c r="AN10" s="69">
        <v>0</v>
      </c>
      <c r="AO10" s="69">
        <v>0</v>
      </c>
      <c r="AP10" s="69">
        <v>0</v>
      </c>
      <c r="AQ10" s="69">
        <v>0</v>
      </c>
      <c r="AR10" s="69">
        <v>0</v>
      </c>
      <c r="AS10" s="69">
        <v>0</v>
      </c>
      <c r="AT10" s="69">
        <v>0</v>
      </c>
      <c r="AU10" s="69">
        <f t="shared" si="18"/>
        <v>0</v>
      </c>
      <c r="AV10" s="180"/>
    </row>
    <row r="11" spans="1:50">
      <c r="A11" s="175" t="s">
        <v>266</v>
      </c>
      <c r="B11" s="65" t="s">
        <v>26</v>
      </c>
      <c r="C11" s="228">
        <f t="shared" ref="C11" si="30">S11/AI11</f>
        <v>0</v>
      </c>
      <c r="D11" s="228">
        <f t="shared" si="19"/>
        <v>0</v>
      </c>
      <c r="E11" s="228">
        <f t="shared" si="20"/>
        <v>0</v>
      </c>
      <c r="F11" s="228">
        <f t="shared" si="21"/>
        <v>0</v>
      </c>
      <c r="G11" s="228">
        <f t="shared" si="22"/>
        <v>0</v>
      </c>
      <c r="H11" s="228">
        <f t="shared" si="23"/>
        <v>0</v>
      </c>
      <c r="I11" s="228">
        <f t="shared" si="24"/>
        <v>0</v>
      </c>
      <c r="J11" s="228">
        <f t="shared" si="25"/>
        <v>0</v>
      </c>
      <c r="K11" s="228">
        <f t="shared" si="26"/>
        <v>0</v>
      </c>
      <c r="L11" s="228">
        <f t="shared" si="27"/>
        <v>0</v>
      </c>
      <c r="M11" s="228">
        <f t="shared" si="28"/>
        <v>0</v>
      </c>
      <c r="N11" s="228">
        <f t="shared" si="29"/>
        <v>0</v>
      </c>
      <c r="O11" s="228" t="e">
        <f>AE11/#REF!</f>
        <v>#REF!</v>
      </c>
      <c r="Q11" s="175" t="s">
        <v>266</v>
      </c>
      <c r="R11" s="65" t="s">
        <v>26</v>
      </c>
      <c r="S11" s="174">
        <f>SUM('25年PDCA'!AM21:AM22)</f>
        <v>0</v>
      </c>
      <c r="T11" s="174">
        <f>SUM('25年PDCA'!AN21:AN22)</f>
        <v>0</v>
      </c>
      <c r="U11" s="174">
        <f>SUM('25年PDCA'!AO21:AO22)</f>
        <v>0</v>
      </c>
      <c r="V11" s="174">
        <f>SUM('25年PDCA'!AP21:AP22)</f>
        <v>0</v>
      </c>
      <c r="W11" s="174">
        <f>SUM('25年PDCA'!AQ21:AQ22)</f>
        <v>0</v>
      </c>
      <c r="X11" s="174">
        <f>SUM('25年PDCA'!AR21:AR22)</f>
        <v>0</v>
      </c>
      <c r="Y11" s="174">
        <f>SUM('25年PDCA'!AS21:AS22)</f>
        <v>0</v>
      </c>
      <c r="Z11" s="174">
        <f>SUM('25年PDCA'!AT21:AT22)</f>
        <v>0</v>
      </c>
      <c r="AA11" s="174">
        <f>SUM('25年PDCA'!AU21:AU22)</f>
        <v>0</v>
      </c>
      <c r="AB11" s="174">
        <f>SUM('25年PDCA'!AV21:AV22)</f>
        <v>0</v>
      </c>
      <c r="AC11" s="174">
        <f>SUM('25年PDCA'!AW21:AW22)</f>
        <v>0</v>
      </c>
      <c r="AD11" s="174">
        <f>SUM('25年PDCA'!AX21:AX22)</f>
        <v>0</v>
      </c>
      <c r="AE11" s="69">
        <f t="shared" si="14"/>
        <v>0</v>
      </c>
      <c r="AG11" s="175" t="s">
        <v>266</v>
      </c>
      <c r="AH11" s="65" t="s">
        <v>26</v>
      </c>
      <c r="AI11" s="69">
        <v>19.583296419294989</v>
      </c>
      <c r="AJ11" s="69">
        <v>19.583296419294989</v>
      </c>
      <c r="AK11" s="69">
        <v>19.583296419294989</v>
      </c>
      <c r="AL11" s="69">
        <v>19.583296419294989</v>
      </c>
      <c r="AM11" s="69">
        <v>19.583296419294989</v>
      </c>
      <c r="AN11" s="69">
        <v>19.583296419294989</v>
      </c>
      <c r="AO11" s="69">
        <v>19.583296419294989</v>
      </c>
      <c r="AP11" s="69">
        <v>19.583296419294989</v>
      </c>
      <c r="AQ11" s="69">
        <v>19.583296419294989</v>
      </c>
      <c r="AR11" s="69">
        <v>19.583296419294989</v>
      </c>
      <c r="AS11" s="69">
        <v>19.583296419294989</v>
      </c>
      <c r="AT11" s="69">
        <v>19.583296419294989</v>
      </c>
      <c r="AU11" s="69">
        <f t="shared" si="18"/>
        <v>234.99955703153981</v>
      </c>
    </row>
    <row r="12" spans="1:50">
      <c r="A12" s="178" t="s">
        <v>266</v>
      </c>
      <c r="B12" s="178" t="s">
        <v>162</v>
      </c>
      <c r="C12" s="227">
        <f>S12/AI12</f>
        <v>0</v>
      </c>
      <c r="D12" s="227">
        <f t="shared" si="19"/>
        <v>0</v>
      </c>
      <c r="E12" s="227">
        <f t="shared" si="20"/>
        <v>0</v>
      </c>
      <c r="F12" s="227">
        <f t="shared" si="21"/>
        <v>0</v>
      </c>
      <c r="G12" s="227">
        <f t="shared" si="22"/>
        <v>0</v>
      </c>
      <c r="H12" s="227">
        <f t="shared" si="23"/>
        <v>0</v>
      </c>
      <c r="I12" s="227">
        <f t="shared" si="24"/>
        <v>0</v>
      </c>
      <c r="J12" s="227">
        <f t="shared" si="25"/>
        <v>0</v>
      </c>
      <c r="K12" s="227">
        <f t="shared" si="26"/>
        <v>0</v>
      </c>
      <c r="L12" s="227">
        <f t="shared" si="27"/>
        <v>0</v>
      </c>
      <c r="M12" s="227">
        <f t="shared" si="28"/>
        <v>0</v>
      </c>
      <c r="N12" s="227">
        <f t="shared" si="29"/>
        <v>0</v>
      </c>
      <c r="O12" s="226" t="e">
        <f>AE12/#REF!</f>
        <v>#REF!</v>
      </c>
      <c r="Q12" s="178" t="s">
        <v>266</v>
      </c>
      <c r="R12" s="178" t="s">
        <v>162</v>
      </c>
      <c r="S12" s="179">
        <f t="shared" ref="S12:AD12" si="31">SUM(S8:S11)</f>
        <v>0</v>
      </c>
      <c r="T12" s="179">
        <f t="shared" si="31"/>
        <v>0</v>
      </c>
      <c r="U12" s="179">
        <f t="shared" si="31"/>
        <v>0</v>
      </c>
      <c r="V12" s="179">
        <f t="shared" si="31"/>
        <v>0</v>
      </c>
      <c r="W12" s="179">
        <f t="shared" si="31"/>
        <v>0</v>
      </c>
      <c r="X12" s="179">
        <f t="shared" si="31"/>
        <v>0</v>
      </c>
      <c r="Y12" s="179">
        <f t="shared" si="31"/>
        <v>0</v>
      </c>
      <c r="Z12" s="179">
        <f t="shared" si="31"/>
        <v>0</v>
      </c>
      <c r="AA12" s="179">
        <f t="shared" si="31"/>
        <v>0</v>
      </c>
      <c r="AB12" s="179">
        <f t="shared" si="31"/>
        <v>0</v>
      </c>
      <c r="AC12" s="179">
        <f t="shared" si="31"/>
        <v>0</v>
      </c>
      <c r="AD12" s="179">
        <f t="shared" si="31"/>
        <v>0</v>
      </c>
      <c r="AE12" s="177">
        <f>SUM(S12:AD12)</f>
        <v>0</v>
      </c>
      <c r="AG12" s="178" t="s">
        <v>266</v>
      </c>
      <c r="AH12" s="178" t="s">
        <v>162</v>
      </c>
      <c r="AI12" s="179">
        <f t="shared" ref="AI12:AT12" si="32">SUM(AI8:AI11)</f>
        <v>395.79019068658573</v>
      </c>
      <c r="AJ12" s="179">
        <f t="shared" si="32"/>
        <v>395.79019068658573</v>
      </c>
      <c r="AK12" s="179">
        <f t="shared" si="32"/>
        <v>395.79019068658573</v>
      </c>
      <c r="AL12" s="179">
        <f t="shared" si="32"/>
        <v>395.79019068658573</v>
      </c>
      <c r="AM12" s="179">
        <f t="shared" si="32"/>
        <v>395.79019068658573</v>
      </c>
      <c r="AN12" s="179">
        <f t="shared" si="32"/>
        <v>395.79019068658573</v>
      </c>
      <c r="AO12" s="179">
        <f t="shared" si="32"/>
        <v>395.79019068658573</v>
      </c>
      <c r="AP12" s="179">
        <f t="shared" si="32"/>
        <v>395.79019068658573</v>
      </c>
      <c r="AQ12" s="179">
        <f t="shared" si="32"/>
        <v>395.79019068658573</v>
      </c>
      <c r="AR12" s="179">
        <f t="shared" si="32"/>
        <v>395.79019068658573</v>
      </c>
      <c r="AS12" s="179">
        <f t="shared" si="32"/>
        <v>395.79019068658573</v>
      </c>
      <c r="AT12" s="179">
        <f t="shared" si="32"/>
        <v>395.79019068658573</v>
      </c>
      <c r="AU12" s="179">
        <f t="shared" si="18"/>
        <v>4749.482288239029</v>
      </c>
      <c r="AV12" s="180"/>
    </row>
    <row r="13" spans="1:50">
      <c r="A13" s="188" t="s">
        <v>269</v>
      </c>
      <c r="B13" s="188" t="s">
        <v>260</v>
      </c>
      <c r="C13" s="228">
        <f t="shared" ref="C13:C16" si="33">S13/AI13</f>
        <v>1.5539001764060687</v>
      </c>
      <c r="D13" s="228">
        <f t="shared" ref="D13:D17" si="34">T13/AJ13</f>
        <v>1.1081307957014719</v>
      </c>
      <c r="E13" s="228">
        <f t="shared" ref="E13:E17" si="35">U13/AK13</f>
        <v>1.1350526779959895</v>
      </c>
      <c r="F13" s="228">
        <f t="shared" ref="F13:F17" si="36">V13/AL13</f>
        <v>0.99235482889908266</v>
      </c>
      <c r="G13" s="228">
        <f t="shared" ref="G13:G17" si="37">W13/AM13</f>
        <v>0.97398146049742185</v>
      </c>
      <c r="H13" s="228">
        <f t="shared" ref="H13:H17" si="38">X13/AN13</f>
        <v>2.1052644813253809</v>
      </c>
      <c r="I13" s="228">
        <f t="shared" ref="I13:I17" si="39">Y13/AO13</f>
        <v>0.99093007658360654</v>
      </c>
      <c r="J13" s="228">
        <f t="shared" ref="J13:J17" si="40">Z13/AP13</f>
        <v>0</v>
      </c>
      <c r="K13" s="228">
        <f t="shared" ref="K13:K17" si="41">AA13/AQ13</f>
        <v>0</v>
      </c>
      <c r="L13" s="228">
        <f t="shared" ref="L13:L17" si="42">AB13/AR13</f>
        <v>0</v>
      </c>
      <c r="M13" s="228">
        <f t="shared" ref="M13:M17" si="43">AC13/AS13</f>
        <v>0</v>
      </c>
      <c r="N13" s="228">
        <f t="shared" ref="N13:N17" si="44">AD13/AT13</f>
        <v>0</v>
      </c>
      <c r="O13" s="228">
        <f>AE13/AU9</f>
        <v>8.1046721003175861</v>
      </c>
      <c r="Q13" s="188" t="s">
        <v>269</v>
      </c>
      <c r="R13" s="188" t="s">
        <v>260</v>
      </c>
      <c r="S13" s="192">
        <f>'25年PDCA'!AM24</f>
        <v>4188.08</v>
      </c>
      <c r="T13" s="192">
        <f>'25年PDCA'!AN24</f>
        <v>2986.6399999999994</v>
      </c>
      <c r="U13" s="192">
        <f>'25年PDCA'!AO24</f>
        <v>3059.1999999999994</v>
      </c>
      <c r="V13" s="192">
        <f>'25年PDCA'!AP24</f>
        <v>2674.5999999999995</v>
      </c>
      <c r="W13" s="192">
        <f>'25年PDCA'!AQ24</f>
        <v>2625.08</v>
      </c>
      <c r="X13" s="192">
        <f>'25年PDCA'!AR24</f>
        <v>5674.12</v>
      </c>
      <c r="Y13" s="192">
        <f>'25年PDCA'!AS24</f>
        <v>2670.7599999999993</v>
      </c>
      <c r="Z13" s="192">
        <f>'25年PDCA'!AT24</f>
        <v>0</v>
      </c>
      <c r="AA13" s="192">
        <f>'25年PDCA'!AU24</f>
        <v>0</v>
      </c>
      <c r="AB13" s="192">
        <f>'25年PDCA'!AV24</f>
        <v>0</v>
      </c>
      <c r="AC13" s="192">
        <f>'25年PDCA'!AW24</f>
        <v>0</v>
      </c>
      <c r="AD13" s="192">
        <f>'25年PDCA'!AX24</f>
        <v>0</v>
      </c>
      <c r="AE13" s="69">
        <f t="shared" si="14"/>
        <v>23878.479999999996</v>
      </c>
      <c r="AG13" s="188" t="s">
        <v>269</v>
      </c>
      <c r="AH13" s="188" t="s">
        <v>260</v>
      </c>
      <c r="AI13" s="189">
        <v>2695.2053057142853</v>
      </c>
      <c r="AJ13" s="189">
        <v>2695.2053057142853</v>
      </c>
      <c r="AK13" s="189">
        <v>2695.2053057142853</v>
      </c>
      <c r="AL13" s="189">
        <v>2695.2053057142853</v>
      </c>
      <c r="AM13" s="189">
        <v>2695.2053057142853</v>
      </c>
      <c r="AN13" s="189">
        <v>2695.2053057142853</v>
      </c>
      <c r="AO13" s="189">
        <v>2695.2053057142853</v>
      </c>
      <c r="AP13" s="189">
        <v>2695.2053057142853</v>
      </c>
      <c r="AQ13" s="189">
        <v>2695.2053057142853</v>
      </c>
      <c r="AR13" s="189">
        <v>2695.2053057142853</v>
      </c>
      <c r="AS13" s="189">
        <v>2695.2053057142853</v>
      </c>
      <c r="AT13" s="189">
        <v>2695.2053057142853</v>
      </c>
      <c r="AU13" s="189">
        <f t="shared" si="18"/>
        <v>32342.463668571418</v>
      </c>
      <c r="AV13" s="189">
        <v>29606.6</v>
      </c>
      <c r="AW13" s="70">
        <f t="shared" ref="AW13:AW16" si="45">AU13-AV13</f>
        <v>2735.8636685714191</v>
      </c>
      <c r="AX13" s="188"/>
    </row>
    <row r="14" spans="1:50">
      <c r="A14" s="196" t="s">
        <v>269</v>
      </c>
      <c r="B14" s="188" t="s">
        <v>24</v>
      </c>
      <c r="C14" s="228">
        <f t="shared" si="33"/>
        <v>0.81843573410139592</v>
      </c>
      <c r="D14" s="228">
        <f t="shared" si="34"/>
        <v>0.67757680849040514</v>
      </c>
      <c r="E14" s="228">
        <f t="shared" si="35"/>
        <v>0.80867154009059727</v>
      </c>
      <c r="F14" s="228">
        <f t="shared" si="36"/>
        <v>0.83107000943644049</v>
      </c>
      <c r="G14" s="228">
        <f t="shared" si="37"/>
        <v>0.731814327454271</v>
      </c>
      <c r="H14" s="228">
        <f t="shared" si="38"/>
        <v>0.83155978379369722</v>
      </c>
      <c r="I14" s="228">
        <f t="shared" si="39"/>
        <v>0.80540897499714414</v>
      </c>
      <c r="J14" s="228">
        <f t="shared" si="40"/>
        <v>0</v>
      </c>
      <c r="K14" s="228">
        <f t="shared" si="41"/>
        <v>0</v>
      </c>
      <c r="L14" s="228">
        <f t="shared" si="42"/>
        <v>0</v>
      </c>
      <c r="M14" s="228">
        <f t="shared" si="43"/>
        <v>0</v>
      </c>
      <c r="N14" s="228">
        <f t="shared" si="44"/>
        <v>0</v>
      </c>
      <c r="O14" s="228" t="e">
        <f>AE14/AU10</f>
        <v>#DIV/0!</v>
      </c>
      <c r="Q14" s="196" t="s">
        <v>269</v>
      </c>
      <c r="R14" s="188" t="s">
        <v>24</v>
      </c>
      <c r="S14" s="192">
        <f>'25年PDCA'!AM25</f>
        <v>4144.1953636363642</v>
      </c>
      <c r="T14" s="192">
        <f>'25年PDCA'!AN25</f>
        <v>3430.9482727272725</v>
      </c>
      <c r="U14" s="192">
        <f>'25年PDCA'!AO25</f>
        <v>4094.7538181818195</v>
      </c>
      <c r="V14" s="192">
        <f>'25年PDCA'!AP25</f>
        <v>4208.1697272727279</v>
      </c>
      <c r="W14" s="192">
        <f>'25年PDCA'!AQ25</f>
        <v>3705.583000000001</v>
      </c>
      <c r="X14" s="192">
        <f>'25年PDCA'!AR25</f>
        <v>4210.6497272727274</v>
      </c>
      <c r="Y14" s="192">
        <f>'25年PDCA'!AS25</f>
        <v>4078.23363636364</v>
      </c>
      <c r="Z14" s="192">
        <f>'25年PDCA'!AT25</f>
        <v>0</v>
      </c>
      <c r="AA14" s="192">
        <f>'25年PDCA'!AU25</f>
        <v>0</v>
      </c>
      <c r="AB14" s="192">
        <f>'25年PDCA'!AV25</f>
        <v>0</v>
      </c>
      <c r="AC14" s="192">
        <f>'25年PDCA'!AW25</f>
        <v>0</v>
      </c>
      <c r="AD14" s="192">
        <f>'25年PDCA'!AX25</f>
        <v>0</v>
      </c>
      <c r="AE14" s="69">
        <f t="shared" si="14"/>
        <v>27872.533545454553</v>
      </c>
      <c r="AG14" s="196" t="s">
        <v>269</v>
      </c>
      <c r="AH14" s="188" t="s">
        <v>24</v>
      </c>
      <c r="AI14" s="189">
        <v>5063.5562341208088</v>
      </c>
      <c r="AJ14" s="189">
        <v>5063.5562341208088</v>
      </c>
      <c r="AK14" s="189">
        <v>5063.5562341208088</v>
      </c>
      <c r="AL14" s="189">
        <v>5063.5562341208088</v>
      </c>
      <c r="AM14" s="189">
        <v>5063.5562341208088</v>
      </c>
      <c r="AN14" s="189">
        <v>5063.5562341208088</v>
      </c>
      <c r="AO14" s="189">
        <v>5063.5562341208088</v>
      </c>
      <c r="AP14" s="189">
        <v>5063.5562341208088</v>
      </c>
      <c r="AQ14" s="189">
        <v>5063.5562341208088</v>
      </c>
      <c r="AR14" s="189">
        <v>5063.5562341208088</v>
      </c>
      <c r="AS14" s="189">
        <v>5063.5562341208088</v>
      </c>
      <c r="AT14" s="189">
        <v>5063.5562341208088</v>
      </c>
      <c r="AU14" s="189">
        <f t="shared" si="18"/>
        <v>60762.674809449694</v>
      </c>
      <c r="AV14" s="220">
        <v>80512.554000000004</v>
      </c>
      <c r="AW14" s="221">
        <f>AU14-AV14</f>
        <v>-19749.879190550309</v>
      </c>
      <c r="AX14" s="188"/>
    </row>
    <row r="15" spans="1:50">
      <c r="A15" s="196" t="s">
        <v>269</v>
      </c>
      <c r="B15" s="188" t="s">
        <v>262</v>
      </c>
      <c r="C15" s="228" t="e">
        <f t="shared" si="33"/>
        <v>#DIV/0!</v>
      </c>
      <c r="D15" s="228" t="e">
        <f t="shared" si="34"/>
        <v>#DIV/0!</v>
      </c>
      <c r="E15" s="228" t="e">
        <f t="shared" si="35"/>
        <v>#DIV/0!</v>
      </c>
      <c r="F15" s="228" t="e">
        <f t="shared" si="36"/>
        <v>#DIV/0!</v>
      </c>
      <c r="G15" s="228" t="e">
        <f t="shared" si="37"/>
        <v>#DIV/0!</v>
      </c>
      <c r="H15" s="228" t="e">
        <f t="shared" si="38"/>
        <v>#DIV/0!</v>
      </c>
      <c r="I15" s="228" t="e">
        <f t="shared" si="39"/>
        <v>#DIV/0!</v>
      </c>
      <c r="J15" s="228" t="e">
        <f t="shared" si="40"/>
        <v>#DIV/0!</v>
      </c>
      <c r="K15" s="228" t="e">
        <f t="shared" si="41"/>
        <v>#DIV/0!</v>
      </c>
      <c r="L15" s="228" t="e">
        <f t="shared" si="42"/>
        <v>#DIV/0!</v>
      </c>
      <c r="M15" s="228" t="e">
        <f t="shared" si="43"/>
        <v>#DIV/0!</v>
      </c>
      <c r="N15" s="228" t="e">
        <f t="shared" si="44"/>
        <v>#DIV/0!</v>
      </c>
      <c r="O15" s="228" t="e">
        <f>AE15/#REF!</f>
        <v>#REF!</v>
      </c>
      <c r="Q15" s="196" t="s">
        <v>269</v>
      </c>
      <c r="R15" s="188" t="s">
        <v>262</v>
      </c>
      <c r="S15" s="192">
        <f>'25年PDCA'!AM26</f>
        <v>225.93181818181819</v>
      </c>
      <c r="T15" s="192">
        <f>'25年PDCA'!AN26</f>
        <v>240.94090909090875</v>
      </c>
      <c r="U15" s="192">
        <f>'25年PDCA'!AO26</f>
        <v>235.91818181818201</v>
      </c>
      <c r="V15" s="192">
        <f>'25年PDCA'!AP26</f>
        <v>256.11818181818154</v>
      </c>
      <c r="W15" s="192">
        <f>'25年PDCA'!AQ26</f>
        <v>183.2090909090908</v>
      </c>
      <c r="X15" s="192">
        <f>'25年PDCA'!AR26</f>
        <v>157.20045454545448</v>
      </c>
      <c r="Y15" s="192">
        <f>'25年PDCA'!AS26</f>
        <v>156.59090909090901</v>
      </c>
      <c r="Z15" s="192">
        <f>'25年PDCA'!AT26</f>
        <v>0</v>
      </c>
      <c r="AA15" s="192">
        <f>'25年PDCA'!AU26</f>
        <v>0</v>
      </c>
      <c r="AB15" s="192">
        <f>'25年PDCA'!AV26</f>
        <v>0</v>
      </c>
      <c r="AC15" s="192">
        <f>'25年PDCA'!AW26</f>
        <v>0</v>
      </c>
      <c r="AD15" s="192">
        <f>'25年PDCA'!AX26</f>
        <v>0</v>
      </c>
      <c r="AE15" s="69">
        <f t="shared" si="14"/>
        <v>1455.9095454545447</v>
      </c>
      <c r="AG15" s="196" t="s">
        <v>269</v>
      </c>
      <c r="AH15" s="188" t="s">
        <v>262</v>
      </c>
      <c r="AI15" s="189">
        <v>0</v>
      </c>
      <c r="AJ15" s="189">
        <v>0</v>
      </c>
      <c r="AK15" s="189">
        <v>0</v>
      </c>
      <c r="AL15" s="189">
        <v>0</v>
      </c>
      <c r="AM15" s="189">
        <v>0</v>
      </c>
      <c r="AN15" s="189">
        <v>0</v>
      </c>
      <c r="AO15" s="189">
        <v>0</v>
      </c>
      <c r="AP15" s="189">
        <v>0</v>
      </c>
      <c r="AQ15" s="189">
        <v>0</v>
      </c>
      <c r="AR15" s="189">
        <v>0</v>
      </c>
      <c r="AS15" s="189">
        <v>0</v>
      </c>
      <c r="AT15" s="189">
        <v>0</v>
      </c>
      <c r="AU15" s="189">
        <f t="shared" si="18"/>
        <v>0</v>
      </c>
      <c r="AV15" s="220">
        <v>814.44500000000005</v>
      </c>
      <c r="AW15" s="221">
        <f t="shared" si="45"/>
        <v>-814.44500000000005</v>
      </c>
      <c r="AX15" s="188"/>
    </row>
    <row r="16" spans="1:50">
      <c r="A16" s="196" t="s">
        <v>269</v>
      </c>
      <c r="B16" s="188" t="s">
        <v>26</v>
      </c>
      <c r="C16" s="228">
        <f t="shared" si="33"/>
        <v>0.79336510158082241</v>
      </c>
      <c r="D16" s="228">
        <f t="shared" si="34"/>
        <v>0.73335615431173906</v>
      </c>
      <c r="E16" s="228">
        <f t="shared" si="35"/>
        <v>0.29051893496346759</v>
      </c>
      <c r="F16" s="228">
        <f t="shared" si="36"/>
        <v>0.88451747699750638</v>
      </c>
      <c r="G16" s="228">
        <f t="shared" si="37"/>
        <v>0.73761035199885705</v>
      </c>
      <c r="H16" s="228">
        <f t="shared" si="38"/>
        <v>0.73141588002269342</v>
      </c>
      <c r="I16" s="228">
        <f t="shared" si="39"/>
        <v>0.7269140835283886</v>
      </c>
      <c r="J16" s="228">
        <f t="shared" si="40"/>
        <v>0</v>
      </c>
      <c r="K16" s="228">
        <f t="shared" si="41"/>
        <v>0</v>
      </c>
      <c r="L16" s="228">
        <f t="shared" si="42"/>
        <v>0</v>
      </c>
      <c r="M16" s="228">
        <f t="shared" si="43"/>
        <v>0</v>
      </c>
      <c r="N16" s="228">
        <f t="shared" si="44"/>
        <v>0</v>
      </c>
      <c r="O16" s="228" t="e">
        <f>AE16/#REF!</f>
        <v>#REF!</v>
      </c>
      <c r="Q16" s="196" t="s">
        <v>269</v>
      </c>
      <c r="R16" s="188" t="s">
        <v>26</v>
      </c>
      <c r="S16" s="192">
        <f>'25年PDCA'!AM27</f>
        <v>320.42363636363638</v>
      </c>
      <c r="T16" s="192">
        <f>'25年PDCA'!AN27</f>
        <v>296.18727272727273</v>
      </c>
      <c r="U16" s="192">
        <f>'25年PDCA'!AO27</f>
        <v>117.33454545454543</v>
      </c>
      <c r="V16" s="192">
        <f>'25年PDCA'!AP27</f>
        <v>357.23818181818177</v>
      </c>
      <c r="W16" s="192">
        <f>'25年PDCA'!AQ27</f>
        <v>297.90545454545452</v>
      </c>
      <c r="X16" s="192">
        <f>'25年PDCA'!AR27</f>
        <v>295.40363636363628</v>
      </c>
      <c r="Y16" s="192">
        <f>'25年PDCA'!AS27</f>
        <v>293.58545454545447</v>
      </c>
      <c r="Z16" s="192">
        <f>'25年PDCA'!AT27</f>
        <v>0</v>
      </c>
      <c r="AA16" s="192">
        <f>'25年PDCA'!AU27</f>
        <v>0</v>
      </c>
      <c r="AB16" s="192">
        <f>'25年PDCA'!AV27</f>
        <v>0</v>
      </c>
      <c r="AC16" s="192">
        <f>'25年PDCA'!AW27</f>
        <v>0</v>
      </c>
      <c r="AD16" s="192">
        <f>'25年PDCA'!AX27</f>
        <v>0</v>
      </c>
      <c r="AE16" s="69">
        <f t="shared" si="14"/>
        <v>1978.0781818181815</v>
      </c>
      <c r="AG16" s="196" t="s">
        <v>269</v>
      </c>
      <c r="AH16" s="188" t="s">
        <v>26</v>
      </c>
      <c r="AI16" s="189">
        <v>403.87916701298701</v>
      </c>
      <c r="AJ16" s="189">
        <v>403.87916701298701</v>
      </c>
      <c r="AK16" s="189">
        <v>403.87916701298701</v>
      </c>
      <c r="AL16" s="189">
        <v>403.87916701298701</v>
      </c>
      <c r="AM16" s="189">
        <v>403.87916701298701</v>
      </c>
      <c r="AN16" s="189">
        <v>403.87916701298701</v>
      </c>
      <c r="AO16" s="189">
        <v>403.87916701298701</v>
      </c>
      <c r="AP16" s="189">
        <v>403.87916701298701</v>
      </c>
      <c r="AQ16" s="189">
        <v>403.87916701298701</v>
      </c>
      <c r="AR16" s="189">
        <v>403.87916701298701</v>
      </c>
      <c r="AS16" s="189">
        <v>403.87916701298701</v>
      </c>
      <c r="AT16" s="189">
        <v>403.87916701298701</v>
      </c>
      <c r="AU16" s="189">
        <f t="shared" si="18"/>
        <v>4846.5500041558444</v>
      </c>
      <c r="AV16" s="220">
        <v>3753.0250000000001</v>
      </c>
      <c r="AW16" s="221">
        <f t="shared" si="45"/>
        <v>1093.5250041558443</v>
      </c>
      <c r="AX16" s="188"/>
    </row>
    <row r="17" spans="1:50">
      <c r="A17" s="197" t="s">
        <v>42</v>
      </c>
      <c r="B17" s="197" t="s">
        <v>162</v>
      </c>
      <c r="C17" s="223">
        <f>S17/AI17</f>
        <v>1.0877155000504988</v>
      </c>
      <c r="D17" s="223">
        <f t="shared" si="34"/>
        <v>0.85201795648199563</v>
      </c>
      <c r="E17" s="223">
        <f t="shared" si="35"/>
        <v>0.91970317144503799</v>
      </c>
      <c r="F17" s="223">
        <f t="shared" si="36"/>
        <v>0.91834571189935943</v>
      </c>
      <c r="G17" s="223">
        <f t="shared" si="37"/>
        <v>0.83450660026476209</v>
      </c>
      <c r="H17" s="223">
        <f t="shared" si="38"/>
        <v>1.2664251912385702</v>
      </c>
      <c r="I17" s="223">
        <f t="shared" si="39"/>
        <v>0.88196580721239259</v>
      </c>
      <c r="J17" s="223">
        <f t="shared" si="40"/>
        <v>0</v>
      </c>
      <c r="K17" s="223">
        <f t="shared" si="41"/>
        <v>0</v>
      </c>
      <c r="L17" s="223">
        <f t="shared" si="42"/>
        <v>0</v>
      </c>
      <c r="M17" s="223">
        <f t="shared" si="43"/>
        <v>0</v>
      </c>
      <c r="N17" s="223">
        <f t="shared" si="44"/>
        <v>0</v>
      </c>
      <c r="O17" s="226"/>
      <c r="Q17" s="197" t="s">
        <v>42</v>
      </c>
      <c r="R17" s="197" t="s">
        <v>162</v>
      </c>
      <c r="S17" s="198">
        <f t="shared" ref="S17:AD17" si="46">SUM(S13:S16)</f>
        <v>8878.6308181818167</v>
      </c>
      <c r="T17" s="198">
        <f t="shared" si="46"/>
        <v>6954.7164545454534</v>
      </c>
      <c r="U17" s="198">
        <f t="shared" si="46"/>
        <v>7507.2065454545464</v>
      </c>
      <c r="V17" s="198">
        <f t="shared" si="46"/>
        <v>7496.1260909090906</v>
      </c>
      <c r="W17" s="198">
        <f t="shared" si="46"/>
        <v>6811.7775454545463</v>
      </c>
      <c r="X17" s="198">
        <f t="shared" si="46"/>
        <v>10337.373818181819</v>
      </c>
      <c r="Y17" s="198">
        <f t="shared" si="46"/>
        <v>7199.1700000000019</v>
      </c>
      <c r="Z17" s="198">
        <f t="shared" si="46"/>
        <v>0</v>
      </c>
      <c r="AA17" s="198">
        <f t="shared" si="46"/>
        <v>0</v>
      </c>
      <c r="AB17" s="198">
        <f t="shared" si="46"/>
        <v>0</v>
      </c>
      <c r="AC17" s="198">
        <f t="shared" si="46"/>
        <v>0</v>
      </c>
      <c r="AD17" s="198">
        <f t="shared" si="46"/>
        <v>0</v>
      </c>
      <c r="AE17" s="232">
        <f>SUM(S17:AD17)</f>
        <v>55185.001272727284</v>
      </c>
      <c r="AG17" s="197" t="s">
        <v>42</v>
      </c>
      <c r="AH17" s="197" t="s">
        <v>162</v>
      </c>
      <c r="AI17" s="198">
        <f t="shared" ref="AI17:AT17" si="47">SUM(AI13:AI16)</f>
        <v>8162.6407068480803</v>
      </c>
      <c r="AJ17" s="198">
        <f t="shared" si="47"/>
        <v>8162.6407068480803</v>
      </c>
      <c r="AK17" s="198">
        <f t="shared" si="47"/>
        <v>8162.6407068480803</v>
      </c>
      <c r="AL17" s="198">
        <f t="shared" si="47"/>
        <v>8162.6407068480803</v>
      </c>
      <c r="AM17" s="198">
        <f t="shared" si="47"/>
        <v>8162.6407068480803</v>
      </c>
      <c r="AN17" s="198">
        <f t="shared" si="47"/>
        <v>8162.6407068480803</v>
      </c>
      <c r="AO17" s="198">
        <f t="shared" si="47"/>
        <v>8162.6407068480803</v>
      </c>
      <c r="AP17" s="198">
        <f t="shared" si="47"/>
        <v>8162.6407068480803</v>
      </c>
      <c r="AQ17" s="198">
        <f t="shared" si="47"/>
        <v>8162.6407068480803</v>
      </c>
      <c r="AR17" s="198">
        <f t="shared" si="47"/>
        <v>8162.6407068480803</v>
      </c>
      <c r="AS17" s="198">
        <f t="shared" si="47"/>
        <v>8162.6407068480803</v>
      </c>
      <c r="AT17" s="198">
        <f t="shared" si="47"/>
        <v>8162.6407068480803</v>
      </c>
      <c r="AU17" s="198">
        <f t="shared" si="18"/>
        <v>97951.688482176934</v>
      </c>
      <c r="AV17" s="220">
        <f>SUM(AV13:AV16)</f>
        <v>114686.62400000001</v>
      </c>
      <c r="AW17" s="221">
        <f t="shared" ref="AW17:AW23" si="48">AU17-AV17</f>
        <v>-16734.935517823076</v>
      </c>
      <c r="AX17" s="219">
        <f>AU17/$AU$23</f>
        <v>0.31141322265104981</v>
      </c>
    </row>
    <row r="18" spans="1:50">
      <c r="A18" s="65" t="s">
        <v>273</v>
      </c>
      <c r="B18" s="65" t="s">
        <v>272</v>
      </c>
      <c r="C18" s="228">
        <f t="shared" ref="C18:C22" si="49">S18/AI18</f>
        <v>0.81148281007202416</v>
      </c>
      <c r="D18" s="228">
        <f t="shared" ref="D18:D23" si="50">T18/AJ18</f>
        <v>1.3467131234894858</v>
      </c>
      <c r="E18" s="228">
        <f t="shared" ref="E18:E23" si="51">U18/AK18</f>
        <v>1.4068068970976115</v>
      </c>
      <c r="F18" s="228">
        <f t="shared" ref="F18:F23" si="52">V18/AL18</f>
        <v>1.2026099208691452</v>
      </c>
      <c r="G18" s="228">
        <f t="shared" ref="G18:G23" si="53">W18/AM18</f>
        <v>0.94803893800909378</v>
      </c>
      <c r="H18" s="228">
        <f t="shared" ref="H18:H23" si="54">X18/AN18</f>
        <v>1.1835136504970591</v>
      </c>
      <c r="I18" s="228">
        <f t="shared" ref="I18:I23" si="55">Y18/AO18</f>
        <v>1.3097273175186033</v>
      </c>
      <c r="J18" s="228">
        <f t="shared" ref="J18:J23" si="56">Z18/AP18</f>
        <v>0</v>
      </c>
      <c r="K18" s="228">
        <f t="shared" ref="K18:K23" si="57">AA18/AQ18</f>
        <v>0</v>
      </c>
      <c r="L18" s="228">
        <f t="shared" ref="L18:L23" si="58">AB18/AR18</f>
        <v>0</v>
      </c>
      <c r="M18" s="228">
        <f t="shared" ref="M18:M23" si="59">AC18/AS18</f>
        <v>0</v>
      </c>
      <c r="N18" s="228">
        <f t="shared" ref="N18:O23" si="60">AD18/AT18</f>
        <v>0</v>
      </c>
      <c r="O18" s="237">
        <f>AE18/AU18</f>
        <v>0.65030125512164383</v>
      </c>
      <c r="Q18" s="65" t="s">
        <v>273</v>
      </c>
      <c r="R18" s="65" t="s">
        <v>272</v>
      </c>
      <c r="S18" s="174">
        <f>'25年PDCA'!AM29</f>
        <v>2649.7272727272725</v>
      </c>
      <c r="T18" s="174">
        <f>'25年PDCA'!AN29</f>
        <v>6123.8654545454538</v>
      </c>
      <c r="U18" s="174">
        <f>'25年PDCA'!AO29</f>
        <v>5134.681818181818</v>
      </c>
      <c r="V18" s="174">
        <f>'25年PDCA'!AP29</f>
        <v>3618.5272727272722</v>
      </c>
      <c r="W18" s="174">
        <f>'25年PDCA'!AQ29</f>
        <v>3095.6227272727269</v>
      </c>
      <c r="X18" s="174">
        <f>'25年PDCA'!AR29</f>
        <v>4167.9636363636364</v>
      </c>
      <c r="Y18" s="174">
        <f>'25年PDCA'!AS29</f>
        <v>4108.7363636363634</v>
      </c>
      <c r="Z18" s="174">
        <f>'25年PDCA'!AT29</f>
        <v>0</v>
      </c>
      <c r="AA18" s="174">
        <f>'25年PDCA'!AU29</f>
        <v>0</v>
      </c>
      <c r="AB18" s="174">
        <f>'25年PDCA'!AV29</f>
        <v>0</v>
      </c>
      <c r="AC18" s="174">
        <f>'25年PDCA'!AW29</f>
        <v>0</v>
      </c>
      <c r="AD18" s="174">
        <f>'25年PDCA'!AX29</f>
        <v>0</v>
      </c>
      <c r="AE18" s="180">
        <f t="shared" si="14"/>
        <v>28899.124545454539</v>
      </c>
      <c r="AG18" s="65" t="s">
        <v>273</v>
      </c>
      <c r="AH18" s="65" t="s">
        <v>272</v>
      </c>
      <c r="AI18" s="174">
        <v>3265.2906997402602</v>
      </c>
      <c r="AJ18" s="174">
        <v>4547.2679724675336</v>
      </c>
      <c r="AK18" s="174">
        <v>3649.8838815584422</v>
      </c>
      <c r="AL18" s="174">
        <v>3008.8952451948057</v>
      </c>
      <c r="AM18" s="174">
        <v>3265.2906997402602</v>
      </c>
      <c r="AN18" s="174">
        <v>3521.686154285715</v>
      </c>
      <c r="AO18" s="174">
        <v>3137.0929724675329</v>
      </c>
      <c r="AP18" s="174">
        <v>4034.4770633766238</v>
      </c>
      <c r="AQ18" s="174">
        <v>4675.4656997402608</v>
      </c>
      <c r="AR18" s="174">
        <v>4675.4656997402608</v>
      </c>
      <c r="AS18" s="174">
        <v>3393.4884270129878</v>
      </c>
      <c r="AT18" s="174">
        <v>3265.2906997402602</v>
      </c>
      <c r="AU18" s="69">
        <f t="shared" si="18"/>
        <v>44439.595215064954</v>
      </c>
      <c r="AV18" s="180">
        <v>36992.930999999997</v>
      </c>
      <c r="AW18" s="221">
        <f t="shared" si="48"/>
        <v>7446.6642150649568</v>
      </c>
      <c r="AX18" s="219">
        <f>AU18/$AU$23</f>
        <v>0.14128472692688374</v>
      </c>
    </row>
    <row r="19" spans="1:50">
      <c r="A19" s="65" t="s">
        <v>276</v>
      </c>
      <c r="B19" s="65" t="s">
        <v>275</v>
      </c>
      <c r="C19" s="228" t="e">
        <f>S19/AI19</f>
        <v>#DIV/0!</v>
      </c>
      <c r="D19" s="228" t="e">
        <f t="shared" si="50"/>
        <v>#DIV/0!</v>
      </c>
      <c r="E19" s="228" t="e">
        <f t="shared" si="51"/>
        <v>#DIV/0!</v>
      </c>
      <c r="F19" s="228" t="e">
        <f t="shared" si="52"/>
        <v>#DIV/0!</v>
      </c>
      <c r="G19" s="228" t="e">
        <f t="shared" si="53"/>
        <v>#DIV/0!</v>
      </c>
      <c r="H19" s="228" t="e">
        <f t="shared" si="54"/>
        <v>#DIV/0!</v>
      </c>
      <c r="I19" s="228" t="e">
        <f t="shared" si="55"/>
        <v>#DIV/0!</v>
      </c>
      <c r="J19" s="228" t="e">
        <f t="shared" si="56"/>
        <v>#DIV/0!</v>
      </c>
      <c r="K19" s="228" t="e">
        <f t="shared" si="57"/>
        <v>#DIV/0!</v>
      </c>
      <c r="L19" s="228" t="e">
        <f t="shared" si="58"/>
        <v>#DIV/0!</v>
      </c>
      <c r="M19" s="228" t="e">
        <f t="shared" si="59"/>
        <v>#DIV/0!</v>
      </c>
      <c r="N19" s="228" t="e">
        <f t="shared" si="60"/>
        <v>#DIV/0!</v>
      </c>
      <c r="O19" s="237" t="e">
        <f t="shared" ref="O19:O22" si="61">AE19/AU19</f>
        <v>#DIV/0!</v>
      </c>
      <c r="Q19" s="65" t="s">
        <v>276</v>
      </c>
      <c r="R19" s="65" t="s">
        <v>275</v>
      </c>
      <c r="S19" s="174">
        <f>'25年PDCA'!AM30</f>
        <v>5</v>
      </c>
      <c r="T19" s="174">
        <f>'25年PDCA'!AN30</f>
        <v>33</v>
      </c>
      <c r="U19" s="174">
        <f>'25年PDCA'!AO30</f>
        <v>27</v>
      </c>
      <c r="V19" s="174">
        <f>'25年PDCA'!AP30</f>
        <v>8</v>
      </c>
      <c r="W19" s="174">
        <f>'25年PDCA'!AQ30</f>
        <v>8</v>
      </c>
      <c r="X19" s="174">
        <f>'25年PDCA'!AR30</f>
        <v>0</v>
      </c>
      <c r="Y19" s="174">
        <f>'25年PDCA'!AS30</f>
        <v>18</v>
      </c>
      <c r="Z19" s="174">
        <f>'25年PDCA'!AT30</f>
        <v>0</v>
      </c>
      <c r="AA19" s="174">
        <f>'25年PDCA'!AU30</f>
        <v>0</v>
      </c>
      <c r="AB19" s="174">
        <f>'25年PDCA'!AV30</f>
        <v>0</v>
      </c>
      <c r="AC19" s="174">
        <f>'25年PDCA'!AW30</f>
        <v>0</v>
      </c>
      <c r="AD19" s="174">
        <f>'25年PDCA'!AX30</f>
        <v>0</v>
      </c>
      <c r="AE19" s="180">
        <f t="shared" si="14"/>
        <v>99</v>
      </c>
      <c r="AG19" s="65" t="s">
        <v>276</v>
      </c>
      <c r="AH19" s="65" t="s">
        <v>275</v>
      </c>
      <c r="AI19" s="174">
        <v>0</v>
      </c>
      <c r="AJ19" s="174">
        <v>0</v>
      </c>
      <c r="AK19" s="174">
        <v>0</v>
      </c>
      <c r="AL19" s="174">
        <v>0</v>
      </c>
      <c r="AM19" s="174">
        <v>0</v>
      </c>
      <c r="AN19" s="174">
        <v>0</v>
      </c>
      <c r="AO19" s="174">
        <v>0</v>
      </c>
      <c r="AP19" s="174">
        <v>0</v>
      </c>
      <c r="AQ19" s="174">
        <v>0</v>
      </c>
      <c r="AR19" s="174">
        <v>0</v>
      </c>
      <c r="AS19" s="174">
        <v>0</v>
      </c>
      <c r="AT19" s="174">
        <v>0</v>
      </c>
      <c r="AU19" s="69">
        <f t="shared" si="18"/>
        <v>0</v>
      </c>
      <c r="AV19" s="180">
        <v>818.83333333333303</v>
      </c>
      <c r="AW19" s="221">
        <f t="shared" si="48"/>
        <v>-818.83333333333303</v>
      </c>
      <c r="AX19" s="219">
        <f>AU19/$AU$23</f>
        <v>0</v>
      </c>
    </row>
    <row r="20" spans="1:50">
      <c r="A20" s="65" t="s">
        <v>278</v>
      </c>
      <c r="B20" s="65" t="s">
        <v>158</v>
      </c>
      <c r="C20" s="228">
        <f t="shared" si="49"/>
        <v>1.402626548084116</v>
      </c>
      <c r="D20" s="228">
        <f t="shared" si="50"/>
        <v>2.9895766402513027</v>
      </c>
      <c r="E20" s="228">
        <f t="shared" si="51"/>
        <v>2.8545955077269598</v>
      </c>
      <c r="F20" s="228">
        <f t="shared" si="52"/>
        <v>2.540508937023219</v>
      </c>
      <c r="G20" s="228">
        <f t="shared" si="53"/>
        <v>2.3827439177326304</v>
      </c>
      <c r="H20" s="228">
        <f t="shared" si="54"/>
        <v>1.9111405230249643</v>
      </c>
      <c r="I20" s="228">
        <f t="shared" si="55"/>
        <v>1.9100347469334777</v>
      </c>
      <c r="J20" s="228">
        <f t="shared" si="56"/>
        <v>0</v>
      </c>
      <c r="K20" s="228">
        <f t="shared" si="57"/>
        <v>0</v>
      </c>
      <c r="L20" s="228">
        <f t="shared" si="58"/>
        <v>0</v>
      </c>
      <c r="M20" s="228">
        <f t="shared" si="59"/>
        <v>0</v>
      </c>
      <c r="N20" s="228">
        <f t="shared" si="60"/>
        <v>0</v>
      </c>
      <c r="O20" s="237">
        <f t="shared" si="61"/>
        <v>1.1175243502674215</v>
      </c>
      <c r="Q20" s="65" t="s">
        <v>278</v>
      </c>
      <c r="R20" s="65" t="s">
        <v>158</v>
      </c>
      <c r="S20" s="174">
        <f>'25年PDCA'!AM31</f>
        <v>67.5</v>
      </c>
      <c r="T20" s="174">
        <f>'25年PDCA'!AN31</f>
        <v>167.5</v>
      </c>
      <c r="U20" s="174">
        <f>'25年PDCA'!AO31</f>
        <v>182.5</v>
      </c>
      <c r="V20" s="174">
        <f>'25年PDCA'!AP31</f>
        <v>182.5</v>
      </c>
      <c r="W20" s="174">
        <f>'25年PDCA'!AQ31</f>
        <v>189.99999999999997</v>
      </c>
      <c r="X20" s="174">
        <f>'25年PDCA'!AR31</f>
        <v>167.49999999999997</v>
      </c>
      <c r="Y20" s="174">
        <f>'25年PDCA'!AS31</f>
        <v>182.49999999999997</v>
      </c>
      <c r="Z20" s="174">
        <f>'25年PDCA'!AT31</f>
        <v>0</v>
      </c>
      <c r="AA20" s="174">
        <f>'25年PDCA'!AU31</f>
        <v>0</v>
      </c>
      <c r="AB20" s="174">
        <f>'25年PDCA'!AV31</f>
        <v>0</v>
      </c>
      <c r="AC20" s="174">
        <f>'25年PDCA'!AW31</f>
        <v>0</v>
      </c>
      <c r="AD20" s="174">
        <f>'25年PDCA'!AX31</f>
        <v>0</v>
      </c>
      <c r="AE20" s="180">
        <f t="shared" si="14"/>
        <v>1140</v>
      </c>
      <c r="AG20" s="65" t="s">
        <v>278</v>
      </c>
      <c r="AH20" s="65" t="s">
        <v>158</v>
      </c>
      <c r="AI20" s="174">
        <v>48.124000000000002</v>
      </c>
      <c r="AJ20" s="174">
        <v>56.028000000000006</v>
      </c>
      <c r="AK20" s="174">
        <v>63.932000000000002</v>
      </c>
      <c r="AL20" s="174">
        <v>71.836000000000013</v>
      </c>
      <c r="AM20" s="174">
        <v>79.740000000000009</v>
      </c>
      <c r="AN20" s="174">
        <v>87.644000000000005</v>
      </c>
      <c r="AO20" s="174">
        <v>95.548000000000016</v>
      </c>
      <c r="AP20" s="174">
        <v>103.45200000000003</v>
      </c>
      <c r="AQ20" s="174">
        <v>103.45200000000003</v>
      </c>
      <c r="AR20" s="174">
        <v>103.45200000000003</v>
      </c>
      <c r="AS20" s="174">
        <v>103.45200000000003</v>
      </c>
      <c r="AT20" s="174">
        <v>103.45200000000003</v>
      </c>
      <c r="AU20" s="69">
        <f t="shared" si="18"/>
        <v>1020.1120000000001</v>
      </c>
      <c r="AV20" s="180">
        <v>1020.1120000000001</v>
      </c>
      <c r="AW20" s="221">
        <f t="shared" si="48"/>
        <v>0</v>
      </c>
      <c r="AX20" s="219"/>
    </row>
    <row r="21" spans="1:50">
      <c r="A21" s="65" t="s">
        <v>280</v>
      </c>
      <c r="B21" s="65" t="s">
        <v>159</v>
      </c>
      <c r="C21" s="228" t="e">
        <f t="shared" si="49"/>
        <v>#DIV/0!</v>
      </c>
      <c r="D21" s="228" t="e">
        <f t="shared" si="50"/>
        <v>#DIV/0!</v>
      </c>
      <c r="E21" s="228" t="e">
        <f t="shared" si="51"/>
        <v>#DIV/0!</v>
      </c>
      <c r="F21" s="228">
        <f t="shared" si="52"/>
        <v>1.283076923076923</v>
      </c>
      <c r="G21" s="228">
        <f t="shared" si="53"/>
        <v>0</v>
      </c>
      <c r="H21" s="228">
        <f t="shared" si="54"/>
        <v>1.2444444444444445</v>
      </c>
      <c r="I21" s="228" t="e">
        <f t="shared" si="55"/>
        <v>#DIV/0!</v>
      </c>
      <c r="J21" s="228" t="e">
        <f t="shared" si="56"/>
        <v>#DIV/0!</v>
      </c>
      <c r="K21" s="228" t="e">
        <f t="shared" si="57"/>
        <v>#DIV/0!</v>
      </c>
      <c r="L21" s="228" t="e">
        <f t="shared" si="58"/>
        <v>#DIV/0!</v>
      </c>
      <c r="M21" s="228">
        <f t="shared" si="59"/>
        <v>0</v>
      </c>
      <c r="N21" s="228" t="e">
        <f t="shared" si="60"/>
        <v>#DIV/0!</v>
      </c>
      <c r="O21" s="237">
        <f t="shared" si="61"/>
        <v>0.67236514522821578</v>
      </c>
      <c r="Q21" s="65" t="s">
        <v>280</v>
      </c>
      <c r="R21" s="65" t="s">
        <v>159</v>
      </c>
      <c r="S21" s="174">
        <f>'25年PDCA'!AM32</f>
        <v>0</v>
      </c>
      <c r="T21" s="174">
        <f>'25年PDCA'!AN32</f>
        <v>0</v>
      </c>
      <c r="U21" s="174">
        <f>'25年PDCA'!AO32</f>
        <v>0</v>
      </c>
      <c r="V21" s="174">
        <f>'25年PDCA'!AP32</f>
        <v>5004</v>
      </c>
      <c r="W21" s="174">
        <f>'25年PDCA'!AQ32</f>
        <v>0</v>
      </c>
      <c r="X21" s="174">
        <f>'25年PDCA'!AR32</f>
        <v>11200</v>
      </c>
      <c r="Y21" s="174">
        <f>'25年PDCA'!AS32</f>
        <v>0</v>
      </c>
      <c r="Z21" s="174">
        <f>'25年PDCA'!AT32</f>
        <v>0</v>
      </c>
      <c r="AA21" s="174">
        <f>'25年PDCA'!AU32</f>
        <v>0</v>
      </c>
      <c r="AB21" s="174">
        <f>'25年PDCA'!AV32</f>
        <v>0</v>
      </c>
      <c r="AC21" s="174">
        <f>'25年PDCA'!AW32</f>
        <v>0</v>
      </c>
      <c r="AD21" s="174">
        <f>'25年PDCA'!AX32</f>
        <v>0</v>
      </c>
      <c r="AE21" s="235">
        <f t="shared" si="14"/>
        <v>16204</v>
      </c>
      <c r="AG21" s="65" t="s">
        <v>280</v>
      </c>
      <c r="AH21" s="65" t="s">
        <v>159</v>
      </c>
      <c r="AI21" s="174">
        <v>0</v>
      </c>
      <c r="AJ21" s="174">
        <v>0</v>
      </c>
      <c r="AK21" s="174">
        <v>0</v>
      </c>
      <c r="AL21" s="174">
        <v>3900</v>
      </c>
      <c r="AM21" s="174">
        <v>5200</v>
      </c>
      <c r="AN21" s="174">
        <v>9000</v>
      </c>
      <c r="AO21" s="174">
        <v>0</v>
      </c>
      <c r="AP21" s="174">
        <v>0</v>
      </c>
      <c r="AQ21" s="174">
        <v>0</v>
      </c>
      <c r="AR21" s="174">
        <v>0</v>
      </c>
      <c r="AS21" s="174">
        <v>6000</v>
      </c>
      <c r="AT21" s="174">
        <v>0</v>
      </c>
      <c r="AU21" s="69">
        <f t="shared" si="18"/>
        <v>24100</v>
      </c>
      <c r="AV21" s="180">
        <v>20973.590636363599</v>
      </c>
      <c r="AW21" s="221">
        <f t="shared" si="48"/>
        <v>3126.4093636364014</v>
      </c>
      <c r="AX21" s="219">
        <f>AU21/$AU$23</f>
        <v>7.6620003005419393E-2</v>
      </c>
    </row>
    <row r="22" spans="1:50" ht="12" thickBot="1">
      <c r="A22" s="215" t="s">
        <v>282</v>
      </c>
      <c r="B22" s="215" t="s">
        <v>160</v>
      </c>
      <c r="C22" s="236">
        <f t="shared" si="49"/>
        <v>0.73054204632752096</v>
      </c>
      <c r="D22" s="236">
        <f t="shared" si="50"/>
        <v>0.35521720138333029</v>
      </c>
      <c r="E22" s="236">
        <f t="shared" si="51"/>
        <v>0.74969211706937033</v>
      </c>
      <c r="F22" s="236">
        <f t="shared" si="52"/>
        <v>0.49951654057083622</v>
      </c>
      <c r="G22" s="236">
        <f t="shared" si="53"/>
        <v>0.93439237612164072</v>
      </c>
      <c r="H22" s="236">
        <f t="shared" si="54"/>
        <v>0.86616855347215505</v>
      </c>
      <c r="I22" s="236">
        <f t="shared" si="55"/>
        <v>0.93757081718660995</v>
      </c>
      <c r="J22" s="236">
        <f t="shared" si="56"/>
        <v>0</v>
      </c>
      <c r="K22" s="236">
        <f t="shared" si="57"/>
        <v>0</v>
      </c>
      <c r="L22" s="236">
        <f t="shared" si="58"/>
        <v>0</v>
      </c>
      <c r="M22" s="236">
        <f t="shared" si="59"/>
        <v>0</v>
      </c>
      <c r="N22" s="236">
        <f t="shared" si="60"/>
        <v>0</v>
      </c>
      <c r="O22" s="238">
        <f t="shared" si="61"/>
        <v>0.39740028587782839</v>
      </c>
      <c r="Q22" s="215" t="s">
        <v>282</v>
      </c>
      <c r="R22" s="215" t="s">
        <v>160</v>
      </c>
      <c r="S22" s="233">
        <f>'25年PDCA'!AM33</f>
        <v>3895.0635454545454</v>
      </c>
      <c r="T22" s="233">
        <f>'25年PDCA'!AN33</f>
        <v>1893.9273636363635</v>
      </c>
      <c r="U22" s="233">
        <f>'25年PDCA'!AO33</f>
        <v>3463.8222727272719</v>
      </c>
      <c r="V22" s="233">
        <f>'25年PDCA'!AP33</f>
        <v>2307.9294545454541</v>
      </c>
      <c r="W22" s="233">
        <f>'25年PDCA'!AQ33</f>
        <v>5646.6850909090899</v>
      </c>
      <c r="X22" s="233">
        <f>'25年PDCA'!AR33</f>
        <v>7699.2294545454552</v>
      </c>
      <c r="Y22" s="233">
        <f>'25年PDCA'!AS33</f>
        <v>9000.9172727272726</v>
      </c>
      <c r="Z22" s="233">
        <f>'25年PDCA'!AT33</f>
        <v>0</v>
      </c>
      <c r="AA22" s="233">
        <f>'25年PDCA'!AU33</f>
        <v>0</v>
      </c>
      <c r="AB22" s="233">
        <f>'25年PDCA'!AV33</f>
        <v>0</v>
      </c>
      <c r="AC22" s="233">
        <f>'25年PDCA'!AW33</f>
        <v>0</v>
      </c>
      <c r="AD22" s="233">
        <f>'25年PDCA'!AX33</f>
        <v>0</v>
      </c>
      <c r="AE22" s="234">
        <f t="shared" si="14"/>
        <v>33907.574454545458</v>
      </c>
      <c r="AG22" s="215" t="s">
        <v>282</v>
      </c>
      <c r="AH22" s="215" t="s">
        <v>160</v>
      </c>
      <c r="AI22" s="216">
        <v>5331.7445108536403</v>
      </c>
      <c r="AJ22" s="216">
        <v>5331.7445108536403</v>
      </c>
      <c r="AK22" s="216">
        <v>4620.3263898088426</v>
      </c>
      <c r="AL22" s="216">
        <v>4620.3263898088426</v>
      </c>
      <c r="AM22" s="216">
        <v>6043.1626318984381</v>
      </c>
      <c r="AN22" s="216">
        <v>8888.8351160776292</v>
      </c>
      <c r="AO22" s="216">
        <v>9600.2532371224279</v>
      </c>
      <c r="AP22" s="216">
        <v>8177.4169950328323</v>
      </c>
      <c r="AQ22" s="216">
        <v>8177.4169950328323</v>
      </c>
      <c r="AR22" s="216">
        <v>8177.4169950328323</v>
      </c>
      <c r="AS22" s="216">
        <v>8177.4169950328323</v>
      </c>
      <c r="AT22" s="216">
        <v>8177.4169950328323</v>
      </c>
      <c r="AU22" s="218">
        <f t="shared" si="18"/>
        <v>85323.477761587637</v>
      </c>
      <c r="AV22" s="180">
        <v>63132.13</v>
      </c>
      <c r="AW22" s="221">
        <f t="shared" si="48"/>
        <v>22191.34776158764</v>
      </c>
      <c r="AX22" s="219">
        <f>AU22/$AU$23</f>
        <v>0.2712649428433892</v>
      </c>
    </row>
    <row r="23" spans="1:50" ht="12" thickTop="1">
      <c r="A23" s="176" t="s">
        <v>38</v>
      </c>
      <c r="B23" s="176"/>
      <c r="C23" s="226">
        <f>S23/AI23</f>
        <v>0.87636041242065754</v>
      </c>
      <c r="D23" s="226">
        <f t="shared" si="50"/>
        <v>0.78324583667745329</v>
      </c>
      <c r="E23" s="226">
        <f t="shared" si="51"/>
        <v>0.88911435805147598</v>
      </c>
      <c r="F23" s="226">
        <f t="shared" si="52"/>
        <v>0.84113749968748786</v>
      </c>
      <c r="G23" s="226">
        <f t="shared" si="53"/>
        <v>0.6134947315611694</v>
      </c>
      <c r="H23" s="226">
        <f t="shared" si="54"/>
        <v>1.0029010168401635</v>
      </c>
      <c r="I23" s="226">
        <f t="shared" si="55"/>
        <v>0.80380158309914673</v>
      </c>
      <c r="J23" s="226">
        <f t="shared" si="56"/>
        <v>0</v>
      </c>
      <c r="K23" s="226">
        <f t="shared" si="57"/>
        <v>0</v>
      </c>
      <c r="L23" s="226">
        <f t="shared" si="58"/>
        <v>0</v>
      </c>
      <c r="M23" s="226">
        <f t="shared" si="59"/>
        <v>0</v>
      </c>
      <c r="N23" s="226">
        <f t="shared" si="60"/>
        <v>0</v>
      </c>
      <c r="O23" s="226">
        <f t="shared" si="60"/>
        <v>0.44141205589424332</v>
      </c>
      <c r="Q23" s="65" t="s">
        <v>38</v>
      </c>
      <c r="S23" s="69">
        <f t="shared" ref="S23:AD23" si="62">S7+S12+S17+SUM(S18:S22)</f>
        <v>15672.412636363635</v>
      </c>
      <c r="T23" s="69">
        <f t="shared" si="62"/>
        <v>15550.045545454544</v>
      </c>
      <c r="U23" s="69">
        <f>U7+U12+U17+SUM(U18:U22)</f>
        <v>16833.046818181818</v>
      </c>
      <c r="V23" s="69">
        <f t="shared" si="62"/>
        <v>19244.573999999997</v>
      </c>
      <c r="W23" s="69">
        <f t="shared" si="62"/>
        <v>16286.011909090908</v>
      </c>
      <c r="X23" s="69">
        <f t="shared" si="62"/>
        <v>34235.230363636365</v>
      </c>
      <c r="Y23" s="69">
        <f t="shared" si="62"/>
        <v>21020.105636363638</v>
      </c>
      <c r="Z23" s="69">
        <f t="shared" si="62"/>
        <v>0</v>
      </c>
      <c r="AA23" s="69">
        <f t="shared" si="62"/>
        <v>0</v>
      </c>
      <c r="AB23" s="69">
        <f t="shared" si="62"/>
        <v>0</v>
      </c>
      <c r="AC23" s="69">
        <f t="shared" si="62"/>
        <v>0</v>
      </c>
      <c r="AD23" s="69">
        <f t="shared" si="62"/>
        <v>0</v>
      </c>
      <c r="AE23" s="69">
        <f>AE7+AE12+AE17+SUM(AE18:AE22)</f>
        <v>138841.42690909092</v>
      </c>
      <c r="AG23" s="65" t="s">
        <v>38</v>
      </c>
      <c r="AI23" s="69">
        <f t="shared" ref="AI23:AT23" si="63">AI7+AI12+AI17+SUM(AI18:AI22)</f>
        <v>17883.52419191751</v>
      </c>
      <c r="AJ23" s="69">
        <f t="shared" si="63"/>
        <v>19853.339548433723</v>
      </c>
      <c r="AK23" s="69">
        <f t="shared" si="63"/>
        <v>18932.375420268778</v>
      </c>
      <c r="AL23" s="69">
        <f t="shared" si="63"/>
        <v>22879.224867694084</v>
      </c>
      <c r="AM23" s="69">
        <f t="shared" si="63"/>
        <v>26546.294648118077</v>
      </c>
      <c r="AN23" s="69">
        <f t="shared" si="63"/>
        <v>34136.200670631661</v>
      </c>
      <c r="AO23" s="69">
        <f t="shared" si="63"/>
        <v>26150.863693647225</v>
      </c>
      <c r="AP23" s="69">
        <f t="shared" si="63"/>
        <v>26313.249626255663</v>
      </c>
      <c r="AQ23" s="69">
        <f t="shared" si="63"/>
        <v>28026.178162571508</v>
      </c>
      <c r="AR23" s="69">
        <f t="shared" si="63"/>
        <v>29098.118062523714</v>
      </c>
      <c r="AS23" s="69">
        <f t="shared" si="63"/>
        <v>34888.080689748647</v>
      </c>
      <c r="AT23" s="69">
        <f t="shared" si="63"/>
        <v>29831.822862428133</v>
      </c>
      <c r="AU23" s="214">
        <f>AU7+AU12+AU17+AU18+AU19+AU20+AU21+AU22</f>
        <v>314539.27244423871</v>
      </c>
      <c r="AV23" s="180">
        <f>SUM(AV17,AV18:AV22)</f>
        <v>237624.22096969694</v>
      </c>
      <c r="AW23" s="221">
        <f t="shared" si="48"/>
        <v>76915.051474541775</v>
      </c>
    </row>
    <row r="24" spans="1:50">
      <c r="A24" s="194" t="s">
        <v>317</v>
      </c>
      <c r="B24" s="176"/>
      <c r="C24" s="240">
        <f>S23-AI23</f>
        <v>-2211.1115555538745</v>
      </c>
      <c r="D24" s="240">
        <f t="shared" ref="D24:E24" si="64">T23-AJ23</f>
        <v>-4303.2940029791789</v>
      </c>
      <c r="E24" s="240">
        <f t="shared" si="64"/>
        <v>-2099.32860208696</v>
      </c>
      <c r="F24" s="240"/>
      <c r="G24" s="240"/>
      <c r="H24" s="240"/>
      <c r="I24" s="240"/>
      <c r="J24" s="240"/>
      <c r="K24" s="240"/>
      <c r="L24" s="240"/>
      <c r="M24" s="240"/>
      <c r="N24" s="240"/>
      <c r="O24" s="240">
        <f>SUM(C24:N24)</f>
        <v>-8613.7341606200134</v>
      </c>
      <c r="P24" s="69"/>
      <c r="Q24" s="69"/>
      <c r="S24" s="65"/>
      <c r="T24" s="188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</row>
    <row r="25" spans="1:50">
      <c r="A25" s="188"/>
      <c r="C25" s="65"/>
      <c r="P25" s="69"/>
      <c r="Q25" s="69"/>
      <c r="S25" s="65"/>
      <c r="T25" s="188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G25" s="65" t="s">
        <v>318</v>
      </c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</row>
    <row r="26" spans="1:50">
      <c r="A26" s="188"/>
      <c r="C26" s="65"/>
      <c r="P26" s="69"/>
      <c r="Q26" s="69"/>
      <c r="S26" s="65"/>
      <c r="T26" s="188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</row>
    <row r="27" spans="1:50">
      <c r="C27" s="65"/>
      <c r="P27" s="69"/>
      <c r="Q27" s="69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</row>
    <row r="28" spans="1:50">
      <c r="C28" s="65"/>
      <c r="P28" s="69"/>
      <c r="Q28" s="69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</row>
    <row r="29" spans="1:50">
      <c r="C29" s="65"/>
      <c r="P29" s="69"/>
      <c r="Q29" s="69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</row>
    <row r="30" spans="1:50">
      <c r="C30" s="65"/>
      <c r="P30" s="69"/>
      <c r="Q30" s="69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</row>
    <row r="31" spans="1:50">
      <c r="C31" s="65"/>
      <c r="P31" s="69"/>
      <c r="Q31" s="69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</row>
    <row r="32" spans="1:50">
      <c r="C32" s="65"/>
      <c r="P32" s="69"/>
      <c r="Q32" s="69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</row>
    <row r="33" s="65" customFormat="1"/>
    <row r="34" s="65" customFormat="1"/>
    <row r="35" s="230" customFormat="1"/>
    <row r="36" s="65" customFormat="1"/>
    <row r="37" s="65" customFormat="1"/>
    <row r="38" s="65" customFormat="1"/>
    <row r="39" s="65" customFormat="1"/>
    <row r="40" s="65" customFormat="1"/>
    <row r="41" s="65" customFormat="1"/>
    <row r="42" s="65" customFormat="1"/>
    <row r="43" s="65" customFormat="1"/>
    <row r="44" s="65" customFormat="1"/>
    <row r="45" s="65" customFormat="1"/>
    <row r="46" s="65" customFormat="1"/>
    <row r="47" s="65" customFormat="1"/>
    <row r="48" s="65" customFormat="1"/>
    <row r="49" spans="1:48"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</row>
    <row r="50" spans="1:48"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</row>
    <row r="51" spans="1:48"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</row>
    <row r="52" spans="1:48"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</row>
    <row r="53" spans="1:48"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</row>
    <row r="54" spans="1:48"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</row>
    <row r="55" spans="1:48">
      <c r="A55" s="188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</row>
    <row r="56" spans="1:48">
      <c r="A56" s="188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</row>
    <row r="57" spans="1:48">
      <c r="A57" s="188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</row>
    <row r="58" spans="1:48">
      <c r="A58" s="188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</row>
    <row r="59" spans="1:48">
      <c r="A59" s="188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</row>
    <row r="60" spans="1:48"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</row>
    <row r="61" spans="1:48"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</row>
    <row r="62" spans="1:48"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</row>
    <row r="63" spans="1:48" s="230" customFormat="1"/>
    <row r="64" spans="1:48"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</row>
    <row r="65" s="65" customFormat="1"/>
    <row r="66" s="65" customFormat="1"/>
    <row r="67" s="65" customFormat="1"/>
    <row r="68" s="65" customFormat="1"/>
    <row r="69" s="65" customFormat="1"/>
    <row r="70" s="65" customFormat="1"/>
    <row r="71" s="65" customFormat="1"/>
    <row r="72" s="65" customFormat="1"/>
    <row r="73" s="65" customFormat="1"/>
    <row r="74" s="65" customFormat="1"/>
    <row r="75" s="65" customFormat="1"/>
    <row r="76" s="65" customFormat="1"/>
    <row r="77" s="65" customFormat="1"/>
    <row r="78" s="65" customFormat="1"/>
    <row r="79" s="65" customFormat="1"/>
    <row r="80" s="65" customFormat="1"/>
    <row r="81" spans="1:48"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</row>
    <row r="82" spans="1:48"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</row>
    <row r="83" spans="1:48">
      <c r="A83" s="188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</row>
    <row r="84" spans="1:48">
      <c r="A84" s="188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</row>
    <row r="85" spans="1:48">
      <c r="A85" s="188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</row>
    <row r="86" spans="1:48">
      <c r="A86" s="188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</row>
    <row r="87" spans="1:48">
      <c r="A87" s="188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</row>
    <row r="88" spans="1:48"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</row>
    <row r="89" spans="1:48"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</row>
    <row r="90" spans="1:48"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</row>
    <row r="91" spans="1:48" s="231" customFormat="1"/>
    <row r="92" spans="1:48">
      <c r="A92" s="188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</row>
    <row r="93" spans="1:48">
      <c r="A93" s="188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</row>
    <row r="94" spans="1:48">
      <c r="A94" s="188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</row>
    <row r="95" spans="1:48">
      <c r="A95" s="188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</row>
    <row r="96" spans="1:48"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</row>
    <row r="97" spans="2:48">
      <c r="B97" s="69"/>
      <c r="K97" s="65"/>
      <c r="L97" s="65"/>
      <c r="M97" s="65"/>
      <c r="N97" s="65"/>
      <c r="O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</row>
    <row r="98" spans="2:48">
      <c r="B98" s="69"/>
      <c r="K98" s="65"/>
      <c r="L98" s="65"/>
      <c r="M98" s="65"/>
      <c r="N98" s="65"/>
      <c r="O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</row>
    <row r="99" spans="2:48">
      <c r="B99" s="69"/>
      <c r="C99" s="187"/>
      <c r="K99" s="65"/>
      <c r="L99" s="65"/>
      <c r="M99" s="65"/>
      <c r="N99" s="65"/>
      <c r="O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</row>
  </sheetData>
  <phoneticPr fontId="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A8B3-9426-4163-9A0C-3406EC57C8A5}">
  <dimension ref="A1:AZ111"/>
  <sheetViews>
    <sheetView topLeftCell="B1" workbookViewId="0">
      <selection activeCell="Y36" sqref="Y36"/>
    </sheetView>
  </sheetViews>
  <sheetFormatPr defaultColWidth="9.140625" defaultRowHeight="11.25" outlineLevelCol="1"/>
  <cols>
    <col min="1" max="1" width="14" style="65" bestFit="1" customWidth="1"/>
    <col min="2" max="2" width="22.5703125" style="65" customWidth="1"/>
    <col min="3" max="14" width="9.140625" style="69" customWidth="1" outlineLevel="1"/>
    <col min="15" max="15" width="9.140625" style="69"/>
    <col min="16" max="16" width="9.140625" style="65"/>
    <col min="17" max="17" width="14" style="65" bestFit="1" customWidth="1"/>
    <col min="18" max="18" width="22.5703125" style="65" customWidth="1"/>
    <col min="19" max="31" width="9.140625" style="69" customWidth="1" outlineLevel="1"/>
    <col min="32" max="32" width="9.140625" style="69" customWidth="1"/>
    <col min="33" max="33" width="9.140625" style="65"/>
    <col min="34" max="34" width="13.7109375" style="65" customWidth="1"/>
    <col min="35" max="35" width="22.5703125" style="65" customWidth="1"/>
    <col min="36" max="48" width="9.140625" style="69" customWidth="1" outlineLevel="1"/>
    <col min="49" max="50" width="9.140625" style="69"/>
    <col min="51" max="51" width="11" style="65" bestFit="1" customWidth="1"/>
    <col min="52" max="52" width="12" style="65" bestFit="1" customWidth="1"/>
    <col min="53" max="16384" width="9.140625" style="65"/>
  </cols>
  <sheetData>
    <row r="1" spans="1:52" ht="12" thickBot="1">
      <c r="A1" s="171" t="s">
        <v>253</v>
      </c>
      <c r="B1" s="171" t="s">
        <v>253</v>
      </c>
      <c r="C1" s="171" t="s">
        <v>253</v>
      </c>
      <c r="D1" s="171" t="s">
        <v>253</v>
      </c>
      <c r="E1" s="171" t="s">
        <v>253</v>
      </c>
      <c r="F1" s="171" t="s">
        <v>253</v>
      </c>
      <c r="G1" s="171" t="s">
        <v>253</v>
      </c>
      <c r="H1" s="171" t="s">
        <v>253</v>
      </c>
      <c r="I1" s="171" t="s">
        <v>253</v>
      </c>
      <c r="J1" s="171" t="s">
        <v>253</v>
      </c>
      <c r="K1" s="171" t="s">
        <v>253</v>
      </c>
      <c r="L1" s="171" t="s">
        <v>253</v>
      </c>
      <c r="M1" s="171" t="s">
        <v>253</v>
      </c>
      <c r="N1" s="171" t="s">
        <v>253</v>
      </c>
      <c r="O1" s="171" t="s">
        <v>253</v>
      </c>
      <c r="Q1" s="171" t="s">
        <v>142</v>
      </c>
      <c r="R1" s="171" t="s">
        <v>142</v>
      </c>
      <c r="S1" s="171" t="s">
        <v>142</v>
      </c>
      <c r="T1" s="171" t="s">
        <v>142</v>
      </c>
      <c r="U1" s="171" t="s">
        <v>142</v>
      </c>
      <c r="V1" s="171"/>
      <c r="W1" s="171" t="s">
        <v>142</v>
      </c>
      <c r="X1" s="171" t="s">
        <v>142</v>
      </c>
      <c r="Y1" s="171" t="s">
        <v>142</v>
      </c>
      <c r="Z1" s="171" t="s">
        <v>142</v>
      </c>
      <c r="AA1" s="171" t="s">
        <v>142</v>
      </c>
      <c r="AB1" s="171" t="s">
        <v>142</v>
      </c>
      <c r="AC1" s="171" t="s">
        <v>142</v>
      </c>
      <c r="AD1" s="171" t="s">
        <v>142</v>
      </c>
      <c r="AE1" s="171" t="s">
        <v>142</v>
      </c>
      <c r="AF1" s="171" t="s">
        <v>142</v>
      </c>
      <c r="AH1" s="171" t="s">
        <v>143</v>
      </c>
      <c r="AI1" s="171" t="s">
        <v>143</v>
      </c>
      <c r="AJ1" s="171" t="s">
        <v>143</v>
      </c>
      <c r="AK1" s="171" t="s">
        <v>143</v>
      </c>
      <c r="AL1" s="171" t="s">
        <v>143</v>
      </c>
      <c r="AM1" s="171"/>
      <c r="AN1" s="171" t="s">
        <v>143</v>
      </c>
      <c r="AO1" s="171" t="s">
        <v>143</v>
      </c>
      <c r="AP1" s="171" t="s">
        <v>143</v>
      </c>
      <c r="AQ1" s="171" t="s">
        <v>143</v>
      </c>
      <c r="AR1" s="171" t="s">
        <v>143</v>
      </c>
      <c r="AS1" s="171" t="s">
        <v>143</v>
      </c>
      <c r="AT1" s="171" t="s">
        <v>143</v>
      </c>
      <c r="AU1" s="171" t="s">
        <v>143</v>
      </c>
      <c r="AV1" s="171" t="s">
        <v>143</v>
      </c>
      <c r="AW1" s="171" t="s">
        <v>143</v>
      </c>
    </row>
    <row r="2" spans="1:52" s="185" customFormat="1" ht="12" thickBot="1">
      <c r="A2" s="185" t="s">
        <v>37</v>
      </c>
      <c r="C2" s="186" t="s">
        <v>188</v>
      </c>
      <c r="D2" s="186" t="s">
        <v>312</v>
      </c>
      <c r="E2" s="186" t="s">
        <v>191</v>
      </c>
      <c r="F2" s="186" t="s">
        <v>192</v>
      </c>
      <c r="G2" s="186" t="s">
        <v>193</v>
      </c>
      <c r="H2" s="186" t="s">
        <v>194</v>
      </c>
      <c r="I2" s="186" t="s">
        <v>195</v>
      </c>
      <c r="J2" s="186" t="s">
        <v>196</v>
      </c>
      <c r="K2" s="186" t="s">
        <v>197</v>
      </c>
      <c r="L2" s="186" t="s">
        <v>198</v>
      </c>
      <c r="M2" s="186" t="s">
        <v>199</v>
      </c>
      <c r="N2" s="186" t="s">
        <v>200</v>
      </c>
      <c r="O2" s="186" t="s">
        <v>38</v>
      </c>
      <c r="Q2" s="340" t="s">
        <v>37</v>
      </c>
      <c r="R2" s="375"/>
      <c r="S2" s="341" t="s">
        <v>188</v>
      </c>
      <c r="T2" s="341" t="s">
        <v>312</v>
      </c>
      <c r="U2" s="341" t="s">
        <v>191</v>
      </c>
      <c r="V2" s="342" t="s">
        <v>319</v>
      </c>
      <c r="W2" s="186" t="s">
        <v>192</v>
      </c>
      <c r="X2" s="186" t="s">
        <v>193</v>
      </c>
      <c r="Y2" s="186" t="s">
        <v>194</v>
      </c>
      <c r="Z2" s="186" t="s">
        <v>195</v>
      </c>
      <c r="AA2" s="186" t="s">
        <v>196</v>
      </c>
      <c r="AB2" s="186" t="s">
        <v>197</v>
      </c>
      <c r="AC2" s="186" t="s">
        <v>198</v>
      </c>
      <c r="AD2" s="186" t="s">
        <v>199</v>
      </c>
      <c r="AE2" s="186" t="s">
        <v>200</v>
      </c>
      <c r="AF2" s="186" t="s">
        <v>38</v>
      </c>
      <c r="AH2" s="404" t="s">
        <v>37</v>
      </c>
      <c r="AI2" s="405"/>
      <c r="AJ2" s="406" t="s">
        <v>188</v>
      </c>
      <c r="AK2" s="406" t="s">
        <v>312</v>
      </c>
      <c r="AL2" s="406" t="s">
        <v>191</v>
      </c>
      <c r="AM2" s="407" t="s">
        <v>319</v>
      </c>
      <c r="AN2" s="186" t="s">
        <v>192</v>
      </c>
      <c r="AO2" s="186" t="s">
        <v>193</v>
      </c>
      <c r="AP2" s="186" t="s">
        <v>194</v>
      </c>
      <c r="AQ2" s="186" t="s">
        <v>195</v>
      </c>
      <c r="AR2" s="186" t="s">
        <v>196</v>
      </c>
      <c r="AS2" s="186" t="s">
        <v>197</v>
      </c>
      <c r="AT2" s="186" t="s">
        <v>198</v>
      </c>
      <c r="AU2" s="186" t="s">
        <v>199</v>
      </c>
      <c r="AV2" s="186" t="s">
        <v>200</v>
      </c>
      <c r="AW2" s="186" t="s">
        <v>38</v>
      </c>
      <c r="AX2" s="186" t="s">
        <v>255</v>
      </c>
      <c r="AY2" s="185" t="s">
        <v>256</v>
      </c>
      <c r="AZ2" s="185" t="s">
        <v>257</v>
      </c>
    </row>
    <row r="3" spans="1:52">
      <c r="A3" s="65" t="s">
        <v>46</v>
      </c>
      <c r="B3" s="65" t="s">
        <v>260</v>
      </c>
      <c r="C3" s="228">
        <f>S3/AJ3</f>
        <v>0</v>
      </c>
      <c r="D3" s="228">
        <f>T3/AK3</f>
        <v>0</v>
      </c>
      <c r="E3" s="228">
        <f>U3/AL3</f>
        <v>0</v>
      </c>
      <c r="F3" s="228">
        <f t="shared" ref="F3:O6" si="0">W3/AN3</f>
        <v>0</v>
      </c>
      <c r="G3" s="228">
        <f t="shared" si="0"/>
        <v>0</v>
      </c>
      <c r="H3" s="228">
        <f t="shared" si="0"/>
        <v>0</v>
      </c>
      <c r="I3" s="228">
        <f t="shared" si="0"/>
        <v>0</v>
      </c>
      <c r="J3" s="228">
        <f t="shared" si="0"/>
        <v>0</v>
      </c>
      <c r="K3" s="228">
        <f t="shared" si="0"/>
        <v>0</v>
      </c>
      <c r="L3" s="228">
        <f t="shared" si="0"/>
        <v>0</v>
      </c>
      <c r="M3" s="228">
        <f t="shared" si="0"/>
        <v>0</v>
      </c>
      <c r="N3" s="228">
        <f t="shared" si="0"/>
        <v>0</v>
      </c>
      <c r="O3" s="228">
        <f t="shared" si="0"/>
        <v>0</v>
      </c>
      <c r="Q3" s="343" t="s">
        <v>46</v>
      </c>
      <c r="R3" s="79" t="s">
        <v>260</v>
      </c>
      <c r="S3" s="243">
        <f>SUM('25年PDCA'!AM5,'25年PDCA'!AM10,'25年PDCA'!AM15)</f>
        <v>0</v>
      </c>
      <c r="T3" s="243">
        <f>SUM('25年PDCA'!AN5,'25年PDCA'!AN10,'25年PDCA'!AN15)</f>
        <v>0</v>
      </c>
      <c r="U3" s="243">
        <f>SUM('25年PDCA'!AO5,'25年PDCA'!AO10,'25年PDCA'!AO15)</f>
        <v>0</v>
      </c>
      <c r="V3" s="344">
        <f>SUM(S3:U3)</f>
        <v>0</v>
      </c>
      <c r="W3" s="174">
        <f>SUM('25年PDCA'!AP5,'25年PDCA'!AP10,'25年PDCA'!AP15)</f>
        <v>0</v>
      </c>
      <c r="X3" s="174">
        <f>SUM('25年PDCA'!AQ5,'25年PDCA'!AQ10,'25年PDCA'!AQ15)</f>
        <v>0</v>
      </c>
      <c r="Y3" s="174">
        <f>SUM('25年PDCA'!AR5,'25年PDCA'!AR10,'25年PDCA'!AR15)</f>
        <v>0</v>
      </c>
      <c r="Z3" s="174">
        <f>SUM('25年PDCA'!AS5,'25年PDCA'!AS10,'25年PDCA'!AS15)</f>
        <v>0</v>
      </c>
      <c r="AA3" s="174">
        <f>SUM('25年PDCA'!AT5,'25年PDCA'!AT10,'25年PDCA'!AT15)</f>
        <v>0</v>
      </c>
      <c r="AB3" s="174">
        <f>SUM('25年PDCA'!AU5,'25年PDCA'!AU10,'25年PDCA'!AU15)</f>
        <v>0</v>
      </c>
      <c r="AC3" s="174">
        <f>SUM('25年PDCA'!AV5,'25年PDCA'!AV10,'25年PDCA'!AV15)</f>
        <v>0</v>
      </c>
      <c r="AD3" s="174">
        <f>SUM('25年PDCA'!AW5,'25年PDCA'!AW10,'25年PDCA'!AW15)</f>
        <v>0</v>
      </c>
      <c r="AE3" s="174">
        <f>SUM('25年PDCA'!AX5,'25年PDCA'!AX10,'25年PDCA'!AX15)</f>
        <v>0</v>
      </c>
      <c r="AF3" s="69">
        <f>SUM(S3:AE3)</f>
        <v>0</v>
      </c>
      <c r="AH3" s="690" t="s">
        <v>46</v>
      </c>
      <c r="AI3" s="402" t="s">
        <v>260</v>
      </c>
      <c r="AJ3" s="165">
        <v>452.31440326530611</v>
      </c>
      <c r="AK3" s="165">
        <v>904.62880653061222</v>
      </c>
      <c r="AL3" s="165">
        <v>1356.9432097959184</v>
      </c>
      <c r="AM3" s="403">
        <f>SUM(AJ3:AL3)</f>
        <v>2713.8864195918368</v>
      </c>
      <c r="AN3" s="398">
        <v>1809.2576130612244</v>
      </c>
      <c r="AO3" s="68">
        <v>2261.5720163265305</v>
      </c>
      <c r="AP3" s="68">
        <v>2713.8864195918368</v>
      </c>
      <c r="AQ3" s="68">
        <v>3166.2008228571431</v>
      </c>
      <c r="AR3" s="68">
        <v>3618.5152261224493</v>
      </c>
      <c r="AS3" s="68">
        <v>4462.8354455510207</v>
      </c>
      <c r="AT3" s="68">
        <v>5307.1556649795921</v>
      </c>
      <c r="AU3" s="68">
        <v>6151.4758844081634</v>
      </c>
      <c r="AV3" s="68">
        <v>6995.7961038367348</v>
      </c>
      <c r="AW3" s="68">
        <f>SUM(AJ3:AV3)</f>
        <v>41914.468035918369</v>
      </c>
      <c r="AX3" s="180"/>
    </row>
    <row r="4" spans="1:52">
      <c r="A4" s="175" t="s">
        <v>46</v>
      </c>
      <c r="B4" s="65" t="s">
        <v>24</v>
      </c>
      <c r="C4" s="228">
        <f t="shared" ref="C4:C6" si="1">S4/AJ4</f>
        <v>2.3077621852806702</v>
      </c>
      <c r="D4" s="228">
        <f t="shared" ref="D4:E6" si="2">T4/AK4</f>
        <v>0.85022708834567207</v>
      </c>
      <c r="E4" s="228">
        <f t="shared" si="2"/>
        <v>0.85022688007903613</v>
      </c>
      <c r="F4" s="228">
        <f t="shared" si="0"/>
        <v>0.72876754846749914</v>
      </c>
      <c r="G4" s="228">
        <f t="shared" si="0"/>
        <v>0.68018017115676122</v>
      </c>
      <c r="H4" s="228">
        <f t="shared" si="0"/>
        <v>0.56681910023029247</v>
      </c>
      <c r="I4" s="228">
        <f t="shared" si="0"/>
        <v>0.31232944025742637</v>
      </c>
      <c r="J4" s="228">
        <f t="shared" si="0"/>
        <v>0</v>
      </c>
      <c r="K4" s="228">
        <f t="shared" si="0"/>
        <v>0</v>
      </c>
      <c r="L4" s="228">
        <f t="shared" si="0"/>
        <v>0</v>
      </c>
      <c r="M4" s="228">
        <f t="shared" si="0"/>
        <v>0</v>
      </c>
      <c r="N4" s="228">
        <f t="shared" si="0"/>
        <v>0</v>
      </c>
      <c r="O4" s="228">
        <f t="shared" si="0"/>
        <v>0.29786887782447369</v>
      </c>
      <c r="Q4" s="345" t="s">
        <v>46</v>
      </c>
      <c r="R4" s="79" t="s">
        <v>24</v>
      </c>
      <c r="S4" s="243">
        <f>SUM('25年PDCA'!AM6,'25年PDCA'!AM11,'25年PDCA'!AM16)</f>
        <v>167.89099999999999</v>
      </c>
      <c r="T4" s="243">
        <f>SUM('25年PDCA'!AN6,'25年PDCA'!AN11,'25年PDCA'!AN16)</f>
        <v>123.709</v>
      </c>
      <c r="U4" s="243">
        <f>SUM('25年PDCA'!AO6,'25年PDCA'!AO11,'25年PDCA'!AO16)</f>
        <v>185.56345454545448</v>
      </c>
      <c r="V4" s="344">
        <f t="shared" ref="V4:V34" si="3">SUM(S4:U4)</f>
        <v>477.1634545454545</v>
      </c>
      <c r="W4" s="174">
        <f>SUM('25年PDCA'!AP6,'25年PDCA'!AP11,'25年PDCA'!AP16)</f>
        <v>212.07300000000001</v>
      </c>
      <c r="X4" s="174">
        <f>SUM('25年PDCA'!AQ6,'25年PDCA'!AQ11,'25年PDCA'!AQ16)</f>
        <v>247.41745454545449</v>
      </c>
      <c r="Y4" s="174">
        <f>SUM('25年PDCA'!AR6,'25年PDCA'!AR11,'25年PDCA'!AR16)</f>
        <v>247.41845454545449</v>
      </c>
      <c r="Z4" s="174">
        <f>SUM('25年PDCA'!AS6,'25年PDCA'!AS11,'25年PDCA'!AS16)</f>
        <v>159.05500000000001</v>
      </c>
      <c r="AA4" s="174">
        <f>SUM('25年PDCA'!AT6,'25年PDCA'!AT11,'25年PDCA'!AT16)</f>
        <v>0</v>
      </c>
      <c r="AB4" s="174">
        <f>SUM('25年PDCA'!AU6,'25年PDCA'!AU11,'25年PDCA'!AU16)</f>
        <v>0</v>
      </c>
      <c r="AC4" s="174">
        <f>SUM('25年PDCA'!AV6,'25年PDCA'!AV11,'25年PDCA'!AV16)</f>
        <v>0</v>
      </c>
      <c r="AD4" s="174">
        <f>SUM('25年PDCA'!AW6,'25年PDCA'!AW11,'25年PDCA'!AW16)</f>
        <v>0</v>
      </c>
      <c r="AE4" s="174">
        <f>SUM('25年PDCA'!AX6,'25年PDCA'!AX11,'25年PDCA'!AX16)</f>
        <v>0</v>
      </c>
      <c r="AF4" s="69">
        <f t="shared" ref="AF4:AF31" si="4">SUM(S4:AE4)</f>
        <v>1820.2908181818182</v>
      </c>
      <c r="AH4" s="691"/>
      <c r="AI4" s="84" t="s">
        <v>24</v>
      </c>
      <c r="AJ4" s="85">
        <v>72.750563758622761</v>
      </c>
      <c r="AK4" s="85">
        <v>145.50112751724552</v>
      </c>
      <c r="AL4" s="85">
        <v>218.25169127586827</v>
      </c>
      <c r="AM4" s="385">
        <f t="shared" ref="AM4:AM34" si="5">SUM(AJ4:AL4)</f>
        <v>436.50338255173654</v>
      </c>
      <c r="AN4" s="398">
        <v>291.00225503449104</v>
      </c>
      <c r="AO4" s="68">
        <v>363.75281879311382</v>
      </c>
      <c r="AP4" s="68">
        <v>436.50338255173659</v>
      </c>
      <c r="AQ4" s="68">
        <v>509.25394631035937</v>
      </c>
      <c r="AR4" s="68">
        <v>582.00451006898209</v>
      </c>
      <c r="AS4" s="68">
        <v>654.75507382760486</v>
      </c>
      <c r="AT4" s="68">
        <v>727.50563758622764</v>
      </c>
      <c r="AU4" s="68">
        <v>800.25620134485041</v>
      </c>
      <c r="AV4" s="68">
        <v>873.00676510347319</v>
      </c>
      <c r="AW4" s="68">
        <f t="shared" ref="AW4:AW31" si="6">SUM(AJ4:AV4)</f>
        <v>6111.0473557243122</v>
      </c>
      <c r="AX4" s="180"/>
    </row>
    <row r="5" spans="1:52">
      <c r="A5" s="175" t="s">
        <v>46</v>
      </c>
      <c r="B5" s="65" t="s">
        <v>262</v>
      </c>
      <c r="C5" s="228">
        <f t="shared" si="1"/>
        <v>6.3327933408581935E-2</v>
      </c>
      <c r="D5" s="228">
        <f t="shared" si="2"/>
        <v>0.93271468940990809</v>
      </c>
      <c r="E5" s="228">
        <f t="shared" si="2"/>
        <v>0.81558702117113036</v>
      </c>
      <c r="F5" s="228">
        <f t="shared" si="0"/>
        <v>0.76475508589813979</v>
      </c>
      <c r="G5" s="228">
        <f t="shared" si="0"/>
        <v>0.42195415418707594</v>
      </c>
      <c r="H5" s="228">
        <f t="shared" si="0"/>
        <v>0.51023782315796318</v>
      </c>
      <c r="I5" s="228">
        <f t="shared" si="0"/>
        <v>0.37000239259136708</v>
      </c>
      <c r="J5" s="228">
        <f t="shared" si="0"/>
        <v>0</v>
      </c>
      <c r="K5" s="228">
        <f t="shared" si="0"/>
        <v>0</v>
      </c>
      <c r="L5" s="228">
        <f t="shared" si="0"/>
        <v>0</v>
      </c>
      <c r="M5" s="228">
        <f t="shared" si="0"/>
        <v>0</v>
      </c>
      <c r="N5" s="228">
        <f t="shared" si="0"/>
        <v>0</v>
      </c>
      <c r="O5" s="228">
        <f t="shared" si="0"/>
        <v>0.2329913280130817</v>
      </c>
      <c r="Q5" s="345" t="s">
        <v>46</v>
      </c>
      <c r="R5" s="79" t="s">
        <v>262</v>
      </c>
      <c r="S5" s="243">
        <f>SUM('25年PDCA'!AM7,'25年PDCA'!AM12,'25年PDCA'!AM17)</f>
        <v>8.6</v>
      </c>
      <c r="T5" s="243">
        <f>SUM('25年PDCA'!AN7,'25年PDCA'!AN12,'25年PDCA'!AN17)</f>
        <v>253.327272727273</v>
      </c>
      <c r="U5" s="243">
        <f>SUM('25年PDCA'!AO7,'25年PDCA'!AO12,'25年PDCA'!AO17)</f>
        <v>332.27272727272702</v>
      </c>
      <c r="V5" s="344">
        <f t="shared" si="3"/>
        <v>594.20000000000005</v>
      </c>
      <c r="W5" s="174">
        <f>SUM('25年PDCA'!AP7,'25年PDCA'!AP12,'25年PDCA'!AP17)</f>
        <v>415.41818181818195</v>
      </c>
      <c r="X5" s="174">
        <f>SUM('25年PDCA'!AQ7,'25年PDCA'!AQ12,'25年PDCA'!AQ17)</f>
        <v>286.50909090909101</v>
      </c>
      <c r="Y5" s="174">
        <f>SUM('25年PDCA'!AR7,'25年PDCA'!AR12,'25年PDCA'!AR17)</f>
        <v>415.745</v>
      </c>
      <c r="Z5" s="174">
        <f>SUM('25年PDCA'!AS7,'25年PDCA'!AS12,'25年PDCA'!AS17)</f>
        <v>351.72699999999998</v>
      </c>
      <c r="AA5" s="174">
        <f>SUM('25年PDCA'!AT7,'25年PDCA'!AT12,'25年PDCA'!AT17)</f>
        <v>0</v>
      </c>
      <c r="AB5" s="174">
        <f>SUM('25年PDCA'!AU7,'25年PDCA'!AU12,'25年PDCA'!AU17)</f>
        <v>0</v>
      </c>
      <c r="AC5" s="174">
        <f>SUM('25年PDCA'!AV7,'25年PDCA'!AV12,'25年PDCA'!AV17)</f>
        <v>0</v>
      </c>
      <c r="AD5" s="174">
        <f>SUM('25年PDCA'!AW7,'25年PDCA'!AW12,'25年PDCA'!AW17)</f>
        <v>0</v>
      </c>
      <c r="AE5" s="174">
        <f>SUM('25年PDCA'!AX7,'25年PDCA'!AX12,'25年PDCA'!AX17)</f>
        <v>0</v>
      </c>
      <c r="AF5" s="69">
        <f t="shared" si="4"/>
        <v>2657.7992727272726</v>
      </c>
      <c r="AH5" s="691"/>
      <c r="AI5" s="84" t="s">
        <v>262</v>
      </c>
      <c r="AJ5" s="85">
        <v>135.80105234942917</v>
      </c>
      <c r="AK5" s="85">
        <v>271.60210469885834</v>
      </c>
      <c r="AL5" s="85">
        <v>407.40315704828754</v>
      </c>
      <c r="AM5" s="385">
        <f t="shared" si="5"/>
        <v>814.80631409657508</v>
      </c>
      <c r="AN5" s="398">
        <v>543.20420939771668</v>
      </c>
      <c r="AO5" s="68">
        <v>679.00526174714582</v>
      </c>
      <c r="AP5" s="68">
        <v>814.80631409657497</v>
      </c>
      <c r="AQ5" s="68">
        <v>950.60736644600411</v>
      </c>
      <c r="AR5" s="68">
        <v>1086.4084187954334</v>
      </c>
      <c r="AS5" s="68">
        <v>1222.2094711448626</v>
      </c>
      <c r="AT5" s="68">
        <v>1358.0105234942919</v>
      </c>
      <c r="AU5" s="68">
        <v>1493.8115758437211</v>
      </c>
      <c r="AV5" s="68">
        <v>1629.6126281931504</v>
      </c>
      <c r="AW5" s="68">
        <f t="shared" si="6"/>
        <v>11407.288397352051</v>
      </c>
      <c r="AX5" s="180"/>
    </row>
    <row r="6" spans="1:52">
      <c r="A6" s="175" t="s">
        <v>46</v>
      </c>
      <c r="B6" s="65" t="s">
        <v>26</v>
      </c>
      <c r="C6" s="228">
        <f t="shared" si="1"/>
        <v>0</v>
      </c>
      <c r="D6" s="228">
        <f t="shared" si="2"/>
        <v>0</v>
      </c>
      <c r="E6" s="228">
        <f t="shared" si="2"/>
        <v>0</v>
      </c>
      <c r="F6" s="228">
        <f t="shared" si="0"/>
        <v>0</v>
      </c>
      <c r="G6" s="228">
        <f t="shared" si="0"/>
        <v>0</v>
      </c>
      <c r="H6" s="228">
        <f t="shared" si="0"/>
        <v>0</v>
      </c>
      <c r="I6" s="228">
        <f t="shared" si="0"/>
        <v>0</v>
      </c>
      <c r="J6" s="228">
        <f t="shared" si="0"/>
        <v>0</v>
      </c>
      <c r="K6" s="228">
        <f t="shared" si="0"/>
        <v>0</v>
      </c>
      <c r="L6" s="228">
        <f t="shared" si="0"/>
        <v>0</v>
      </c>
      <c r="M6" s="228">
        <f t="shared" si="0"/>
        <v>0</v>
      </c>
      <c r="N6" s="228">
        <f t="shared" si="0"/>
        <v>0</v>
      </c>
      <c r="O6" s="228">
        <f t="shared" si="0"/>
        <v>0</v>
      </c>
      <c r="Q6" s="345" t="s">
        <v>46</v>
      </c>
      <c r="R6" s="79" t="s">
        <v>26</v>
      </c>
      <c r="S6" s="243">
        <f>SUM('25年PDCA'!AM8,'25年PDCA'!AM13,'25年PDCA'!AM18)</f>
        <v>0</v>
      </c>
      <c r="T6" s="243">
        <f>SUM('25年PDCA'!AN8,'25年PDCA'!AN13,'25年PDCA'!AN18)</f>
        <v>0</v>
      </c>
      <c r="U6" s="243">
        <f>SUM('25年PDCA'!AO8,'25年PDCA'!AO13,'25年PDCA'!AO18)</f>
        <v>0</v>
      </c>
      <c r="V6" s="344">
        <f t="shared" si="3"/>
        <v>0</v>
      </c>
      <c r="W6" s="174">
        <f>SUM('25年PDCA'!AP8,'25年PDCA'!AP13,'25年PDCA'!AP18)</f>
        <v>0</v>
      </c>
      <c r="X6" s="174">
        <f>SUM('25年PDCA'!AQ8,'25年PDCA'!AQ13,'25年PDCA'!AQ18)</f>
        <v>0</v>
      </c>
      <c r="Y6" s="174">
        <f>SUM('25年PDCA'!AR8,'25年PDCA'!AR13,'25年PDCA'!AR18)</f>
        <v>0</v>
      </c>
      <c r="Z6" s="174">
        <f>SUM('25年PDCA'!AS8,'25年PDCA'!AS13,'25年PDCA'!AS18)</f>
        <v>0</v>
      </c>
      <c r="AA6" s="174">
        <f>SUM('25年PDCA'!AT8,'25年PDCA'!AT13,'25年PDCA'!AT18)</f>
        <v>0</v>
      </c>
      <c r="AB6" s="174">
        <f>SUM('25年PDCA'!AU8,'25年PDCA'!AU13,'25年PDCA'!AU18)</f>
        <v>0</v>
      </c>
      <c r="AC6" s="174">
        <f>SUM('25年PDCA'!AV8,'25年PDCA'!AV13,'25年PDCA'!AV18)</f>
        <v>0</v>
      </c>
      <c r="AD6" s="174">
        <f>SUM('25年PDCA'!AW8,'25年PDCA'!AW13,'25年PDCA'!AW18)</f>
        <v>0</v>
      </c>
      <c r="AE6" s="174">
        <f>SUM('25年PDCA'!AX8,'25年PDCA'!AX13,'25年PDCA'!AX18)</f>
        <v>0</v>
      </c>
      <c r="AF6" s="69">
        <f t="shared" si="4"/>
        <v>0</v>
      </c>
      <c r="AH6" s="691"/>
      <c r="AI6" s="84" t="s">
        <v>26</v>
      </c>
      <c r="AJ6" s="85">
        <v>19.068064415584416</v>
      </c>
      <c r="AK6" s="85">
        <v>38.136128831168833</v>
      </c>
      <c r="AL6" s="85">
        <v>57.204193246753249</v>
      </c>
      <c r="AM6" s="385">
        <f t="shared" si="5"/>
        <v>114.4083864935065</v>
      </c>
      <c r="AN6" s="398">
        <v>76.272257662337665</v>
      </c>
      <c r="AO6" s="68">
        <v>95.340322077922082</v>
      </c>
      <c r="AP6" s="68">
        <v>114.4083864935065</v>
      </c>
      <c r="AQ6" s="68">
        <v>133.47645090909091</v>
      </c>
      <c r="AR6" s="68">
        <v>152.54451532467533</v>
      </c>
      <c r="AS6" s="68">
        <v>171.61257974025975</v>
      </c>
      <c r="AT6" s="68">
        <v>190.68064415584416</v>
      </c>
      <c r="AU6" s="68">
        <v>209.74870857142858</v>
      </c>
      <c r="AV6" s="68">
        <v>228.816772987013</v>
      </c>
      <c r="AW6" s="68">
        <f t="shared" si="6"/>
        <v>1601.7174109090911</v>
      </c>
      <c r="AX6" s="180"/>
    </row>
    <row r="7" spans="1:52">
      <c r="A7" s="176" t="s">
        <v>46</v>
      </c>
      <c r="B7" s="176" t="s">
        <v>143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Q7" s="346" t="s">
        <v>46</v>
      </c>
      <c r="R7" s="376" t="s">
        <v>143</v>
      </c>
      <c r="S7" s="246">
        <v>679.93408378894242</v>
      </c>
      <c r="T7" s="246">
        <v>1359.8681675778848</v>
      </c>
      <c r="U7" s="246">
        <v>2039.8022513668275</v>
      </c>
      <c r="V7" s="347">
        <f t="shared" si="3"/>
        <v>4079.604502733655</v>
      </c>
      <c r="W7" s="177">
        <v>2719.7363351557697</v>
      </c>
      <c r="X7" s="177">
        <v>3399.6704189447119</v>
      </c>
      <c r="Y7" s="177">
        <v>4079.604502733655</v>
      </c>
      <c r="Z7" s="177">
        <v>4759.5385865225981</v>
      </c>
      <c r="AA7" s="177">
        <v>5439.4726703115402</v>
      </c>
      <c r="AB7" s="177">
        <v>6511.4125702637484</v>
      </c>
      <c r="AC7" s="177">
        <v>7583.3524702159557</v>
      </c>
      <c r="AD7" s="177">
        <v>8655.2923701681648</v>
      </c>
      <c r="AE7" s="177">
        <v>9727.232270120372</v>
      </c>
      <c r="AF7" s="177">
        <v>56954.916697170171</v>
      </c>
      <c r="AH7" s="691"/>
      <c r="AI7" s="267" t="s">
        <v>143</v>
      </c>
      <c r="AJ7" s="247">
        <f>SUM(AJ3:AJ6)</f>
        <v>679.93408378894242</v>
      </c>
      <c r="AK7" s="247">
        <f t="shared" ref="AK7:AV7" si="7">SUM(AK3:AK6)</f>
        <v>1359.8681675778848</v>
      </c>
      <c r="AL7" s="247">
        <f t="shared" si="7"/>
        <v>2039.8022513668275</v>
      </c>
      <c r="AM7" s="391">
        <f t="shared" si="5"/>
        <v>4079.604502733655</v>
      </c>
      <c r="AN7" s="256">
        <f t="shared" si="7"/>
        <v>2719.7363351557697</v>
      </c>
      <c r="AO7" s="247">
        <f t="shared" si="7"/>
        <v>3399.6704189447119</v>
      </c>
      <c r="AP7" s="247">
        <f t="shared" si="7"/>
        <v>4079.604502733655</v>
      </c>
      <c r="AQ7" s="247">
        <f t="shared" si="7"/>
        <v>4759.5385865225981</v>
      </c>
      <c r="AR7" s="247">
        <f t="shared" si="7"/>
        <v>5439.4726703115402</v>
      </c>
      <c r="AS7" s="247">
        <f t="shared" si="7"/>
        <v>6511.4125702637484</v>
      </c>
      <c r="AT7" s="247">
        <f t="shared" si="7"/>
        <v>7583.3524702159557</v>
      </c>
      <c r="AU7" s="247">
        <f t="shared" si="7"/>
        <v>8655.2923701681648</v>
      </c>
      <c r="AV7" s="247">
        <f t="shared" si="7"/>
        <v>9727.232270120372</v>
      </c>
      <c r="AW7" s="247">
        <f>SUM(AJ7:AV7)</f>
        <v>61034.521199903829</v>
      </c>
      <c r="AX7" s="180"/>
    </row>
    <row r="8" spans="1:52">
      <c r="A8" s="176"/>
      <c r="B8" s="176" t="s">
        <v>142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Q8" s="346"/>
      <c r="R8" s="376" t="s">
        <v>142</v>
      </c>
      <c r="S8" s="246">
        <f>SUM(S3:S6)</f>
        <v>176.49099999999999</v>
      </c>
      <c r="T8" s="246">
        <f t="shared" ref="T8:AE8" si="8">SUM(T3:T6)</f>
        <v>377.036272727273</v>
      </c>
      <c r="U8" s="246">
        <f t="shared" si="8"/>
        <v>517.83618181818156</v>
      </c>
      <c r="V8" s="347">
        <f t="shared" si="3"/>
        <v>1071.3634545454545</v>
      </c>
      <c r="W8" s="177">
        <f t="shared" si="8"/>
        <v>627.49118181818199</v>
      </c>
      <c r="X8" s="177">
        <f t="shared" si="8"/>
        <v>533.92654545454548</v>
      </c>
      <c r="Y8" s="177">
        <f t="shared" si="8"/>
        <v>663.16345454545444</v>
      </c>
      <c r="Z8" s="177">
        <f t="shared" si="8"/>
        <v>510.78199999999998</v>
      </c>
      <c r="AA8" s="177">
        <f t="shared" si="8"/>
        <v>0</v>
      </c>
      <c r="AB8" s="177">
        <f t="shared" si="8"/>
        <v>0</v>
      </c>
      <c r="AC8" s="177">
        <f t="shared" si="8"/>
        <v>0</v>
      </c>
      <c r="AD8" s="177">
        <f t="shared" si="8"/>
        <v>0</v>
      </c>
      <c r="AE8" s="177">
        <f t="shared" si="8"/>
        <v>0</v>
      </c>
      <c r="AF8" s="177">
        <f>SUM(S8:AE8)</f>
        <v>4478.0900909090915</v>
      </c>
      <c r="AH8" s="691"/>
      <c r="AI8" s="267" t="s">
        <v>142</v>
      </c>
      <c r="AJ8" s="247">
        <v>176.49099999999999</v>
      </c>
      <c r="AK8" s="247">
        <v>292.47227272727298</v>
      </c>
      <c r="AL8" s="247">
        <v>499.09000000000003</v>
      </c>
      <c r="AM8" s="391">
        <f t="shared" si="5"/>
        <v>968.053272727273</v>
      </c>
      <c r="AN8" s="256"/>
      <c r="AO8" s="247"/>
      <c r="AP8" s="247"/>
      <c r="AQ8" s="247"/>
      <c r="AR8" s="247"/>
      <c r="AS8" s="247"/>
      <c r="AT8" s="247"/>
      <c r="AU8" s="247"/>
      <c r="AV8" s="247"/>
      <c r="AW8" s="247"/>
      <c r="AX8" s="180"/>
      <c r="AZ8" s="219"/>
    </row>
    <row r="9" spans="1:52">
      <c r="A9" s="176"/>
      <c r="B9" s="176" t="s">
        <v>146</v>
      </c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Q9" s="346"/>
      <c r="R9" s="376" t="s">
        <v>146</v>
      </c>
      <c r="S9" s="240">
        <f>S8-S7</f>
        <v>-503.44308378894243</v>
      </c>
      <c r="T9" s="240">
        <f t="shared" ref="T9:U9" si="9">T8-T7</f>
        <v>-982.83189485061189</v>
      </c>
      <c r="U9" s="240">
        <f t="shared" si="9"/>
        <v>-1521.9660695486459</v>
      </c>
      <c r="V9" s="347">
        <f t="shared" si="3"/>
        <v>-3008.2410481882002</v>
      </c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H9" s="691"/>
      <c r="AI9" s="267" t="s">
        <v>146</v>
      </c>
      <c r="AJ9" s="247">
        <f>AJ8-AJ7</f>
        <v>-503.44308378894243</v>
      </c>
      <c r="AK9" s="247">
        <f t="shared" ref="AK9:AL9" si="10">AK8-AK7</f>
        <v>-1067.395894850612</v>
      </c>
      <c r="AL9" s="247">
        <f t="shared" si="10"/>
        <v>-1540.7122513668273</v>
      </c>
      <c r="AM9" s="391">
        <f t="shared" si="5"/>
        <v>-3111.551230006382</v>
      </c>
      <c r="AN9" s="256"/>
      <c r="AO9" s="247"/>
      <c r="AP9" s="247"/>
      <c r="AQ9" s="247"/>
      <c r="AR9" s="247"/>
      <c r="AS9" s="247"/>
      <c r="AT9" s="247"/>
      <c r="AU9" s="247"/>
      <c r="AV9" s="247"/>
      <c r="AW9" s="247"/>
      <c r="AX9" s="180"/>
      <c r="AZ9" s="219"/>
    </row>
    <row r="10" spans="1:52" ht="12" thickBot="1">
      <c r="A10" s="176"/>
      <c r="B10" s="176" t="s">
        <v>145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Q10" s="348"/>
      <c r="R10" s="377" t="s">
        <v>145</v>
      </c>
      <c r="S10" s="349">
        <f>S8/AJ7</f>
        <v>0.25957074988284357</v>
      </c>
      <c r="T10" s="349">
        <f>T8/AK8</f>
        <v>1.2891351006078275</v>
      </c>
      <c r="U10" s="349">
        <f>U8/AL8</f>
        <v>1.0375607241543239</v>
      </c>
      <c r="V10" s="350">
        <f>V8/V7</f>
        <v>0.26261453869549289</v>
      </c>
      <c r="W10" s="226" t="e">
        <f t="shared" ref="W10:AF10" si="11">W8/AN8</f>
        <v>#DIV/0!</v>
      </c>
      <c r="X10" s="226" t="e">
        <f t="shared" si="11"/>
        <v>#DIV/0!</v>
      </c>
      <c r="Y10" s="226" t="e">
        <f t="shared" si="11"/>
        <v>#DIV/0!</v>
      </c>
      <c r="Z10" s="226" t="e">
        <f t="shared" si="11"/>
        <v>#DIV/0!</v>
      </c>
      <c r="AA10" s="226" t="e">
        <f t="shared" si="11"/>
        <v>#DIV/0!</v>
      </c>
      <c r="AB10" s="226" t="e">
        <f t="shared" si="11"/>
        <v>#DIV/0!</v>
      </c>
      <c r="AC10" s="226" t="e">
        <f t="shared" si="11"/>
        <v>#DIV/0!</v>
      </c>
      <c r="AD10" s="226" t="e">
        <f t="shared" si="11"/>
        <v>#DIV/0!</v>
      </c>
      <c r="AE10" s="226" t="e">
        <f t="shared" si="11"/>
        <v>#DIV/0!</v>
      </c>
      <c r="AF10" s="226" t="e">
        <f t="shared" si="11"/>
        <v>#DIV/0!</v>
      </c>
      <c r="AH10" s="692"/>
      <c r="AI10" s="392" t="s">
        <v>145</v>
      </c>
      <c r="AJ10" s="401">
        <f>AJ8/AJ7</f>
        <v>0.25957074988284357</v>
      </c>
      <c r="AK10" s="401">
        <f t="shared" ref="AK10:AM10" si="12">AK8/AK7</f>
        <v>0.21507399003846597</v>
      </c>
      <c r="AL10" s="401">
        <f t="shared" si="12"/>
        <v>0.2446756785691214</v>
      </c>
      <c r="AM10" s="394">
        <f t="shared" si="12"/>
        <v>0.23729096094452326</v>
      </c>
      <c r="AN10" s="256"/>
      <c r="AO10" s="247"/>
      <c r="AP10" s="247"/>
      <c r="AQ10" s="247"/>
      <c r="AR10" s="247"/>
      <c r="AS10" s="247"/>
      <c r="AT10" s="247"/>
      <c r="AU10" s="247"/>
      <c r="AV10" s="247"/>
      <c r="AW10" s="247"/>
      <c r="AX10" s="180"/>
      <c r="AZ10" s="219"/>
    </row>
    <row r="11" spans="1:52">
      <c r="A11" s="65" t="s">
        <v>266</v>
      </c>
      <c r="B11" s="65" t="s">
        <v>260</v>
      </c>
      <c r="C11" s="228">
        <f t="shared" ref="C11:E13" si="13">S11/AJ11</f>
        <v>0</v>
      </c>
      <c r="D11" s="228">
        <f t="shared" si="13"/>
        <v>0</v>
      </c>
      <c r="E11" s="228">
        <f t="shared" si="13"/>
        <v>0</v>
      </c>
      <c r="F11" s="228">
        <f t="shared" ref="F11:O11" si="14">W11/AN11</f>
        <v>0</v>
      </c>
      <c r="G11" s="228">
        <f t="shared" si="14"/>
        <v>0</v>
      </c>
      <c r="H11" s="228">
        <f t="shared" si="14"/>
        <v>0</v>
      </c>
      <c r="I11" s="228">
        <f t="shared" si="14"/>
        <v>0</v>
      </c>
      <c r="J11" s="228">
        <f t="shared" si="14"/>
        <v>0</v>
      </c>
      <c r="K11" s="228">
        <f t="shared" si="14"/>
        <v>0</v>
      </c>
      <c r="L11" s="228">
        <f t="shared" si="14"/>
        <v>0</v>
      </c>
      <c r="M11" s="228">
        <f t="shared" si="14"/>
        <v>0</v>
      </c>
      <c r="N11" s="228">
        <f t="shared" si="14"/>
        <v>0</v>
      </c>
      <c r="O11" s="228">
        <f t="shared" si="14"/>
        <v>0</v>
      </c>
      <c r="Q11" s="351" t="s">
        <v>266</v>
      </c>
      <c r="R11" s="378" t="s">
        <v>260</v>
      </c>
      <c r="S11" s="352">
        <f>'25年PDCA'!AM20</f>
        <v>0</v>
      </c>
      <c r="T11" s="352">
        <f>'25年PDCA'!AN20</f>
        <v>0</v>
      </c>
      <c r="U11" s="352">
        <f>'25年PDCA'!AO20</f>
        <v>0</v>
      </c>
      <c r="V11" s="353">
        <f t="shared" si="3"/>
        <v>0</v>
      </c>
      <c r="W11" s="174">
        <f>'25年PDCA'!AP20</f>
        <v>0</v>
      </c>
      <c r="X11" s="174">
        <f>'25年PDCA'!AQ20</f>
        <v>0</v>
      </c>
      <c r="Y11" s="174">
        <f>'25年PDCA'!AR20</f>
        <v>0</v>
      </c>
      <c r="Z11" s="174">
        <f>'25年PDCA'!AS20</f>
        <v>0</v>
      </c>
      <c r="AA11" s="174">
        <f>'25年PDCA'!AT20</f>
        <v>0</v>
      </c>
      <c r="AB11" s="174">
        <f>'25年PDCA'!AU20</f>
        <v>0</v>
      </c>
      <c r="AC11" s="174">
        <f>'25年PDCA'!AV20</f>
        <v>0</v>
      </c>
      <c r="AD11" s="174">
        <f>'25年PDCA'!AW20</f>
        <v>0</v>
      </c>
      <c r="AE11" s="174">
        <f>'25年PDCA'!AX20</f>
        <v>0</v>
      </c>
      <c r="AF11" s="69">
        <f t="shared" si="4"/>
        <v>0</v>
      </c>
      <c r="AH11" s="693" t="s">
        <v>266</v>
      </c>
      <c r="AI11" s="82" t="s">
        <v>260</v>
      </c>
      <c r="AJ11" s="83">
        <v>130.68513734693875</v>
      </c>
      <c r="AK11" s="83">
        <v>130.68513734693875</v>
      </c>
      <c r="AL11" s="83">
        <v>130.68513734693875</v>
      </c>
      <c r="AM11" s="384">
        <f t="shared" si="5"/>
        <v>392.05541204081624</v>
      </c>
      <c r="AN11" s="398">
        <v>130.68513734693875</v>
      </c>
      <c r="AO11" s="68">
        <v>130.68513734693875</v>
      </c>
      <c r="AP11" s="68">
        <v>130.68513734693875</v>
      </c>
      <c r="AQ11" s="68">
        <v>130.68513734693875</v>
      </c>
      <c r="AR11" s="68">
        <v>130.68513734693875</v>
      </c>
      <c r="AS11" s="68">
        <v>130.68513734693875</v>
      </c>
      <c r="AT11" s="68">
        <v>130.68513734693875</v>
      </c>
      <c r="AU11" s="68">
        <v>130.68513734693875</v>
      </c>
      <c r="AV11" s="68">
        <v>130.68513734693875</v>
      </c>
      <c r="AW11" s="68">
        <f t="shared" si="6"/>
        <v>1960.2770602040812</v>
      </c>
      <c r="AX11" s="180"/>
    </row>
    <row r="12" spans="1:52">
      <c r="A12" s="175" t="s">
        <v>266</v>
      </c>
      <c r="B12" s="65" t="s">
        <v>24</v>
      </c>
      <c r="C12" s="228">
        <f t="shared" si="13"/>
        <v>0</v>
      </c>
      <c r="D12" s="228">
        <f t="shared" si="13"/>
        <v>0</v>
      </c>
      <c r="E12" s="228">
        <f t="shared" si="13"/>
        <v>0</v>
      </c>
      <c r="F12" s="228">
        <f t="shared" ref="F12:N14" si="15">W12/AN12</f>
        <v>0</v>
      </c>
      <c r="G12" s="228">
        <f t="shared" si="15"/>
        <v>0</v>
      </c>
      <c r="H12" s="228">
        <f t="shared" si="15"/>
        <v>0</v>
      </c>
      <c r="I12" s="228">
        <f t="shared" si="15"/>
        <v>0</v>
      </c>
      <c r="J12" s="228">
        <f t="shared" si="15"/>
        <v>0</v>
      </c>
      <c r="K12" s="228">
        <f t="shared" si="15"/>
        <v>0</v>
      </c>
      <c r="L12" s="228">
        <f t="shared" si="15"/>
        <v>0</v>
      </c>
      <c r="M12" s="228">
        <f t="shared" si="15"/>
        <v>0</v>
      </c>
      <c r="N12" s="228">
        <f t="shared" si="15"/>
        <v>0</v>
      </c>
      <c r="O12" s="228" t="e">
        <f>AF12/#REF!</f>
        <v>#REF!</v>
      </c>
      <c r="Q12" s="345" t="s">
        <v>266</v>
      </c>
      <c r="R12" s="79" t="s">
        <v>24</v>
      </c>
      <c r="S12" s="335"/>
      <c r="T12" s="335"/>
      <c r="U12" s="335"/>
      <c r="V12" s="354">
        <f t="shared" si="3"/>
        <v>0</v>
      </c>
      <c r="W12" s="239"/>
      <c r="X12" s="239"/>
      <c r="Y12" s="239"/>
      <c r="Z12" s="239"/>
      <c r="AA12" s="239"/>
      <c r="AB12" s="239"/>
      <c r="AC12" s="239"/>
      <c r="AD12" s="239"/>
      <c r="AE12" s="239"/>
      <c r="AF12" s="69">
        <f t="shared" si="4"/>
        <v>0</v>
      </c>
      <c r="AH12" s="691"/>
      <c r="AI12" s="84" t="s">
        <v>24</v>
      </c>
      <c r="AJ12" s="85">
        <v>245.52175692035203</v>
      </c>
      <c r="AK12" s="85">
        <v>245.52175692035203</v>
      </c>
      <c r="AL12" s="85">
        <v>245.52175692035203</v>
      </c>
      <c r="AM12" s="385">
        <f t="shared" si="5"/>
        <v>736.56527076105613</v>
      </c>
      <c r="AN12" s="398">
        <v>245.52175692035203</v>
      </c>
      <c r="AO12" s="68">
        <v>245.52175692035203</v>
      </c>
      <c r="AP12" s="68">
        <v>245.52175692035203</v>
      </c>
      <c r="AQ12" s="68">
        <v>245.52175692035203</v>
      </c>
      <c r="AR12" s="68">
        <v>245.52175692035203</v>
      </c>
      <c r="AS12" s="68">
        <v>245.52175692035203</v>
      </c>
      <c r="AT12" s="68">
        <v>245.52175692035203</v>
      </c>
      <c r="AU12" s="68">
        <v>245.52175692035203</v>
      </c>
      <c r="AV12" s="68">
        <v>245.52175692035203</v>
      </c>
      <c r="AW12" s="68">
        <f t="shared" si="6"/>
        <v>3682.8263538052797</v>
      </c>
      <c r="AX12" s="180"/>
    </row>
    <row r="13" spans="1:52">
      <c r="A13" s="175" t="s">
        <v>266</v>
      </c>
      <c r="B13" s="65" t="s">
        <v>262</v>
      </c>
      <c r="C13" s="228" t="e">
        <f t="shared" si="13"/>
        <v>#DIV/0!</v>
      </c>
      <c r="D13" s="228" t="e">
        <f t="shared" si="13"/>
        <v>#DIV/0!</v>
      </c>
      <c r="E13" s="228" t="e">
        <f t="shared" si="13"/>
        <v>#DIV/0!</v>
      </c>
      <c r="F13" s="228" t="e">
        <f t="shared" si="15"/>
        <v>#DIV/0!</v>
      </c>
      <c r="G13" s="228" t="e">
        <f t="shared" si="15"/>
        <v>#DIV/0!</v>
      </c>
      <c r="H13" s="228" t="e">
        <f t="shared" si="15"/>
        <v>#DIV/0!</v>
      </c>
      <c r="I13" s="228" t="e">
        <f t="shared" si="15"/>
        <v>#DIV/0!</v>
      </c>
      <c r="J13" s="228" t="e">
        <f t="shared" si="15"/>
        <v>#DIV/0!</v>
      </c>
      <c r="K13" s="228" t="e">
        <f t="shared" si="15"/>
        <v>#DIV/0!</v>
      </c>
      <c r="L13" s="228" t="e">
        <f t="shared" si="15"/>
        <v>#DIV/0!</v>
      </c>
      <c r="M13" s="228" t="e">
        <f t="shared" si="15"/>
        <v>#DIV/0!</v>
      </c>
      <c r="N13" s="228" t="e">
        <f t="shared" si="15"/>
        <v>#DIV/0!</v>
      </c>
      <c r="O13" s="228" t="e">
        <f>AF13/#REF!</f>
        <v>#REF!</v>
      </c>
      <c r="Q13" s="345" t="s">
        <v>266</v>
      </c>
      <c r="R13" s="79" t="s">
        <v>262</v>
      </c>
      <c r="S13" s="335"/>
      <c r="T13" s="335"/>
      <c r="U13" s="335"/>
      <c r="V13" s="354">
        <f t="shared" si="3"/>
        <v>0</v>
      </c>
      <c r="W13" s="239"/>
      <c r="X13" s="239"/>
      <c r="Y13" s="239"/>
      <c r="Z13" s="239"/>
      <c r="AA13" s="239"/>
      <c r="AB13" s="239"/>
      <c r="AC13" s="239"/>
      <c r="AD13" s="239"/>
      <c r="AE13" s="239"/>
      <c r="AF13" s="69">
        <f t="shared" si="4"/>
        <v>0</v>
      </c>
      <c r="AH13" s="691"/>
      <c r="AI13" s="84" t="s">
        <v>262</v>
      </c>
      <c r="AJ13" s="85">
        <v>0</v>
      </c>
      <c r="AK13" s="85">
        <v>0</v>
      </c>
      <c r="AL13" s="85">
        <v>0</v>
      </c>
      <c r="AM13" s="385">
        <f t="shared" si="5"/>
        <v>0</v>
      </c>
      <c r="AN13" s="398">
        <v>0</v>
      </c>
      <c r="AO13" s="68">
        <v>0</v>
      </c>
      <c r="AP13" s="68">
        <v>0</v>
      </c>
      <c r="AQ13" s="68">
        <v>0</v>
      </c>
      <c r="AR13" s="68">
        <v>0</v>
      </c>
      <c r="AS13" s="68">
        <v>0</v>
      </c>
      <c r="AT13" s="68">
        <v>0</v>
      </c>
      <c r="AU13" s="68">
        <v>0</v>
      </c>
      <c r="AV13" s="68">
        <v>0</v>
      </c>
      <c r="AW13" s="68">
        <f t="shared" si="6"/>
        <v>0</v>
      </c>
      <c r="AX13" s="180"/>
    </row>
    <row r="14" spans="1:52">
      <c r="A14" s="175" t="s">
        <v>266</v>
      </c>
      <c r="B14" s="65" t="s">
        <v>26</v>
      </c>
      <c r="C14" s="228">
        <f t="shared" ref="C14" si="16">S14/AJ14</f>
        <v>0</v>
      </c>
      <c r="D14" s="228">
        <f>T14/AK14</f>
        <v>0</v>
      </c>
      <c r="E14" s="228">
        <f>U14/AL14</f>
        <v>0</v>
      </c>
      <c r="F14" s="228">
        <f t="shared" si="15"/>
        <v>0</v>
      </c>
      <c r="G14" s="228">
        <f t="shared" si="15"/>
        <v>0</v>
      </c>
      <c r="H14" s="228">
        <f t="shared" si="15"/>
        <v>0</v>
      </c>
      <c r="I14" s="228">
        <f t="shared" si="15"/>
        <v>0</v>
      </c>
      <c r="J14" s="228">
        <f t="shared" si="15"/>
        <v>0</v>
      </c>
      <c r="K14" s="228">
        <f t="shared" si="15"/>
        <v>0</v>
      </c>
      <c r="L14" s="228">
        <f t="shared" si="15"/>
        <v>0</v>
      </c>
      <c r="M14" s="228">
        <f t="shared" si="15"/>
        <v>0</v>
      </c>
      <c r="N14" s="228">
        <f t="shared" si="15"/>
        <v>0</v>
      </c>
      <c r="O14" s="228" t="e">
        <f>AF14/#REF!</f>
        <v>#REF!</v>
      </c>
      <c r="Q14" s="345" t="s">
        <v>266</v>
      </c>
      <c r="R14" s="79" t="s">
        <v>26</v>
      </c>
      <c r="S14" s="243">
        <f>SUM('25年PDCA'!AM21:AM22)</f>
        <v>0</v>
      </c>
      <c r="T14" s="243">
        <f>SUM('25年PDCA'!AN21:AN22)</f>
        <v>0</v>
      </c>
      <c r="U14" s="243">
        <f>SUM('25年PDCA'!AO21:AO22)</f>
        <v>0</v>
      </c>
      <c r="V14" s="344">
        <f t="shared" si="3"/>
        <v>0</v>
      </c>
      <c r="W14" s="174">
        <f>SUM('25年PDCA'!AP21:AP22)</f>
        <v>0</v>
      </c>
      <c r="X14" s="174">
        <f>SUM('25年PDCA'!AQ21:AQ22)</f>
        <v>0</v>
      </c>
      <c r="Y14" s="174">
        <f>SUM('25年PDCA'!AR21:AR22)</f>
        <v>0</v>
      </c>
      <c r="Z14" s="174">
        <f>SUM('25年PDCA'!AS21:AS22)</f>
        <v>0</v>
      </c>
      <c r="AA14" s="174">
        <f>SUM('25年PDCA'!AT21:AT22)</f>
        <v>0</v>
      </c>
      <c r="AB14" s="174">
        <f>SUM('25年PDCA'!AU21:AU22)</f>
        <v>0</v>
      </c>
      <c r="AC14" s="174">
        <f>SUM('25年PDCA'!AV21:AV22)</f>
        <v>0</v>
      </c>
      <c r="AD14" s="174">
        <f>SUM('25年PDCA'!AW21:AW22)</f>
        <v>0</v>
      </c>
      <c r="AE14" s="174">
        <f>SUM('25年PDCA'!AX21:AX22)</f>
        <v>0</v>
      </c>
      <c r="AF14" s="69">
        <f t="shared" si="4"/>
        <v>0</v>
      </c>
      <c r="AH14" s="691"/>
      <c r="AI14" s="84" t="s">
        <v>26</v>
      </c>
      <c r="AJ14" s="85">
        <v>19.583296419294989</v>
      </c>
      <c r="AK14" s="85">
        <v>19.583296419294989</v>
      </c>
      <c r="AL14" s="85">
        <v>19.583296419294989</v>
      </c>
      <c r="AM14" s="385">
        <f t="shared" si="5"/>
        <v>58.749889257884966</v>
      </c>
      <c r="AN14" s="398">
        <v>19.583296419294989</v>
      </c>
      <c r="AO14" s="68">
        <v>19.583296419294989</v>
      </c>
      <c r="AP14" s="68">
        <v>19.583296419294989</v>
      </c>
      <c r="AQ14" s="68">
        <v>19.583296419294989</v>
      </c>
      <c r="AR14" s="68">
        <v>19.583296419294989</v>
      </c>
      <c r="AS14" s="68">
        <v>19.583296419294989</v>
      </c>
      <c r="AT14" s="68">
        <v>19.583296419294989</v>
      </c>
      <c r="AU14" s="68">
        <v>19.583296419294989</v>
      </c>
      <c r="AV14" s="68">
        <v>19.583296419294989</v>
      </c>
      <c r="AW14" s="68">
        <f t="shared" si="6"/>
        <v>293.74944628942478</v>
      </c>
    </row>
    <row r="15" spans="1:52">
      <c r="A15" s="176" t="s">
        <v>266</v>
      </c>
      <c r="B15" s="176" t="s">
        <v>143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Q15" s="355"/>
      <c r="R15" s="376" t="s">
        <v>143</v>
      </c>
      <c r="S15" s="246">
        <v>395.79019068658573</v>
      </c>
      <c r="T15" s="246">
        <v>395.79019068658573</v>
      </c>
      <c r="U15" s="246">
        <v>395.79019068658573</v>
      </c>
      <c r="V15" s="347">
        <f t="shared" si="3"/>
        <v>1187.3705720597573</v>
      </c>
      <c r="W15" s="177">
        <v>395.79019068658573</v>
      </c>
      <c r="X15" s="177">
        <v>395.79019068658573</v>
      </c>
      <c r="Y15" s="177">
        <v>395.79019068658573</v>
      </c>
      <c r="Z15" s="177">
        <v>395.79019068658573</v>
      </c>
      <c r="AA15" s="177">
        <v>395.79019068658573</v>
      </c>
      <c r="AB15" s="177">
        <v>395.79019068658573</v>
      </c>
      <c r="AC15" s="177">
        <v>395.79019068658573</v>
      </c>
      <c r="AD15" s="177">
        <v>395.79019068658573</v>
      </c>
      <c r="AE15" s="177">
        <v>395.79019068658573</v>
      </c>
      <c r="AF15" s="177"/>
      <c r="AH15" s="691"/>
      <c r="AI15" s="267" t="s">
        <v>143</v>
      </c>
      <c r="AJ15" s="266">
        <f>SUM(AJ11:AJ14)</f>
        <v>395.79019068658573</v>
      </c>
      <c r="AK15" s="266">
        <f t="shared" ref="AK15:AV15" si="17">SUM(AK11:AK14)</f>
        <v>395.79019068658573</v>
      </c>
      <c r="AL15" s="266">
        <f t="shared" si="17"/>
        <v>395.79019068658573</v>
      </c>
      <c r="AM15" s="391">
        <f t="shared" si="5"/>
        <v>1187.3705720597573</v>
      </c>
      <c r="AN15" s="399">
        <f t="shared" si="17"/>
        <v>395.79019068658573</v>
      </c>
      <c r="AO15" s="266">
        <f t="shared" si="17"/>
        <v>395.79019068658573</v>
      </c>
      <c r="AP15" s="266">
        <f t="shared" si="17"/>
        <v>395.79019068658573</v>
      </c>
      <c r="AQ15" s="266">
        <f t="shared" si="17"/>
        <v>395.79019068658573</v>
      </c>
      <c r="AR15" s="266">
        <f t="shared" si="17"/>
        <v>395.79019068658573</v>
      </c>
      <c r="AS15" s="266">
        <f t="shared" si="17"/>
        <v>395.79019068658573</v>
      </c>
      <c r="AT15" s="266">
        <f t="shared" si="17"/>
        <v>395.79019068658573</v>
      </c>
      <c r="AU15" s="266">
        <f t="shared" si="17"/>
        <v>395.79019068658573</v>
      </c>
      <c r="AV15" s="266">
        <f t="shared" si="17"/>
        <v>395.79019068658573</v>
      </c>
      <c r="AW15" s="266">
        <f t="shared" ref="AW15" si="18">SUM(AJ15:AV15)</f>
        <v>5936.8528602987853</v>
      </c>
    </row>
    <row r="16" spans="1:52">
      <c r="A16" s="176"/>
      <c r="B16" s="176" t="s">
        <v>142</v>
      </c>
      <c r="C16" s="227" t="e">
        <f>S16/AJ16</f>
        <v>#DIV/0!</v>
      </c>
      <c r="D16" s="227" t="e">
        <f>T16/AK16</f>
        <v>#DIV/0!</v>
      </c>
      <c r="E16" s="227" t="e">
        <f>U16/AL16</f>
        <v>#DIV/0!</v>
      </c>
      <c r="F16" s="227" t="e">
        <f t="shared" ref="F16:N16" si="19">W16/AN16</f>
        <v>#DIV/0!</v>
      </c>
      <c r="G16" s="227" t="e">
        <f t="shared" si="19"/>
        <v>#DIV/0!</v>
      </c>
      <c r="H16" s="227" t="e">
        <f t="shared" si="19"/>
        <v>#DIV/0!</v>
      </c>
      <c r="I16" s="227" t="e">
        <f t="shared" si="19"/>
        <v>#DIV/0!</v>
      </c>
      <c r="J16" s="227" t="e">
        <f t="shared" si="19"/>
        <v>#DIV/0!</v>
      </c>
      <c r="K16" s="227" t="e">
        <f t="shared" si="19"/>
        <v>#DIV/0!</v>
      </c>
      <c r="L16" s="227" t="e">
        <f t="shared" si="19"/>
        <v>#DIV/0!</v>
      </c>
      <c r="M16" s="227" t="e">
        <f t="shared" si="19"/>
        <v>#DIV/0!</v>
      </c>
      <c r="N16" s="227" t="e">
        <f t="shared" si="19"/>
        <v>#DIV/0!</v>
      </c>
      <c r="O16" s="226" t="e">
        <f>AF16/#REF!</f>
        <v>#REF!</v>
      </c>
      <c r="Q16" s="356" t="s">
        <v>266</v>
      </c>
      <c r="R16" s="376" t="s">
        <v>142</v>
      </c>
      <c r="S16" s="336">
        <v>0</v>
      </c>
      <c r="T16" s="336">
        <v>0</v>
      </c>
      <c r="U16" s="336">
        <f t="shared" ref="U16:AE16" si="20">SUM(U11:U14)</f>
        <v>0</v>
      </c>
      <c r="V16" s="347">
        <f t="shared" si="3"/>
        <v>0</v>
      </c>
      <c r="W16" s="179">
        <f t="shared" si="20"/>
        <v>0</v>
      </c>
      <c r="X16" s="179">
        <f t="shared" si="20"/>
        <v>0</v>
      </c>
      <c r="Y16" s="179">
        <f t="shared" si="20"/>
        <v>0</v>
      </c>
      <c r="Z16" s="179">
        <f t="shared" si="20"/>
        <v>0</v>
      </c>
      <c r="AA16" s="179">
        <f t="shared" si="20"/>
        <v>0</v>
      </c>
      <c r="AB16" s="179">
        <f t="shared" si="20"/>
        <v>0</v>
      </c>
      <c r="AC16" s="179">
        <f t="shared" si="20"/>
        <v>0</v>
      </c>
      <c r="AD16" s="179">
        <f t="shared" si="20"/>
        <v>0</v>
      </c>
      <c r="AE16" s="179">
        <f t="shared" si="20"/>
        <v>0</v>
      </c>
      <c r="AF16" s="177">
        <f>SUM(S16:AE16)</f>
        <v>0</v>
      </c>
      <c r="AH16" s="691"/>
      <c r="AI16" s="267" t="s">
        <v>142</v>
      </c>
      <c r="AJ16" s="266">
        <f>SUM(S16)</f>
        <v>0</v>
      </c>
      <c r="AK16" s="266">
        <f t="shared" ref="AK16:AL16" si="21">SUM(T16)</f>
        <v>0</v>
      </c>
      <c r="AL16" s="266">
        <f t="shared" si="21"/>
        <v>0</v>
      </c>
      <c r="AM16" s="391">
        <f t="shared" si="5"/>
        <v>0</v>
      </c>
      <c r="AN16" s="399"/>
      <c r="AO16" s="266"/>
      <c r="AP16" s="266"/>
      <c r="AQ16" s="266"/>
      <c r="AR16" s="266"/>
      <c r="AS16" s="266"/>
      <c r="AT16" s="266"/>
      <c r="AU16" s="266"/>
      <c r="AV16" s="266"/>
      <c r="AW16" s="266"/>
      <c r="AX16" s="180"/>
    </row>
    <row r="17" spans="1:52">
      <c r="A17" s="176"/>
      <c r="B17" s="176" t="s">
        <v>146</v>
      </c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6"/>
      <c r="Q17" s="356"/>
      <c r="R17" s="376" t="s">
        <v>146</v>
      </c>
      <c r="S17" s="336">
        <f>S16-S15</f>
        <v>-395.79019068658573</v>
      </c>
      <c r="T17" s="336">
        <f t="shared" ref="T17:U17" si="22">T16-T15</f>
        <v>-395.79019068658573</v>
      </c>
      <c r="U17" s="336">
        <f t="shared" si="22"/>
        <v>-395.79019068658573</v>
      </c>
      <c r="V17" s="347">
        <f t="shared" si="3"/>
        <v>-1187.3705720597573</v>
      </c>
      <c r="W17" s="179"/>
      <c r="X17" s="179"/>
      <c r="Y17" s="179"/>
      <c r="Z17" s="179"/>
      <c r="AA17" s="179"/>
      <c r="AB17" s="179"/>
      <c r="AC17" s="179"/>
      <c r="AD17" s="179"/>
      <c r="AE17" s="179"/>
      <c r="AF17" s="177"/>
      <c r="AH17" s="691"/>
      <c r="AI17" s="267" t="s">
        <v>146</v>
      </c>
      <c r="AJ17" s="266">
        <f>AJ16-AJ15</f>
        <v>-395.79019068658573</v>
      </c>
      <c r="AK17" s="266">
        <f t="shared" ref="AK17:AL17" si="23">AK16-AK15</f>
        <v>-395.79019068658573</v>
      </c>
      <c r="AL17" s="266">
        <f t="shared" si="23"/>
        <v>-395.79019068658573</v>
      </c>
      <c r="AM17" s="391">
        <f t="shared" si="5"/>
        <v>-1187.3705720597573</v>
      </c>
      <c r="AN17" s="399"/>
      <c r="AO17" s="266"/>
      <c r="AP17" s="266"/>
      <c r="AQ17" s="266"/>
      <c r="AR17" s="266"/>
      <c r="AS17" s="266"/>
      <c r="AT17" s="266"/>
      <c r="AU17" s="266"/>
      <c r="AV17" s="266"/>
      <c r="AW17" s="266"/>
      <c r="AX17" s="180"/>
    </row>
    <row r="18" spans="1:52" ht="12" thickBot="1">
      <c r="A18" s="176"/>
      <c r="B18" s="176" t="s">
        <v>145</v>
      </c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6"/>
      <c r="Q18" s="357"/>
      <c r="R18" s="377" t="s">
        <v>145</v>
      </c>
      <c r="S18" s="358">
        <f>S16/S15</f>
        <v>0</v>
      </c>
      <c r="T18" s="358">
        <f t="shared" ref="T18:V18" si="24">T16/T15</f>
        <v>0</v>
      </c>
      <c r="U18" s="358">
        <f t="shared" si="24"/>
        <v>0</v>
      </c>
      <c r="V18" s="359">
        <f t="shared" si="24"/>
        <v>0</v>
      </c>
      <c r="W18" s="179"/>
      <c r="X18" s="179"/>
      <c r="Y18" s="179"/>
      <c r="Z18" s="179"/>
      <c r="AA18" s="179"/>
      <c r="AB18" s="179"/>
      <c r="AC18" s="179"/>
      <c r="AD18" s="179"/>
      <c r="AE18" s="179"/>
      <c r="AF18" s="177"/>
      <c r="AH18" s="692"/>
      <c r="AI18" s="392" t="s">
        <v>145</v>
      </c>
      <c r="AJ18" s="400">
        <f>AJ16/AJ15</f>
        <v>0</v>
      </c>
      <c r="AK18" s="400">
        <f t="shared" ref="AK18:AL18" si="25">AK16/AK15</f>
        <v>0</v>
      </c>
      <c r="AL18" s="400">
        <f t="shared" si="25"/>
        <v>0</v>
      </c>
      <c r="AM18" s="394">
        <f t="shared" si="5"/>
        <v>0</v>
      </c>
      <c r="AN18" s="399"/>
      <c r="AO18" s="266"/>
      <c r="AP18" s="266"/>
      <c r="AQ18" s="266"/>
      <c r="AR18" s="266"/>
      <c r="AS18" s="266"/>
      <c r="AT18" s="266"/>
      <c r="AU18" s="266"/>
      <c r="AV18" s="266"/>
      <c r="AW18" s="266"/>
      <c r="AX18" s="180"/>
    </row>
    <row r="19" spans="1:52">
      <c r="A19" s="188" t="s">
        <v>269</v>
      </c>
      <c r="B19" s="188" t="s">
        <v>260</v>
      </c>
      <c r="C19" s="228">
        <f t="shared" ref="C19:C22" si="26">S19/AJ19</f>
        <v>1.5539001764060687</v>
      </c>
      <c r="D19" s="228">
        <f t="shared" ref="D19:E22" si="27">T19/AK19</f>
        <v>1.1081307957014719</v>
      </c>
      <c r="E19" s="228">
        <f t="shared" si="27"/>
        <v>1.1350526779959895</v>
      </c>
      <c r="F19" s="228">
        <f t="shared" ref="F19:N22" si="28">W19/AN19</f>
        <v>0.99235482889908266</v>
      </c>
      <c r="G19" s="228">
        <f t="shared" si="28"/>
        <v>0.97398146049742185</v>
      </c>
      <c r="H19" s="228">
        <f t="shared" si="28"/>
        <v>2.1052644813253809</v>
      </c>
      <c r="I19" s="228">
        <f t="shared" si="28"/>
        <v>0.99093007658360654</v>
      </c>
      <c r="J19" s="228">
        <f t="shared" si="28"/>
        <v>0</v>
      </c>
      <c r="K19" s="228">
        <f t="shared" si="28"/>
        <v>0</v>
      </c>
      <c r="L19" s="228">
        <f t="shared" si="28"/>
        <v>0</v>
      </c>
      <c r="M19" s="228">
        <f t="shared" si="28"/>
        <v>0</v>
      </c>
      <c r="N19" s="228">
        <f t="shared" si="28"/>
        <v>0</v>
      </c>
      <c r="O19" s="228">
        <f>AF19/AW12</f>
        <v>9.2625599805305416</v>
      </c>
      <c r="Q19" s="360" t="s">
        <v>269</v>
      </c>
      <c r="R19" s="379" t="s">
        <v>260</v>
      </c>
      <c r="S19" s="361">
        <f>'25年PDCA'!AM24</f>
        <v>4188.08</v>
      </c>
      <c r="T19" s="361">
        <f>'25年PDCA'!AN24</f>
        <v>2986.6399999999994</v>
      </c>
      <c r="U19" s="361">
        <f>'25年PDCA'!AO24</f>
        <v>3059.1999999999994</v>
      </c>
      <c r="V19" s="353">
        <f t="shared" si="3"/>
        <v>10233.919999999998</v>
      </c>
      <c r="W19" s="192">
        <f>'25年PDCA'!AP24</f>
        <v>2674.5999999999995</v>
      </c>
      <c r="X19" s="192">
        <f>'25年PDCA'!AQ24</f>
        <v>2625.08</v>
      </c>
      <c r="Y19" s="192">
        <f>'25年PDCA'!AR24</f>
        <v>5674.12</v>
      </c>
      <c r="Z19" s="192">
        <f>'25年PDCA'!AS24</f>
        <v>2670.7599999999993</v>
      </c>
      <c r="AA19" s="192">
        <f>'25年PDCA'!AT24</f>
        <v>0</v>
      </c>
      <c r="AB19" s="192">
        <f>'25年PDCA'!AU24</f>
        <v>0</v>
      </c>
      <c r="AC19" s="192">
        <f>'25年PDCA'!AV24</f>
        <v>0</v>
      </c>
      <c r="AD19" s="192">
        <f>'25年PDCA'!AW24</f>
        <v>0</v>
      </c>
      <c r="AE19" s="192">
        <f>'25年PDCA'!AX24</f>
        <v>0</v>
      </c>
      <c r="AF19" s="69">
        <f t="shared" si="4"/>
        <v>34112.399999999994</v>
      </c>
      <c r="AH19" s="694" t="s">
        <v>269</v>
      </c>
      <c r="AI19" s="396" t="s">
        <v>260</v>
      </c>
      <c r="AJ19" s="397">
        <v>2695.2053057142853</v>
      </c>
      <c r="AK19" s="397">
        <v>2695.2053057142853</v>
      </c>
      <c r="AL19" s="397">
        <v>2695.2053057142853</v>
      </c>
      <c r="AM19" s="384">
        <f t="shared" si="5"/>
        <v>8085.6159171428553</v>
      </c>
      <c r="AN19" s="395">
        <v>2695.2053057142853</v>
      </c>
      <c r="AO19" s="281">
        <v>2695.2053057142853</v>
      </c>
      <c r="AP19" s="281">
        <v>2695.2053057142853</v>
      </c>
      <c r="AQ19" s="281">
        <v>2695.2053057142853</v>
      </c>
      <c r="AR19" s="281">
        <v>2695.2053057142853</v>
      </c>
      <c r="AS19" s="281">
        <v>2695.2053057142853</v>
      </c>
      <c r="AT19" s="281">
        <v>2695.2053057142853</v>
      </c>
      <c r="AU19" s="281">
        <v>2695.2053057142853</v>
      </c>
      <c r="AV19" s="281">
        <v>2695.2053057142853</v>
      </c>
      <c r="AW19" s="281">
        <f t="shared" si="6"/>
        <v>40428.079585714266</v>
      </c>
      <c r="AX19" s="189">
        <v>29606.6</v>
      </c>
      <c r="AY19" s="70">
        <f t="shared" ref="AY19:AY31" si="29">AW19-AX19</f>
        <v>10821.479585714267</v>
      </c>
      <c r="AZ19" s="188"/>
    </row>
    <row r="20" spans="1:52">
      <c r="A20" s="196" t="s">
        <v>269</v>
      </c>
      <c r="B20" s="188" t="s">
        <v>24</v>
      </c>
      <c r="C20" s="228">
        <f t="shared" si="26"/>
        <v>0.81843573410139592</v>
      </c>
      <c r="D20" s="228">
        <f t="shared" si="27"/>
        <v>0.67757680849040514</v>
      </c>
      <c r="E20" s="228">
        <f t="shared" si="27"/>
        <v>0.80867154009059727</v>
      </c>
      <c r="F20" s="228">
        <f t="shared" si="28"/>
        <v>0.83107000943644049</v>
      </c>
      <c r="G20" s="228">
        <f t="shared" si="28"/>
        <v>0.731814327454271</v>
      </c>
      <c r="H20" s="228">
        <f t="shared" si="28"/>
        <v>0.83155978379369722</v>
      </c>
      <c r="I20" s="228">
        <f t="shared" si="28"/>
        <v>0.80540897499714414</v>
      </c>
      <c r="J20" s="228">
        <f t="shared" si="28"/>
        <v>0</v>
      </c>
      <c r="K20" s="228">
        <f t="shared" si="28"/>
        <v>0</v>
      </c>
      <c r="L20" s="228">
        <f t="shared" si="28"/>
        <v>0</v>
      </c>
      <c r="M20" s="228">
        <f t="shared" si="28"/>
        <v>0</v>
      </c>
      <c r="N20" s="228">
        <f t="shared" si="28"/>
        <v>0</v>
      </c>
      <c r="O20" s="228" t="e">
        <f>AF20/AW13</f>
        <v>#DIV/0!</v>
      </c>
      <c r="Q20" s="362" t="s">
        <v>269</v>
      </c>
      <c r="R20" s="380" t="s">
        <v>24</v>
      </c>
      <c r="S20" s="337">
        <f>'25年PDCA'!AM25</f>
        <v>4144.1953636363642</v>
      </c>
      <c r="T20" s="337">
        <f>'25年PDCA'!AN25</f>
        <v>3430.9482727272725</v>
      </c>
      <c r="U20" s="337">
        <f>'25年PDCA'!AO25</f>
        <v>4094.7538181818195</v>
      </c>
      <c r="V20" s="344">
        <f t="shared" si="3"/>
        <v>11669.897454545457</v>
      </c>
      <c r="W20" s="192">
        <f>'25年PDCA'!AP25</f>
        <v>4208.1697272727279</v>
      </c>
      <c r="X20" s="192">
        <f>'25年PDCA'!AQ25</f>
        <v>3705.583000000001</v>
      </c>
      <c r="Y20" s="192">
        <f>'25年PDCA'!AR25</f>
        <v>4210.6497272727274</v>
      </c>
      <c r="Z20" s="192">
        <f>'25年PDCA'!AS25</f>
        <v>4078.23363636364</v>
      </c>
      <c r="AA20" s="192">
        <f>'25年PDCA'!AT25</f>
        <v>0</v>
      </c>
      <c r="AB20" s="192">
        <f>'25年PDCA'!AU25</f>
        <v>0</v>
      </c>
      <c r="AC20" s="192">
        <f>'25年PDCA'!AV25</f>
        <v>0</v>
      </c>
      <c r="AD20" s="192">
        <f>'25年PDCA'!AW25</f>
        <v>0</v>
      </c>
      <c r="AE20" s="192">
        <f>'25年PDCA'!AX25</f>
        <v>0</v>
      </c>
      <c r="AF20" s="69">
        <f t="shared" si="4"/>
        <v>39542.431000000011</v>
      </c>
      <c r="AH20" s="695"/>
      <c r="AI20" s="383" t="s">
        <v>24</v>
      </c>
      <c r="AJ20" s="167">
        <v>5063.5562341208088</v>
      </c>
      <c r="AK20" s="167">
        <v>5063.5562341208088</v>
      </c>
      <c r="AL20" s="167">
        <v>5063.5562341208088</v>
      </c>
      <c r="AM20" s="385">
        <f t="shared" si="5"/>
        <v>15190.668702362425</v>
      </c>
      <c r="AN20" s="395">
        <v>5063.5562341208088</v>
      </c>
      <c r="AO20" s="281">
        <v>5063.5562341208088</v>
      </c>
      <c r="AP20" s="281">
        <v>5063.5562341208088</v>
      </c>
      <c r="AQ20" s="281">
        <v>5063.5562341208088</v>
      </c>
      <c r="AR20" s="281">
        <v>5063.5562341208088</v>
      </c>
      <c r="AS20" s="281">
        <v>5063.5562341208088</v>
      </c>
      <c r="AT20" s="281">
        <v>5063.5562341208088</v>
      </c>
      <c r="AU20" s="281">
        <v>5063.5562341208088</v>
      </c>
      <c r="AV20" s="281">
        <v>5063.5562341208088</v>
      </c>
      <c r="AW20" s="281">
        <f t="shared" si="6"/>
        <v>75953.343511812127</v>
      </c>
      <c r="AX20" s="220">
        <v>80512.554000000004</v>
      </c>
      <c r="AY20" s="221">
        <f>AW20-AX20</f>
        <v>-4559.2104881878768</v>
      </c>
      <c r="AZ20" s="188"/>
    </row>
    <row r="21" spans="1:52">
      <c r="A21" s="196" t="s">
        <v>269</v>
      </c>
      <c r="B21" s="188" t="s">
        <v>262</v>
      </c>
      <c r="C21" s="228" t="e">
        <f t="shared" si="26"/>
        <v>#DIV/0!</v>
      </c>
      <c r="D21" s="228" t="e">
        <f t="shared" si="27"/>
        <v>#DIV/0!</v>
      </c>
      <c r="E21" s="228" t="e">
        <f t="shared" si="27"/>
        <v>#DIV/0!</v>
      </c>
      <c r="F21" s="228" t="e">
        <f t="shared" si="28"/>
        <v>#DIV/0!</v>
      </c>
      <c r="G21" s="228" t="e">
        <f t="shared" si="28"/>
        <v>#DIV/0!</v>
      </c>
      <c r="H21" s="228" t="e">
        <f t="shared" si="28"/>
        <v>#DIV/0!</v>
      </c>
      <c r="I21" s="228" t="e">
        <f t="shared" si="28"/>
        <v>#DIV/0!</v>
      </c>
      <c r="J21" s="228" t="e">
        <f t="shared" si="28"/>
        <v>#DIV/0!</v>
      </c>
      <c r="K21" s="228" t="e">
        <f t="shared" si="28"/>
        <v>#DIV/0!</v>
      </c>
      <c r="L21" s="228" t="e">
        <f t="shared" si="28"/>
        <v>#DIV/0!</v>
      </c>
      <c r="M21" s="228" t="e">
        <f t="shared" si="28"/>
        <v>#DIV/0!</v>
      </c>
      <c r="N21" s="228" t="e">
        <f t="shared" si="28"/>
        <v>#DIV/0!</v>
      </c>
      <c r="O21" s="228" t="e">
        <f>AF21/#REF!</f>
        <v>#REF!</v>
      </c>
      <c r="Q21" s="362" t="s">
        <v>269</v>
      </c>
      <c r="R21" s="380" t="s">
        <v>262</v>
      </c>
      <c r="S21" s="337">
        <f>'25年PDCA'!AM26</f>
        <v>225.93181818181819</v>
      </c>
      <c r="T21" s="337">
        <f>'25年PDCA'!AN26</f>
        <v>240.94090909090875</v>
      </c>
      <c r="U21" s="337">
        <f>'25年PDCA'!AO26</f>
        <v>235.91818181818201</v>
      </c>
      <c r="V21" s="344">
        <f t="shared" si="3"/>
        <v>702.79090909090894</v>
      </c>
      <c r="W21" s="192">
        <f>'25年PDCA'!AP26</f>
        <v>256.11818181818154</v>
      </c>
      <c r="X21" s="192">
        <f>'25年PDCA'!AQ26</f>
        <v>183.2090909090908</v>
      </c>
      <c r="Y21" s="192">
        <f>'25年PDCA'!AR26</f>
        <v>157.20045454545448</v>
      </c>
      <c r="Z21" s="192">
        <f>'25年PDCA'!AS26</f>
        <v>156.59090909090901</v>
      </c>
      <c r="AA21" s="192">
        <f>'25年PDCA'!AT26</f>
        <v>0</v>
      </c>
      <c r="AB21" s="192">
        <f>'25年PDCA'!AU26</f>
        <v>0</v>
      </c>
      <c r="AC21" s="192">
        <f>'25年PDCA'!AV26</f>
        <v>0</v>
      </c>
      <c r="AD21" s="192">
        <f>'25年PDCA'!AW26</f>
        <v>0</v>
      </c>
      <c r="AE21" s="192">
        <f>'25年PDCA'!AX26</f>
        <v>0</v>
      </c>
      <c r="AF21" s="69">
        <f t="shared" si="4"/>
        <v>2158.7004545454538</v>
      </c>
      <c r="AH21" s="695"/>
      <c r="AI21" s="383" t="s">
        <v>262</v>
      </c>
      <c r="AJ21" s="167">
        <v>0</v>
      </c>
      <c r="AK21" s="167">
        <v>0</v>
      </c>
      <c r="AL21" s="167">
        <v>0</v>
      </c>
      <c r="AM21" s="385">
        <f t="shared" si="5"/>
        <v>0</v>
      </c>
      <c r="AN21" s="395">
        <v>0</v>
      </c>
      <c r="AO21" s="281">
        <v>0</v>
      </c>
      <c r="AP21" s="281">
        <v>0</v>
      </c>
      <c r="AQ21" s="281">
        <v>0</v>
      </c>
      <c r="AR21" s="281">
        <v>0</v>
      </c>
      <c r="AS21" s="281">
        <v>0</v>
      </c>
      <c r="AT21" s="281">
        <v>0</v>
      </c>
      <c r="AU21" s="281">
        <v>0</v>
      </c>
      <c r="AV21" s="281">
        <v>0</v>
      </c>
      <c r="AW21" s="281">
        <f t="shared" si="6"/>
        <v>0</v>
      </c>
      <c r="AX21" s="220">
        <v>814.44500000000005</v>
      </c>
      <c r="AY21" s="221">
        <f t="shared" si="29"/>
        <v>-814.44500000000005</v>
      </c>
      <c r="AZ21" s="188"/>
    </row>
    <row r="22" spans="1:52">
      <c r="A22" s="196" t="s">
        <v>269</v>
      </c>
      <c r="B22" s="188" t="s">
        <v>26</v>
      </c>
      <c r="C22" s="228">
        <f t="shared" si="26"/>
        <v>0.79336510158082241</v>
      </c>
      <c r="D22" s="228">
        <f t="shared" si="27"/>
        <v>0.73335615431173906</v>
      </c>
      <c r="E22" s="228">
        <f t="shared" si="27"/>
        <v>0.29051893496346759</v>
      </c>
      <c r="F22" s="228">
        <f t="shared" si="28"/>
        <v>0.88451747699750638</v>
      </c>
      <c r="G22" s="228">
        <f t="shared" si="28"/>
        <v>0.73761035199885705</v>
      </c>
      <c r="H22" s="228">
        <f t="shared" si="28"/>
        <v>0.73141588002269342</v>
      </c>
      <c r="I22" s="228">
        <f t="shared" si="28"/>
        <v>0.7269140835283886</v>
      </c>
      <c r="J22" s="228">
        <f t="shared" si="28"/>
        <v>0</v>
      </c>
      <c r="K22" s="228">
        <f t="shared" si="28"/>
        <v>0</v>
      </c>
      <c r="L22" s="228">
        <f t="shared" si="28"/>
        <v>0</v>
      </c>
      <c r="M22" s="228">
        <f t="shared" si="28"/>
        <v>0</v>
      </c>
      <c r="N22" s="228">
        <f t="shared" si="28"/>
        <v>0</v>
      </c>
      <c r="O22" s="228" t="e">
        <f>AF22/#REF!</f>
        <v>#REF!</v>
      </c>
      <c r="Q22" s="362" t="s">
        <v>269</v>
      </c>
      <c r="R22" s="380" t="s">
        <v>26</v>
      </c>
      <c r="S22" s="337">
        <f>'25年PDCA'!AM27</f>
        <v>320.42363636363638</v>
      </c>
      <c r="T22" s="337">
        <f>'25年PDCA'!AN27</f>
        <v>296.18727272727273</v>
      </c>
      <c r="U22" s="337">
        <f>'25年PDCA'!AO27</f>
        <v>117.33454545454543</v>
      </c>
      <c r="V22" s="344"/>
      <c r="W22" s="192">
        <f>'25年PDCA'!AP27</f>
        <v>357.23818181818177</v>
      </c>
      <c r="X22" s="192">
        <f>'25年PDCA'!AQ27</f>
        <v>297.90545454545452</v>
      </c>
      <c r="Y22" s="192">
        <f>'25年PDCA'!AR27</f>
        <v>295.40363636363628</v>
      </c>
      <c r="Z22" s="192">
        <f>'25年PDCA'!AS27</f>
        <v>293.58545454545447</v>
      </c>
      <c r="AA22" s="192">
        <f>'25年PDCA'!AT27</f>
        <v>0</v>
      </c>
      <c r="AB22" s="192">
        <f>'25年PDCA'!AU27</f>
        <v>0</v>
      </c>
      <c r="AC22" s="192">
        <f>'25年PDCA'!AV27</f>
        <v>0</v>
      </c>
      <c r="AD22" s="192">
        <f>'25年PDCA'!AW27</f>
        <v>0</v>
      </c>
      <c r="AE22" s="192">
        <f>'25年PDCA'!AX27</f>
        <v>0</v>
      </c>
      <c r="AF22" s="69">
        <f t="shared" si="4"/>
        <v>1978.0781818181815</v>
      </c>
      <c r="AH22" s="695"/>
      <c r="AI22" s="383" t="s">
        <v>26</v>
      </c>
      <c r="AJ22" s="167">
        <v>403.87916701298701</v>
      </c>
      <c r="AK22" s="167">
        <v>403.87916701298701</v>
      </c>
      <c r="AL22" s="167">
        <v>403.87916701298701</v>
      </c>
      <c r="AM22" s="385">
        <f t="shared" si="5"/>
        <v>1211.6375010389611</v>
      </c>
      <c r="AN22" s="395">
        <v>403.87916701298701</v>
      </c>
      <c r="AO22" s="281">
        <v>403.87916701298701</v>
      </c>
      <c r="AP22" s="281">
        <v>403.87916701298701</v>
      </c>
      <c r="AQ22" s="281">
        <v>403.87916701298701</v>
      </c>
      <c r="AR22" s="281">
        <v>403.87916701298701</v>
      </c>
      <c r="AS22" s="281">
        <v>403.87916701298701</v>
      </c>
      <c r="AT22" s="281">
        <v>403.87916701298701</v>
      </c>
      <c r="AU22" s="281">
        <v>403.87916701298701</v>
      </c>
      <c r="AV22" s="281">
        <v>403.87916701298701</v>
      </c>
      <c r="AW22" s="281">
        <f t="shared" si="6"/>
        <v>6058.1875051948045</v>
      </c>
      <c r="AX22" s="220">
        <v>3753.0250000000001</v>
      </c>
      <c r="AY22" s="221">
        <f t="shared" si="29"/>
        <v>2305.1625051948045</v>
      </c>
      <c r="AZ22" s="188"/>
    </row>
    <row r="23" spans="1:52">
      <c r="A23" s="194" t="s">
        <v>269</v>
      </c>
      <c r="B23" s="194" t="s">
        <v>143</v>
      </c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Q23" s="363"/>
      <c r="R23" s="376" t="s">
        <v>143</v>
      </c>
      <c r="S23" s="338">
        <v>8162.6407068480803</v>
      </c>
      <c r="T23" s="338">
        <v>8162.6407068480803</v>
      </c>
      <c r="U23" s="338">
        <v>8162.6407068480803</v>
      </c>
      <c r="V23" s="347">
        <f t="shared" si="3"/>
        <v>24487.922120544241</v>
      </c>
      <c r="W23" s="195"/>
      <c r="X23" s="195"/>
      <c r="Y23" s="195"/>
      <c r="Z23" s="195"/>
      <c r="AA23" s="195"/>
      <c r="AB23" s="195"/>
      <c r="AC23" s="195"/>
      <c r="AD23" s="195"/>
      <c r="AE23" s="195"/>
      <c r="AF23" s="177"/>
      <c r="AH23" s="695"/>
      <c r="AI23" s="267" t="s">
        <v>143</v>
      </c>
      <c r="AJ23" s="282">
        <f>SUM(AJ18:AJ22)</f>
        <v>8162.6407068480803</v>
      </c>
      <c r="AK23" s="282">
        <f t="shared" ref="AK23:AV23" si="30">SUM(AK18:AK22)</f>
        <v>8162.6407068480803</v>
      </c>
      <c r="AL23" s="282">
        <f t="shared" si="30"/>
        <v>8162.6407068480803</v>
      </c>
      <c r="AM23" s="391">
        <f t="shared" si="5"/>
        <v>24487.922120544241</v>
      </c>
      <c r="AN23" s="390">
        <f t="shared" si="30"/>
        <v>8162.6407068480803</v>
      </c>
      <c r="AO23" s="282">
        <f t="shared" si="30"/>
        <v>8162.6407068480803</v>
      </c>
      <c r="AP23" s="282">
        <f t="shared" si="30"/>
        <v>8162.6407068480803</v>
      </c>
      <c r="AQ23" s="282">
        <f t="shared" si="30"/>
        <v>8162.6407068480803</v>
      </c>
      <c r="AR23" s="282">
        <f t="shared" si="30"/>
        <v>8162.6407068480803</v>
      </c>
      <c r="AS23" s="282">
        <f t="shared" si="30"/>
        <v>8162.6407068480803</v>
      </c>
      <c r="AT23" s="282">
        <f t="shared" si="30"/>
        <v>8162.6407068480803</v>
      </c>
      <c r="AU23" s="282">
        <f t="shared" si="30"/>
        <v>8162.6407068480803</v>
      </c>
      <c r="AV23" s="282">
        <f t="shared" si="30"/>
        <v>8162.6407068480803</v>
      </c>
      <c r="AW23" s="282">
        <f t="shared" ref="AW23" si="31">SUM(AJ23:AV23)</f>
        <v>122439.61060272118</v>
      </c>
      <c r="AX23" s="220"/>
      <c r="AY23" s="221"/>
      <c r="AZ23" s="188"/>
    </row>
    <row r="24" spans="1:52">
      <c r="A24" s="197"/>
      <c r="B24" s="176" t="s">
        <v>142</v>
      </c>
      <c r="C24" s="223">
        <f>S24/AJ24</f>
        <v>1</v>
      </c>
      <c r="D24" s="223">
        <f>T24/AK24</f>
        <v>1</v>
      </c>
      <c r="E24" s="223">
        <f>U24/AL24</f>
        <v>1</v>
      </c>
      <c r="F24" s="223" t="e">
        <f t="shared" ref="F24:N24" si="32">W24/AN24</f>
        <v>#DIV/0!</v>
      </c>
      <c r="G24" s="223" t="e">
        <f t="shared" si="32"/>
        <v>#DIV/0!</v>
      </c>
      <c r="H24" s="223" t="e">
        <f t="shared" si="32"/>
        <v>#DIV/0!</v>
      </c>
      <c r="I24" s="223" t="e">
        <f t="shared" si="32"/>
        <v>#DIV/0!</v>
      </c>
      <c r="J24" s="223" t="e">
        <f t="shared" si="32"/>
        <v>#DIV/0!</v>
      </c>
      <c r="K24" s="223" t="e">
        <f t="shared" si="32"/>
        <v>#DIV/0!</v>
      </c>
      <c r="L24" s="223" t="e">
        <f t="shared" si="32"/>
        <v>#DIV/0!</v>
      </c>
      <c r="M24" s="223" t="e">
        <f t="shared" si="32"/>
        <v>#DIV/0!</v>
      </c>
      <c r="N24" s="223" t="e">
        <f t="shared" si="32"/>
        <v>#DIV/0!</v>
      </c>
      <c r="O24" s="226"/>
      <c r="Q24" s="364" t="s">
        <v>42</v>
      </c>
      <c r="R24" s="376" t="s">
        <v>142</v>
      </c>
      <c r="S24" s="339">
        <f>SUM(S19:S22)</f>
        <v>8878.6308181818167</v>
      </c>
      <c r="T24" s="339">
        <f t="shared" ref="T24:AE24" si="33">SUM(T19:T22)</f>
        <v>6954.7164545454534</v>
      </c>
      <c r="U24" s="339">
        <f t="shared" si="33"/>
        <v>7507.2065454545464</v>
      </c>
      <c r="V24" s="347">
        <f t="shared" si="3"/>
        <v>23340.553818181819</v>
      </c>
      <c r="W24" s="198">
        <f t="shared" si="33"/>
        <v>7496.1260909090906</v>
      </c>
      <c r="X24" s="198">
        <f t="shared" si="33"/>
        <v>6811.7775454545463</v>
      </c>
      <c r="Y24" s="198">
        <f t="shared" si="33"/>
        <v>10337.373818181819</v>
      </c>
      <c r="Z24" s="198">
        <f t="shared" si="33"/>
        <v>7199.1700000000019</v>
      </c>
      <c r="AA24" s="198">
        <f t="shared" si="33"/>
        <v>0</v>
      </c>
      <c r="AB24" s="198">
        <f t="shared" si="33"/>
        <v>0</v>
      </c>
      <c r="AC24" s="198">
        <f t="shared" si="33"/>
        <v>0</v>
      </c>
      <c r="AD24" s="198">
        <f t="shared" si="33"/>
        <v>0</v>
      </c>
      <c r="AE24" s="198">
        <f t="shared" si="33"/>
        <v>0</v>
      </c>
      <c r="AF24" s="177">
        <f>SUM(S24:AE24)</f>
        <v>78525.555090909096</v>
      </c>
      <c r="AH24" s="695"/>
      <c r="AI24" s="267" t="s">
        <v>142</v>
      </c>
      <c r="AJ24" s="282">
        <f>SUM(S19:S22)</f>
        <v>8878.6308181818167</v>
      </c>
      <c r="AK24" s="282">
        <f t="shared" ref="AK24:AL24" si="34">SUM(T19:T22)</f>
        <v>6954.7164545454534</v>
      </c>
      <c r="AL24" s="282">
        <f t="shared" si="34"/>
        <v>7507.2065454545464</v>
      </c>
      <c r="AM24" s="391">
        <f t="shared" si="5"/>
        <v>23340.553818181819</v>
      </c>
      <c r="AN24" s="390"/>
      <c r="AO24" s="282"/>
      <c r="AP24" s="282"/>
      <c r="AQ24" s="282"/>
      <c r="AR24" s="282"/>
      <c r="AS24" s="282"/>
      <c r="AT24" s="282"/>
      <c r="AU24" s="282"/>
      <c r="AV24" s="282"/>
      <c r="AW24" s="282">
        <f t="shared" si="6"/>
        <v>46681.107636363638</v>
      </c>
      <c r="AX24" s="220">
        <f>SUM(AX19:AX22)</f>
        <v>114686.62400000001</v>
      </c>
      <c r="AY24" s="221">
        <f t="shared" si="29"/>
        <v>-68005.516363636372</v>
      </c>
      <c r="AZ24" s="219">
        <f>AW24/$AW$36</f>
        <v>0.16124002210153893</v>
      </c>
    </row>
    <row r="25" spans="1:52">
      <c r="A25" s="197"/>
      <c r="B25" s="176" t="s">
        <v>146</v>
      </c>
      <c r="C25" s="223">
        <f>S25/AJ25</f>
        <v>1</v>
      </c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6"/>
      <c r="Q25" s="364"/>
      <c r="R25" s="376" t="s">
        <v>146</v>
      </c>
      <c r="S25" s="339">
        <f>S24-S23</f>
        <v>715.99011133373642</v>
      </c>
      <c r="T25" s="339">
        <f t="shared" ref="T25:U25" si="35">T24-T23</f>
        <v>-1207.9242523026269</v>
      </c>
      <c r="U25" s="339">
        <f t="shared" si="35"/>
        <v>-655.43416139353394</v>
      </c>
      <c r="V25" s="347">
        <f t="shared" si="3"/>
        <v>-1147.3683023624244</v>
      </c>
      <c r="W25" s="198"/>
      <c r="X25" s="198"/>
      <c r="Y25" s="198"/>
      <c r="Z25" s="198"/>
      <c r="AA25" s="198"/>
      <c r="AB25" s="198"/>
      <c r="AC25" s="198"/>
      <c r="AD25" s="198"/>
      <c r="AE25" s="198"/>
      <c r="AF25" s="177"/>
      <c r="AH25" s="695"/>
      <c r="AI25" s="267" t="s">
        <v>146</v>
      </c>
      <c r="AJ25" s="282">
        <f>AJ24-AJ23</f>
        <v>715.99011133373642</v>
      </c>
      <c r="AK25" s="282">
        <f t="shared" ref="AK25:AL25" si="36">AK24-AK23</f>
        <v>-1207.9242523026269</v>
      </c>
      <c r="AL25" s="282">
        <f t="shared" si="36"/>
        <v>-655.43416139353394</v>
      </c>
      <c r="AM25" s="391">
        <f t="shared" si="5"/>
        <v>-1147.3683023624244</v>
      </c>
      <c r="AN25" s="390"/>
      <c r="AO25" s="282"/>
      <c r="AP25" s="282"/>
      <c r="AQ25" s="282"/>
      <c r="AR25" s="282"/>
      <c r="AS25" s="282"/>
      <c r="AT25" s="282"/>
      <c r="AU25" s="282"/>
      <c r="AV25" s="282"/>
      <c r="AW25" s="282"/>
      <c r="AX25" s="220"/>
      <c r="AY25" s="221"/>
      <c r="AZ25" s="219"/>
    </row>
    <row r="26" spans="1:52" ht="12" thickBot="1">
      <c r="A26" s="197"/>
      <c r="B26" s="176" t="s">
        <v>145</v>
      </c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Q26" s="365"/>
      <c r="R26" s="377" t="s">
        <v>145</v>
      </c>
      <c r="S26" s="366">
        <f>S24/S23</f>
        <v>1.0877155000504988</v>
      </c>
      <c r="T26" s="366">
        <f t="shared" ref="T26:V26" si="37">T24/T23</f>
        <v>0.85201795648199563</v>
      </c>
      <c r="U26" s="366">
        <f t="shared" si="37"/>
        <v>0.91970317144503799</v>
      </c>
      <c r="V26" s="367">
        <f t="shared" si="37"/>
        <v>0.95314554265917761</v>
      </c>
      <c r="W26" s="198"/>
      <c r="X26" s="198"/>
      <c r="Y26" s="198"/>
      <c r="Z26" s="198"/>
      <c r="AA26" s="198"/>
      <c r="AB26" s="198"/>
      <c r="AC26" s="198"/>
      <c r="AD26" s="198"/>
      <c r="AE26" s="198"/>
      <c r="AF26" s="177"/>
      <c r="AH26" s="696"/>
      <c r="AI26" s="392" t="s">
        <v>145</v>
      </c>
      <c r="AJ26" s="393">
        <f>AJ24/AJ23</f>
        <v>1.0877155000504988</v>
      </c>
      <c r="AK26" s="393">
        <f t="shared" ref="AK26:AL26" si="38">AK24/AK23</f>
        <v>0.85201795648199563</v>
      </c>
      <c r="AL26" s="393">
        <f t="shared" si="38"/>
        <v>0.91970317144503799</v>
      </c>
      <c r="AM26" s="394">
        <f>AM24/AM23</f>
        <v>0.95314554265917761</v>
      </c>
      <c r="AN26" s="390"/>
      <c r="AO26" s="282"/>
      <c r="AP26" s="282"/>
      <c r="AQ26" s="282"/>
      <c r="AR26" s="282"/>
      <c r="AS26" s="282"/>
      <c r="AT26" s="282"/>
      <c r="AU26" s="282"/>
      <c r="AV26" s="282"/>
      <c r="AW26" s="282"/>
      <c r="AX26" s="220"/>
      <c r="AY26" s="221"/>
      <c r="AZ26" s="219"/>
    </row>
    <row r="27" spans="1:52">
      <c r="A27" s="65" t="s">
        <v>273</v>
      </c>
      <c r="B27" s="65" t="s">
        <v>272</v>
      </c>
      <c r="C27" s="228">
        <f t="shared" ref="C27:C31" si="39">S27/AJ27</f>
        <v>0.81148281007202416</v>
      </c>
      <c r="D27" s="228">
        <f t="shared" ref="D27:E31" si="40">T27/AK27</f>
        <v>1.3467131234894858</v>
      </c>
      <c r="E27" s="228">
        <f t="shared" si="40"/>
        <v>1.4068068970976115</v>
      </c>
      <c r="F27" s="228">
        <f t="shared" ref="F27:O31" si="41">W27/AN27</f>
        <v>1.2026099208691452</v>
      </c>
      <c r="G27" s="228">
        <f t="shared" si="41"/>
        <v>0.94803893800909378</v>
      </c>
      <c r="H27" s="228">
        <f t="shared" si="41"/>
        <v>1.1835136504970591</v>
      </c>
      <c r="I27" s="228">
        <f t="shared" si="41"/>
        <v>1.3097273175186033</v>
      </c>
      <c r="J27" s="228">
        <f t="shared" si="41"/>
        <v>0</v>
      </c>
      <c r="K27" s="228">
        <f t="shared" si="41"/>
        <v>0</v>
      </c>
      <c r="L27" s="228">
        <f t="shared" si="41"/>
        <v>0</v>
      </c>
      <c r="M27" s="228">
        <f t="shared" si="41"/>
        <v>0</v>
      </c>
      <c r="N27" s="228">
        <f t="shared" si="41"/>
        <v>0</v>
      </c>
      <c r="O27" s="237">
        <f t="shared" si="41"/>
        <v>0.76575739989887892</v>
      </c>
      <c r="Q27" s="351" t="s">
        <v>273</v>
      </c>
      <c r="R27" s="378" t="s">
        <v>272</v>
      </c>
      <c r="S27" s="352">
        <f>'25年PDCA'!AM29</f>
        <v>2649.7272727272725</v>
      </c>
      <c r="T27" s="352">
        <f>'25年PDCA'!AN29</f>
        <v>6123.8654545454538</v>
      </c>
      <c r="U27" s="352">
        <f>'25年PDCA'!AO29</f>
        <v>5134.681818181818</v>
      </c>
      <c r="V27" s="353">
        <f t="shared" si="3"/>
        <v>13908.274545454544</v>
      </c>
      <c r="W27" s="174">
        <f>'25年PDCA'!AP29</f>
        <v>3618.5272727272722</v>
      </c>
      <c r="X27" s="174">
        <f>'25年PDCA'!AQ29</f>
        <v>3095.6227272727269</v>
      </c>
      <c r="Y27" s="174">
        <f>'25年PDCA'!AR29</f>
        <v>4167.9636363636364</v>
      </c>
      <c r="Z27" s="174">
        <f>'25年PDCA'!AS29</f>
        <v>4108.7363636363634</v>
      </c>
      <c r="AA27" s="174">
        <f>'25年PDCA'!AT29</f>
        <v>0</v>
      </c>
      <c r="AB27" s="174">
        <f>'25年PDCA'!AU29</f>
        <v>0</v>
      </c>
      <c r="AC27" s="174">
        <f>'25年PDCA'!AV29</f>
        <v>0</v>
      </c>
      <c r="AD27" s="174">
        <f>'25年PDCA'!AW29</f>
        <v>0</v>
      </c>
      <c r="AE27" s="174">
        <f>'25年PDCA'!AX29</f>
        <v>0</v>
      </c>
      <c r="AF27" s="180">
        <f t="shared" si="4"/>
        <v>42807.399090909094</v>
      </c>
      <c r="AH27" s="693" t="s">
        <v>49</v>
      </c>
      <c r="AI27" s="82" t="s">
        <v>272</v>
      </c>
      <c r="AJ27" s="83">
        <v>3265.2906997402602</v>
      </c>
      <c r="AK27" s="83">
        <v>4547.2679724675336</v>
      </c>
      <c r="AL27" s="83">
        <v>3649.8838815584422</v>
      </c>
      <c r="AM27" s="384">
        <f t="shared" si="5"/>
        <v>11462.442553766236</v>
      </c>
      <c r="AN27" s="389">
        <v>3008.8952451948057</v>
      </c>
      <c r="AO27" s="85">
        <v>3265.2906997402602</v>
      </c>
      <c r="AP27" s="85">
        <v>3521.686154285715</v>
      </c>
      <c r="AQ27" s="85">
        <v>3137.0929724675329</v>
      </c>
      <c r="AR27" s="85">
        <v>4034.4770633766238</v>
      </c>
      <c r="AS27" s="85">
        <v>4675.4656997402608</v>
      </c>
      <c r="AT27" s="85">
        <v>4675.4656997402608</v>
      </c>
      <c r="AU27" s="85">
        <v>3393.4884270129878</v>
      </c>
      <c r="AV27" s="85">
        <v>3265.2906997402602</v>
      </c>
      <c r="AW27" s="68">
        <f t="shared" si="6"/>
        <v>55902.037768831186</v>
      </c>
      <c r="AX27" s="180">
        <v>36992.930999999997</v>
      </c>
      <c r="AY27" s="221">
        <f t="shared" si="29"/>
        <v>18909.106768831189</v>
      </c>
      <c r="AZ27" s="219">
        <f>AW27/$AW$36</f>
        <v>0.19308980145848031</v>
      </c>
    </row>
    <row r="28" spans="1:52">
      <c r="A28" s="65" t="s">
        <v>276</v>
      </c>
      <c r="B28" s="65" t="s">
        <v>275</v>
      </c>
      <c r="C28" s="228" t="e">
        <f>S28/AJ28</f>
        <v>#DIV/0!</v>
      </c>
      <c r="D28" s="228" t="e">
        <f t="shared" si="40"/>
        <v>#DIV/0!</v>
      </c>
      <c r="E28" s="228" t="e">
        <f t="shared" si="40"/>
        <v>#DIV/0!</v>
      </c>
      <c r="F28" s="228" t="e">
        <f t="shared" si="41"/>
        <v>#DIV/0!</v>
      </c>
      <c r="G28" s="228" t="e">
        <f t="shared" si="41"/>
        <v>#DIV/0!</v>
      </c>
      <c r="H28" s="228" t="e">
        <f t="shared" si="41"/>
        <v>#DIV/0!</v>
      </c>
      <c r="I28" s="228" t="e">
        <f t="shared" si="41"/>
        <v>#DIV/0!</v>
      </c>
      <c r="J28" s="228" t="e">
        <f t="shared" si="41"/>
        <v>#DIV/0!</v>
      </c>
      <c r="K28" s="228" t="e">
        <f t="shared" si="41"/>
        <v>#DIV/0!</v>
      </c>
      <c r="L28" s="228" t="e">
        <f t="shared" si="41"/>
        <v>#DIV/0!</v>
      </c>
      <c r="M28" s="228" t="e">
        <f t="shared" si="41"/>
        <v>#DIV/0!</v>
      </c>
      <c r="N28" s="228" t="e">
        <f t="shared" si="41"/>
        <v>#DIV/0!</v>
      </c>
      <c r="O28" s="237" t="e">
        <f t="shared" si="41"/>
        <v>#DIV/0!</v>
      </c>
      <c r="Q28" s="343" t="s">
        <v>276</v>
      </c>
      <c r="R28" s="79" t="s">
        <v>275</v>
      </c>
      <c r="S28" s="243">
        <f>'25年PDCA'!AM30</f>
        <v>5</v>
      </c>
      <c r="T28" s="243">
        <f>'25年PDCA'!AN30</f>
        <v>33</v>
      </c>
      <c r="U28" s="243">
        <f>'25年PDCA'!AO30</f>
        <v>27</v>
      </c>
      <c r="V28" s="344">
        <f t="shared" si="3"/>
        <v>65</v>
      </c>
      <c r="W28" s="174">
        <f>'25年PDCA'!AP30</f>
        <v>8</v>
      </c>
      <c r="X28" s="174">
        <f>'25年PDCA'!AQ30</f>
        <v>8</v>
      </c>
      <c r="Y28" s="174">
        <f>'25年PDCA'!AR30</f>
        <v>0</v>
      </c>
      <c r="Z28" s="174">
        <f>'25年PDCA'!AS30</f>
        <v>18</v>
      </c>
      <c r="AA28" s="174">
        <f>'25年PDCA'!AT30</f>
        <v>0</v>
      </c>
      <c r="AB28" s="174">
        <f>'25年PDCA'!AU30</f>
        <v>0</v>
      </c>
      <c r="AC28" s="174">
        <f>'25年PDCA'!AV30</f>
        <v>0</v>
      </c>
      <c r="AD28" s="174">
        <f>'25年PDCA'!AW30</f>
        <v>0</v>
      </c>
      <c r="AE28" s="174">
        <f>'25年PDCA'!AX30</f>
        <v>0</v>
      </c>
      <c r="AF28" s="180">
        <f t="shared" si="4"/>
        <v>164</v>
      </c>
      <c r="AH28" s="691"/>
      <c r="AI28" s="84" t="s">
        <v>275</v>
      </c>
      <c r="AJ28" s="85">
        <v>0</v>
      </c>
      <c r="AK28" s="85">
        <v>0</v>
      </c>
      <c r="AL28" s="85">
        <v>0</v>
      </c>
      <c r="AM28" s="385">
        <f t="shared" si="5"/>
        <v>0</v>
      </c>
      <c r="AN28" s="389">
        <v>0</v>
      </c>
      <c r="AO28" s="85">
        <v>0</v>
      </c>
      <c r="AP28" s="85">
        <v>0</v>
      </c>
      <c r="AQ28" s="85">
        <v>0</v>
      </c>
      <c r="AR28" s="85">
        <v>0</v>
      </c>
      <c r="AS28" s="85">
        <v>0</v>
      </c>
      <c r="AT28" s="85">
        <v>0</v>
      </c>
      <c r="AU28" s="85">
        <v>0</v>
      </c>
      <c r="AV28" s="85">
        <v>0</v>
      </c>
      <c r="AW28" s="68">
        <f t="shared" si="6"/>
        <v>0</v>
      </c>
      <c r="AX28" s="180">
        <v>818.83333333333303</v>
      </c>
      <c r="AY28" s="221">
        <f t="shared" si="29"/>
        <v>-818.83333333333303</v>
      </c>
      <c r="AZ28" s="219">
        <f>AW28/$AW$36</f>
        <v>0</v>
      </c>
    </row>
    <row r="29" spans="1:52">
      <c r="A29" s="65" t="s">
        <v>278</v>
      </c>
      <c r="B29" s="65" t="s">
        <v>158</v>
      </c>
      <c r="C29" s="228">
        <f t="shared" si="39"/>
        <v>1.402626548084116</v>
      </c>
      <c r="D29" s="228">
        <f t="shared" si="40"/>
        <v>2.9895766402513027</v>
      </c>
      <c r="E29" s="228">
        <f t="shared" si="40"/>
        <v>2.8545955077269598</v>
      </c>
      <c r="F29" s="228">
        <f t="shared" si="41"/>
        <v>2.540508937023219</v>
      </c>
      <c r="G29" s="228">
        <f t="shared" si="41"/>
        <v>2.3827439177326304</v>
      </c>
      <c r="H29" s="228">
        <f t="shared" si="41"/>
        <v>1.9111405230249643</v>
      </c>
      <c r="I29" s="228">
        <f t="shared" si="41"/>
        <v>1.9100347469334777</v>
      </c>
      <c r="J29" s="228">
        <f t="shared" si="41"/>
        <v>0</v>
      </c>
      <c r="K29" s="228">
        <f t="shared" si="41"/>
        <v>0</v>
      </c>
      <c r="L29" s="228">
        <f t="shared" si="41"/>
        <v>0</v>
      </c>
      <c r="M29" s="228">
        <f t="shared" si="41"/>
        <v>0</v>
      </c>
      <c r="N29" s="228">
        <f t="shared" si="41"/>
        <v>0</v>
      </c>
      <c r="O29" s="237">
        <f t="shared" si="41"/>
        <v>1.3108106743331907</v>
      </c>
      <c r="Q29" s="343" t="s">
        <v>278</v>
      </c>
      <c r="R29" s="79" t="s">
        <v>158</v>
      </c>
      <c r="S29" s="243">
        <f>'25年PDCA'!AM31</f>
        <v>67.5</v>
      </c>
      <c r="T29" s="243">
        <f>'25年PDCA'!AN31</f>
        <v>167.5</v>
      </c>
      <c r="U29" s="243">
        <f>'25年PDCA'!AO31</f>
        <v>182.5</v>
      </c>
      <c r="V29" s="344">
        <f t="shared" si="3"/>
        <v>417.5</v>
      </c>
      <c r="W29" s="174">
        <f>'25年PDCA'!AP31</f>
        <v>182.5</v>
      </c>
      <c r="X29" s="174">
        <f>'25年PDCA'!AQ31</f>
        <v>189.99999999999997</v>
      </c>
      <c r="Y29" s="174">
        <f>'25年PDCA'!AR31</f>
        <v>167.49999999999997</v>
      </c>
      <c r="Z29" s="174">
        <f>'25年PDCA'!AS31</f>
        <v>182.49999999999997</v>
      </c>
      <c r="AA29" s="174">
        <f>'25年PDCA'!AT31</f>
        <v>0</v>
      </c>
      <c r="AB29" s="174">
        <f>'25年PDCA'!AU31</f>
        <v>0</v>
      </c>
      <c r="AC29" s="174">
        <f>'25年PDCA'!AV31</f>
        <v>0</v>
      </c>
      <c r="AD29" s="174">
        <f>'25年PDCA'!AW31</f>
        <v>0</v>
      </c>
      <c r="AE29" s="174">
        <f>'25年PDCA'!AX31</f>
        <v>0</v>
      </c>
      <c r="AF29" s="180">
        <f t="shared" si="4"/>
        <v>1557.5</v>
      </c>
      <c r="AH29" s="691"/>
      <c r="AI29" s="84" t="s">
        <v>158</v>
      </c>
      <c r="AJ29" s="85">
        <v>48.124000000000002</v>
      </c>
      <c r="AK29" s="85">
        <v>56.028000000000006</v>
      </c>
      <c r="AL29" s="85">
        <v>63.932000000000002</v>
      </c>
      <c r="AM29" s="385">
        <f t="shared" si="5"/>
        <v>168.084</v>
      </c>
      <c r="AN29" s="389">
        <v>71.836000000000013</v>
      </c>
      <c r="AO29" s="85">
        <v>79.740000000000009</v>
      </c>
      <c r="AP29" s="85">
        <v>87.644000000000005</v>
      </c>
      <c r="AQ29" s="85">
        <v>95.548000000000016</v>
      </c>
      <c r="AR29" s="85">
        <v>103.45200000000003</v>
      </c>
      <c r="AS29" s="85">
        <v>103.45200000000003</v>
      </c>
      <c r="AT29" s="85">
        <v>103.45200000000003</v>
      </c>
      <c r="AU29" s="85">
        <v>103.45200000000003</v>
      </c>
      <c r="AV29" s="85">
        <v>103.45200000000003</v>
      </c>
      <c r="AW29" s="68">
        <f t="shared" si="6"/>
        <v>1188.1960000000001</v>
      </c>
      <c r="AX29" s="180">
        <v>1020.1120000000001</v>
      </c>
      <c r="AY29" s="221">
        <f t="shared" si="29"/>
        <v>168.08400000000006</v>
      </c>
      <c r="AZ29" s="219"/>
    </row>
    <row r="30" spans="1:52">
      <c r="A30" s="65" t="s">
        <v>280</v>
      </c>
      <c r="B30" s="65" t="s">
        <v>159</v>
      </c>
      <c r="C30" s="228" t="e">
        <f t="shared" si="39"/>
        <v>#DIV/0!</v>
      </c>
      <c r="D30" s="228" t="e">
        <f t="shared" si="40"/>
        <v>#DIV/0!</v>
      </c>
      <c r="E30" s="228" t="e">
        <f t="shared" si="40"/>
        <v>#DIV/0!</v>
      </c>
      <c r="F30" s="228">
        <f t="shared" si="41"/>
        <v>1.283076923076923</v>
      </c>
      <c r="G30" s="228">
        <f t="shared" si="41"/>
        <v>0</v>
      </c>
      <c r="H30" s="228">
        <f t="shared" si="41"/>
        <v>1.2444444444444445</v>
      </c>
      <c r="I30" s="228" t="e">
        <f t="shared" si="41"/>
        <v>#DIV/0!</v>
      </c>
      <c r="J30" s="228" t="e">
        <f t="shared" si="41"/>
        <v>#DIV/0!</v>
      </c>
      <c r="K30" s="228" t="e">
        <f t="shared" si="41"/>
        <v>#DIV/0!</v>
      </c>
      <c r="L30" s="228" t="e">
        <f t="shared" si="41"/>
        <v>#DIV/0!</v>
      </c>
      <c r="M30" s="228">
        <f t="shared" si="41"/>
        <v>0</v>
      </c>
      <c r="N30" s="228" t="e">
        <f t="shared" si="41"/>
        <v>#DIV/0!</v>
      </c>
      <c r="O30" s="237">
        <f t="shared" si="41"/>
        <v>0.67236514522821578</v>
      </c>
      <c r="Q30" s="343" t="s">
        <v>280</v>
      </c>
      <c r="R30" s="79" t="s">
        <v>159</v>
      </c>
      <c r="S30" s="243">
        <f>'25年PDCA'!AM32</f>
        <v>0</v>
      </c>
      <c r="T30" s="243">
        <f>'25年PDCA'!AN32</f>
        <v>0</v>
      </c>
      <c r="U30" s="243">
        <f>'25年PDCA'!AO32</f>
        <v>0</v>
      </c>
      <c r="V30" s="344"/>
      <c r="W30" s="174">
        <f>'25年PDCA'!AP32</f>
        <v>5004</v>
      </c>
      <c r="X30" s="174">
        <f>'25年PDCA'!AQ32</f>
        <v>0</v>
      </c>
      <c r="Y30" s="174">
        <f>'25年PDCA'!AR32</f>
        <v>11200</v>
      </c>
      <c r="Z30" s="174">
        <f>'25年PDCA'!AS32</f>
        <v>0</v>
      </c>
      <c r="AA30" s="174">
        <f>'25年PDCA'!AT32</f>
        <v>0</v>
      </c>
      <c r="AB30" s="174">
        <f>'25年PDCA'!AU32</f>
        <v>0</v>
      </c>
      <c r="AC30" s="174">
        <f>'25年PDCA'!AV32</f>
        <v>0</v>
      </c>
      <c r="AD30" s="174">
        <f>'25年PDCA'!AW32</f>
        <v>0</v>
      </c>
      <c r="AE30" s="174">
        <f>'25年PDCA'!AX32</f>
        <v>0</v>
      </c>
      <c r="AF30" s="235">
        <f t="shared" si="4"/>
        <v>16204</v>
      </c>
      <c r="AH30" s="691"/>
      <c r="AI30" s="84" t="s">
        <v>159</v>
      </c>
      <c r="AJ30" s="85">
        <v>0</v>
      </c>
      <c r="AK30" s="85">
        <v>0</v>
      </c>
      <c r="AL30" s="85">
        <v>0</v>
      </c>
      <c r="AM30" s="385">
        <f t="shared" si="5"/>
        <v>0</v>
      </c>
      <c r="AN30" s="389">
        <v>3900</v>
      </c>
      <c r="AO30" s="85">
        <v>5200</v>
      </c>
      <c r="AP30" s="85">
        <v>9000</v>
      </c>
      <c r="AQ30" s="85">
        <v>0</v>
      </c>
      <c r="AR30" s="85">
        <v>0</v>
      </c>
      <c r="AS30" s="85">
        <v>0</v>
      </c>
      <c r="AT30" s="85">
        <v>0</v>
      </c>
      <c r="AU30" s="85">
        <v>6000</v>
      </c>
      <c r="AV30" s="85">
        <v>0</v>
      </c>
      <c r="AW30" s="68">
        <f t="shared" si="6"/>
        <v>24100</v>
      </c>
      <c r="AX30" s="180">
        <v>20973.590636363599</v>
      </c>
      <c r="AY30" s="221">
        <f t="shared" si="29"/>
        <v>3126.4093636364014</v>
      </c>
      <c r="AZ30" s="219">
        <f>AW30/$AW$36</f>
        <v>8.3243194718457425E-2</v>
      </c>
    </row>
    <row r="31" spans="1:52">
      <c r="A31" s="65" t="s">
        <v>282</v>
      </c>
      <c r="B31" s="65" t="s">
        <v>160</v>
      </c>
      <c r="C31" s="241">
        <f t="shared" si="39"/>
        <v>0.73054204632752096</v>
      </c>
      <c r="D31" s="241">
        <f t="shared" si="40"/>
        <v>0.35521720138333029</v>
      </c>
      <c r="E31" s="241">
        <f t="shared" si="40"/>
        <v>0.74969211706937033</v>
      </c>
      <c r="F31" s="241">
        <f t="shared" si="41"/>
        <v>0.49951654057083622</v>
      </c>
      <c r="G31" s="241">
        <f t="shared" si="41"/>
        <v>0.93439237612164072</v>
      </c>
      <c r="H31" s="241">
        <f t="shared" si="41"/>
        <v>0.86616855347215505</v>
      </c>
      <c r="I31" s="241">
        <f t="shared" si="41"/>
        <v>0.93757081718660995</v>
      </c>
      <c r="J31" s="241">
        <f t="shared" si="41"/>
        <v>0</v>
      </c>
      <c r="K31" s="241">
        <f t="shared" si="41"/>
        <v>0</v>
      </c>
      <c r="L31" s="241">
        <f t="shared" si="41"/>
        <v>0</v>
      </c>
      <c r="M31" s="241">
        <f t="shared" si="41"/>
        <v>0</v>
      </c>
      <c r="N31" s="241">
        <f t="shared" si="41"/>
        <v>0</v>
      </c>
      <c r="O31" s="242">
        <f t="shared" si="41"/>
        <v>0.42899859717031014</v>
      </c>
      <c r="Q31" s="343" t="s">
        <v>282</v>
      </c>
      <c r="R31" s="79" t="s">
        <v>160</v>
      </c>
      <c r="S31" s="243">
        <f>'25年PDCA'!AM33</f>
        <v>3895.0635454545454</v>
      </c>
      <c r="T31" s="243">
        <f>'25年PDCA'!AN33</f>
        <v>1893.9273636363635</v>
      </c>
      <c r="U31" s="243">
        <f>'25年PDCA'!AO33</f>
        <v>3463.8222727272719</v>
      </c>
      <c r="V31" s="344">
        <f t="shared" si="3"/>
        <v>9252.813181818181</v>
      </c>
      <c r="W31" s="243">
        <f>'25年PDCA'!AP33</f>
        <v>2307.9294545454541</v>
      </c>
      <c r="X31" s="243">
        <f>'25年PDCA'!AQ33</f>
        <v>5646.6850909090899</v>
      </c>
      <c r="Y31" s="243">
        <f>'25年PDCA'!AR33</f>
        <v>7699.2294545454552</v>
      </c>
      <c r="Z31" s="243">
        <f>'25年PDCA'!AS33</f>
        <v>9000.9172727272726</v>
      </c>
      <c r="AA31" s="243">
        <f>'25年PDCA'!AT33</f>
        <v>0</v>
      </c>
      <c r="AB31" s="243">
        <f>'25年PDCA'!AU33</f>
        <v>0</v>
      </c>
      <c r="AC31" s="243">
        <f>'25年PDCA'!AV33</f>
        <v>0</v>
      </c>
      <c r="AD31" s="243">
        <f>'25年PDCA'!AW33</f>
        <v>0</v>
      </c>
      <c r="AE31" s="243">
        <f>'25年PDCA'!AX33</f>
        <v>0</v>
      </c>
      <c r="AF31" s="235">
        <f t="shared" si="4"/>
        <v>43160.387636363637</v>
      </c>
      <c r="AH31" s="691"/>
      <c r="AI31" s="84" t="s">
        <v>160</v>
      </c>
      <c r="AJ31" s="85">
        <v>5331.7445108536403</v>
      </c>
      <c r="AK31" s="85">
        <v>5331.7445108536403</v>
      </c>
      <c r="AL31" s="85">
        <v>4620.3263898088426</v>
      </c>
      <c r="AM31" s="385">
        <f t="shared" si="5"/>
        <v>15283.815411516123</v>
      </c>
      <c r="AN31" s="389">
        <v>4620.3263898088426</v>
      </c>
      <c r="AO31" s="85">
        <v>6043.1626318984381</v>
      </c>
      <c r="AP31" s="85">
        <v>8888.8351160776292</v>
      </c>
      <c r="AQ31" s="85">
        <v>9600.2532371224279</v>
      </c>
      <c r="AR31" s="85">
        <v>8177.4169950328323</v>
      </c>
      <c r="AS31" s="85">
        <v>8177.4169950328323</v>
      </c>
      <c r="AT31" s="85">
        <v>8177.4169950328323</v>
      </c>
      <c r="AU31" s="85">
        <v>8177.4169950328323</v>
      </c>
      <c r="AV31" s="85">
        <v>8177.4169950328323</v>
      </c>
      <c r="AW31" s="68">
        <f t="shared" si="6"/>
        <v>100607.29317310377</v>
      </c>
      <c r="AX31" s="235">
        <v>63132.13</v>
      </c>
      <c r="AY31" s="221">
        <f t="shared" si="29"/>
        <v>37475.163173103771</v>
      </c>
      <c r="AZ31" s="219">
        <f>AW31/$AW$36</f>
        <v>0.34750508280936138</v>
      </c>
    </row>
    <row r="32" spans="1:52">
      <c r="A32" s="176" t="s">
        <v>49</v>
      </c>
      <c r="B32" s="176" t="s">
        <v>143</v>
      </c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Q32" s="346"/>
      <c r="R32" s="376" t="s">
        <v>143</v>
      </c>
      <c r="S32" s="246">
        <v>8645.1592105938998</v>
      </c>
      <c r="T32" s="246">
        <v>9935.0404833211742</v>
      </c>
      <c r="U32" s="246">
        <v>8334.1422713672837</v>
      </c>
      <c r="V32" s="347">
        <f t="shared" si="3"/>
        <v>26914.341965282358</v>
      </c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H32" s="691"/>
      <c r="AI32" s="267" t="s">
        <v>143</v>
      </c>
      <c r="AJ32" s="247">
        <f>SUM(AJ27:AJ31)</f>
        <v>8645.1592105938998</v>
      </c>
      <c r="AK32" s="247">
        <f t="shared" ref="AK32:AL32" si="42">SUM(AK27:AK31)</f>
        <v>9935.0404833211742</v>
      </c>
      <c r="AL32" s="247">
        <f t="shared" si="42"/>
        <v>8334.1422713672837</v>
      </c>
      <c r="AM32" s="391">
        <f t="shared" si="5"/>
        <v>26914.341965282358</v>
      </c>
      <c r="AN32" s="256"/>
      <c r="AO32" s="247"/>
      <c r="AP32" s="247"/>
      <c r="AQ32" s="247"/>
      <c r="AR32" s="247"/>
      <c r="AS32" s="247"/>
      <c r="AT32" s="247"/>
      <c r="AU32" s="247"/>
      <c r="AV32" s="247"/>
      <c r="AW32" s="247"/>
      <c r="AX32" s="180"/>
      <c r="AY32" s="221"/>
      <c r="AZ32" s="219"/>
    </row>
    <row r="33" spans="1:52">
      <c r="A33" s="176"/>
      <c r="B33" s="176" t="s">
        <v>142</v>
      </c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Q33" s="346"/>
      <c r="R33" s="376" t="s">
        <v>142</v>
      </c>
      <c r="S33" s="246">
        <f>SUM(S27:S31)</f>
        <v>6617.2908181818184</v>
      </c>
      <c r="T33" s="246">
        <f t="shared" ref="T33:U33" si="43">SUM(T27:T31)</f>
        <v>8218.292818181817</v>
      </c>
      <c r="U33" s="246">
        <f t="shared" si="43"/>
        <v>8808.0040909090894</v>
      </c>
      <c r="V33" s="347">
        <f t="shared" si="3"/>
        <v>23643.587727272723</v>
      </c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H33" s="691"/>
      <c r="AI33" s="267" t="s">
        <v>142</v>
      </c>
      <c r="AJ33" s="247">
        <f>SUM(S27:S31)</f>
        <v>6617.2908181818184</v>
      </c>
      <c r="AK33" s="247">
        <f t="shared" ref="AK33:AL33" si="44">SUM(T27:T31)</f>
        <v>8218.292818181817</v>
      </c>
      <c r="AL33" s="247">
        <f t="shared" si="44"/>
        <v>8808.0040909090894</v>
      </c>
      <c r="AM33" s="391">
        <f t="shared" si="5"/>
        <v>23643.587727272723</v>
      </c>
      <c r="AN33" s="256"/>
      <c r="AO33" s="247"/>
      <c r="AP33" s="247"/>
      <c r="AQ33" s="247"/>
      <c r="AR33" s="247"/>
      <c r="AS33" s="247"/>
      <c r="AT33" s="247"/>
      <c r="AU33" s="247"/>
      <c r="AV33" s="247"/>
      <c r="AW33" s="247"/>
      <c r="AX33" s="180"/>
      <c r="AY33" s="221"/>
      <c r="AZ33" s="219"/>
    </row>
    <row r="34" spans="1:52">
      <c r="A34" s="197"/>
      <c r="B34" s="176" t="s">
        <v>146</v>
      </c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6"/>
      <c r="Q34" s="364"/>
      <c r="R34" s="376" t="s">
        <v>146</v>
      </c>
      <c r="S34" s="339">
        <f>S33-S32</f>
        <v>-2027.8683924120814</v>
      </c>
      <c r="T34" s="339">
        <f t="shared" ref="T34:U34" si="45">T33-T32</f>
        <v>-1716.7476651393572</v>
      </c>
      <c r="U34" s="339">
        <f t="shared" si="45"/>
        <v>473.86181954180574</v>
      </c>
      <c r="V34" s="347">
        <f t="shared" si="3"/>
        <v>-3270.7542380096329</v>
      </c>
      <c r="W34" s="198"/>
      <c r="X34" s="198"/>
      <c r="Y34" s="198"/>
      <c r="Z34" s="198"/>
      <c r="AA34" s="198"/>
      <c r="AB34" s="198"/>
      <c r="AC34" s="198"/>
      <c r="AD34" s="198"/>
      <c r="AE34" s="198"/>
      <c r="AF34" s="177"/>
      <c r="AH34" s="691"/>
      <c r="AI34" s="267" t="s">
        <v>146</v>
      </c>
      <c r="AJ34" s="282">
        <f>AJ33-AJ32</f>
        <v>-2027.8683924120814</v>
      </c>
      <c r="AK34" s="282">
        <f t="shared" ref="AK34:AL34" si="46">AK33-AK32</f>
        <v>-1716.7476651393572</v>
      </c>
      <c r="AL34" s="282">
        <f t="shared" si="46"/>
        <v>473.86181954180574</v>
      </c>
      <c r="AM34" s="391">
        <f t="shared" si="5"/>
        <v>-3270.7542380096329</v>
      </c>
      <c r="AN34" s="390"/>
      <c r="AO34" s="282"/>
      <c r="AP34" s="282"/>
      <c r="AQ34" s="282"/>
      <c r="AR34" s="282"/>
      <c r="AS34" s="282"/>
      <c r="AT34" s="282"/>
      <c r="AU34" s="282"/>
      <c r="AV34" s="282"/>
      <c r="AW34" s="282"/>
      <c r="AX34" s="220"/>
      <c r="AY34" s="221"/>
      <c r="AZ34" s="219"/>
    </row>
    <row r="35" spans="1:52" ht="12" thickBot="1">
      <c r="A35" s="197"/>
      <c r="B35" s="176" t="s">
        <v>145</v>
      </c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6"/>
      <c r="Q35" s="365"/>
      <c r="R35" s="377" t="s">
        <v>145</v>
      </c>
      <c r="S35" s="366">
        <f>S33/S32</f>
        <v>0.76543307728478815</v>
      </c>
      <c r="T35" s="366">
        <f t="shared" ref="T35:U35" si="47">T33/T32</f>
        <v>0.82720275090761708</v>
      </c>
      <c r="U35" s="366">
        <f t="shared" si="47"/>
        <v>1.0568578990029727</v>
      </c>
      <c r="V35" s="367">
        <f>V33/V32</f>
        <v>0.87847541499514714</v>
      </c>
      <c r="W35" s="198"/>
      <c r="X35" s="198"/>
      <c r="Y35" s="198"/>
      <c r="Z35" s="198"/>
      <c r="AA35" s="198"/>
      <c r="AB35" s="198"/>
      <c r="AC35" s="198"/>
      <c r="AD35" s="198"/>
      <c r="AE35" s="198"/>
      <c r="AF35" s="177"/>
      <c r="AH35" s="692"/>
      <c r="AI35" s="392" t="s">
        <v>145</v>
      </c>
      <c r="AJ35" s="393">
        <f>AJ33/AJ32</f>
        <v>0.76543307728478815</v>
      </c>
      <c r="AK35" s="393">
        <f t="shared" ref="AK35:AL35" si="48">AK33/AK32</f>
        <v>0.82720275090761708</v>
      </c>
      <c r="AL35" s="393">
        <f t="shared" si="48"/>
        <v>1.0568578990029727</v>
      </c>
      <c r="AM35" s="394">
        <f>AM33/AM32</f>
        <v>0.87847541499514714</v>
      </c>
      <c r="AN35" s="390"/>
      <c r="AO35" s="282"/>
      <c r="AP35" s="282"/>
      <c r="AQ35" s="282"/>
      <c r="AR35" s="282"/>
      <c r="AS35" s="282"/>
      <c r="AT35" s="282"/>
      <c r="AU35" s="282"/>
      <c r="AV35" s="282"/>
      <c r="AW35" s="282"/>
      <c r="AX35" s="220"/>
      <c r="AY35" s="221"/>
      <c r="AZ35" s="219"/>
    </row>
    <row r="36" spans="1:52">
      <c r="A36" s="194" t="s">
        <v>317</v>
      </c>
      <c r="B36" s="176"/>
      <c r="C36" s="240">
        <f>S37-AJ36</f>
        <v>-2531.3114762010264</v>
      </c>
      <c r="D36" s="240">
        <f>T37-AK36</f>
        <v>-1632.1836651393569</v>
      </c>
      <c r="E36" s="240">
        <f>U37-AL36</f>
        <v>492.60800135998761</v>
      </c>
      <c r="F36" s="240"/>
      <c r="G36" s="240"/>
      <c r="H36" s="240"/>
      <c r="I36" s="240"/>
      <c r="J36" s="240"/>
      <c r="K36" s="240"/>
      <c r="L36" s="240"/>
      <c r="M36" s="240"/>
      <c r="N36" s="240"/>
      <c r="O36" s="240">
        <f>SUM(C36:N36)</f>
        <v>-3670.8871399803957</v>
      </c>
      <c r="P36" s="69"/>
      <c r="Q36" s="351" t="s">
        <v>38</v>
      </c>
      <c r="R36" s="378" t="s">
        <v>143</v>
      </c>
      <c r="S36" s="368">
        <v>17883.52419191751</v>
      </c>
      <c r="T36" s="369">
        <v>19853.339548433723</v>
      </c>
      <c r="U36" s="368">
        <v>18932.375420268778</v>
      </c>
      <c r="V36" s="370">
        <f>SUM(S36:U36)</f>
        <v>56669.239160620011</v>
      </c>
      <c r="AH36" s="697" t="s">
        <v>38</v>
      </c>
      <c r="AI36" s="82" t="s">
        <v>143</v>
      </c>
      <c r="AJ36" s="83">
        <f>AJ7+AJ16+AJ24+SUM(AJ27:AJ31)</f>
        <v>18203.724112564661</v>
      </c>
      <c r="AK36" s="83">
        <f>AK8+AK16+AK24+SUM(AK27:AK31)</f>
        <v>17182.229210593901</v>
      </c>
      <c r="AL36" s="83">
        <f>AL8+AL16+AL24+SUM(AL27:AL31)</f>
        <v>16340.43881682183</v>
      </c>
      <c r="AM36" s="384">
        <f>SUM(AJ36:AL36)</f>
        <v>51726.392139980395</v>
      </c>
      <c r="AN36" s="69">
        <f t="shared" ref="AN36:AV36" si="49">AN8+AN16+AN24+SUM(AN27:AN31)</f>
        <v>11601.057635003648</v>
      </c>
      <c r="AO36" s="69">
        <f t="shared" si="49"/>
        <v>14588.193331638699</v>
      </c>
      <c r="AP36" s="69">
        <f t="shared" si="49"/>
        <v>21498.165270363344</v>
      </c>
      <c r="AQ36" s="69">
        <f t="shared" si="49"/>
        <v>12832.894209589962</v>
      </c>
      <c r="AR36" s="69">
        <f t="shared" si="49"/>
        <v>12315.346058409457</v>
      </c>
      <c r="AS36" s="69">
        <f t="shared" si="49"/>
        <v>12956.334694773093</v>
      </c>
      <c r="AT36" s="69">
        <f t="shared" si="49"/>
        <v>12956.334694773093</v>
      </c>
      <c r="AU36" s="69">
        <f t="shared" si="49"/>
        <v>17674.357422045821</v>
      </c>
      <c r="AV36" s="69">
        <f t="shared" si="49"/>
        <v>11546.159694773092</v>
      </c>
      <c r="AW36" s="214">
        <f>AW7+AW16+AW24+AW27+AW28+AW29+AW30+AW31</f>
        <v>289513.1557782024</v>
      </c>
      <c r="AX36" s="180">
        <f>SUM(AX24,AX27:AX31)</f>
        <v>237624.22096969694</v>
      </c>
      <c r="AY36" s="221">
        <f>AW36-AX36</f>
        <v>51888.934808505466</v>
      </c>
    </row>
    <row r="37" spans="1:52">
      <c r="A37" s="188"/>
      <c r="C37" s="65"/>
      <c r="P37" s="69"/>
      <c r="Q37" s="345" t="s">
        <v>38</v>
      </c>
      <c r="R37" s="79" t="s">
        <v>38</v>
      </c>
      <c r="S37" s="244">
        <f>S8+S16+S24+SUM(S27:S31)</f>
        <v>15672.412636363635</v>
      </c>
      <c r="T37" s="244">
        <f>T8+T16+T24+SUM(T27:T31)</f>
        <v>15550.045545454544</v>
      </c>
      <c r="U37" s="244">
        <f>U8+U16+U24+SUM(U27:U31)</f>
        <v>16833.046818181818</v>
      </c>
      <c r="V37" s="371">
        <f>SUM(S37:U37)</f>
        <v>48055.504999999997</v>
      </c>
      <c r="W37" s="69">
        <f t="shared" ref="W37:AF37" si="50">W8+W16+W24+SUM(W27:W31)</f>
        <v>19244.573999999997</v>
      </c>
      <c r="X37" s="69">
        <f t="shared" si="50"/>
        <v>16286.011909090908</v>
      </c>
      <c r="Y37" s="69">
        <f t="shared" si="50"/>
        <v>34235.230363636365</v>
      </c>
      <c r="Z37" s="69">
        <f t="shared" si="50"/>
        <v>21020.105636363638</v>
      </c>
      <c r="AA37" s="69">
        <f t="shared" si="50"/>
        <v>0</v>
      </c>
      <c r="AB37" s="69">
        <f t="shared" si="50"/>
        <v>0</v>
      </c>
      <c r="AC37" s="69">
        <f t="shared" si="50"/>
        <v>0</v>
      </c>
      <c r="AD37" s="69">
        <f t="shared" si="50"/>
        <v>0</v>
      </c>
      <c r="AE37" s="69">
        <f t="shared" si="50"/>
        <v>0</v>
      </c>
      <c r="AF37" s="69">
        <f t="shared" si="50"/>
        <v>186896.9319090909</v>
      </c>
      <c r="AH37" s="698"/>
      <c r="AI37" s="84" t="s">
        <v>142</v>
      </c>
      <c r="AJ37" s="382">
        <f>SUM(AJ8,AJ16,AJ24,AJ33)</f>
        <v>15672.412636363635</v>
      </c>
      <c r="AK37" s="382">
        <f t="shared" ref="AK37" si="51">SUM(AK8,AK16,AK24,AK33)</f>
        <v>15465.481545454542</v>
      </c>
      <c r="AL37" s="382">
        <f>SUM(AL8,AL16,AL24,AL33)</f>
        <v>16814.300636363638</v>
      </c>
      <c r="AM37" s="385">
        <f>SUM(AJ37:AL37)</f>
        <v>47952.194818181815</v>
      </c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</row>
    <row r="38" spans="1:52">
      <c r="A38" s="188"/>
      <c r="C38" s="65"/>
      <c r="P38" s="69"/>
      <c r="Q38" s="345" t="s">
        <v>38</v>
      </c>
      <c r="R38" s="79" t="s">
        <v>146</v>
      </c>
      <c r="S38" s="244">
        <f>S37-S36</f>
        <v>-2211.1115555538745</v>
      </c>
      <c r="T38" s="244">
        <f t="shared" ref="T38:V38" si="52">T37-T36</f>
        <v>-4303.2940029791789</v>
      </c>
      <c r="U38" s="244">
        <f t="shared" si="52"/>
        <v>-2099.32860208696</v>
      </c>
      <c r="V38" s="371">
        <f t="shared" si="52"/>
        <v>-8613.7341606200134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H38" s="698"/>
      <c r="AI38" s="84" t="s">
        <v>146</v>
      </c>
      <c r="AJ38" s="382">
        <f>AJ37-AJ36</f>
        <v>-2531.3114762010264</v>
      </c>
      <c r="AK38" s="382">
        <f t="shared" ref="AK38:AL38" si="53">AK37-AK36</f>
        <v>-1716.747665139359</v>
      </c>
      <c r="AL38" s="382">
        <f t="shared" si="53"/>
        <v>473.86181954180756</v>
      </c>
      <c r="AM38" s="386">
        <f>AM37-AM36</f>
        <v>-3774.1973217985797</v>
      </c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</row>
    <row r="39" spans="1:52" ht="12" thickBot="1">
      <c r="C39" s="65"/>
      <c r="P39" s="69"/>
      <c r="Q39" s="372" t="s">
        <v>38</v>
      </c>
      <c r="R39" s="381" t="s">
        <v>145</v>
      </c>
      <c r="S39" s="373">
        <f>S37/S36</f>
        <v>0.87636041242065754</v>
      </c>
      <c r="T39" s="373">
        <f t="shared" ref="T39:V39" si="54">T37/T36</f>
        <v>0.78324583667745329</v>
      </c>
      <c r="U39" s="373">
        <f t="shared" si="54"/>
        <v>0.88911435805147598</v>
      </c>
      <c r="V39" s="374">
        <f t="shared" si="54"/>
        <v>0.84799982692187303</v>
      </c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H39" s="699"/>
      <c r="AI39" s="87" t="s">
        <v>145</v>
      </c>
      <c r="AJ39" s="387">
        <f>AJ37/AJ36</f>
        <v>0.86094540542647247</v>
      </c>
      <c r="AK39" s="387">
        <f t="shared" ref="AK39:AM39" si="55">AK37/AK36</f>
        <v>0.90008585940170804</v>
      </c>
      <c r="AL39" s="387">
        <f t="shared" si="55"/>
        <v>1.0289993325671269</v>
      </c>
      <c r="AM39" s="388">
        <f t="shared" si="55"/>
        <v>0.92703536501086403</v>
      </c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</row>
    <row r="40" spans="1:52">
      <c r="C40" s="65"/>
      <c r="P40" s="69"/>
      <c r="Q40" s="69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J40" s="65">
        <v>15672.412636363637</v>
      </c>
      <c r="AK40" s="65">
        <v>15550.045545454544</v>
      </c>
      <c r="AL40" s="65">
        <v>16771.682181818182</v>
      </c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</row>
    <row r="41" spans="1:52">
      <c r="C41" s="65"/>
      <c r="P41" s="69"/>
      <c r="Q41" s="69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J41" s="65"/>
      <c r="AK41" s="65"/>
      <c r="AL41" s="65"/>
      <c r="AM41" s="65"/>
      <c r="AN41" s="65"/>
      <c r="AO41" s="65" t="s">
        <v>37</v>
      </c>
      <c r="AP41" s="65"/>
      <c r="AQ41" s="65" t="s">
        <v>188</v>
      </c>
      <c r="AR41" s="65" t="s">
        <v>312</v>
      </c>
      <c r="AS41" s="65" t="s">
        <v>191</v>
      </c>
      <c r="AT41" s="65"/>
      <c r="AU41" s="65"/>
      <c r="AV41" s="65"/>
      <c r="AW41" s="65"/>
      <c r="AX41" s="65"/>
    </row>
    <row r="42" spans="1:52">
      <c r="C42" s="65"/>
      <c r="P42" s="69"/>
      <c r="Q42" s="69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H42" s="65" t="s">
        <v>318</v>
      </c>
      <c r="AJ42" s="65"/>
      <c r="AK42" s="65"/>
      <c r="AL42" s="65"/>
      <c r="AM42" s="65"/>
      <c r="AN42" s="65"/>
      <c r="AO42" s="65" t="s">
        <v>46</v>
      </c>
      <c r="AP42" s="65" t="s">
        <v>260</v>
      </c>
      <c r="AQ42" s="65">
        <v>0</v>
      </c>
      <c r="AR42" s="65">
        <v>0</v>
      </c>
      <c r="AS42" s="65">
        <v>0</v>
      </c>
      <c r="AT42" s="65"/>
      <c r="AU42" s="65"/>
      <c r="AV42" s="65"/>
      <c r="AW42" s="65"/>
      <c r="AX42" s="65"/>
    </row>
    <row r="43" spans="1:52">
      <c r="C43" s="65"/>
      <c r="P43" s="69"/>
      <c r="Q43" s="69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J43" s="65"/>
      <c r="AK43" s="65"/>
      <c r="AL43" s="65"/>
      <c r="AM43" s="65"/>
      <c r="AN43" s="65"/>
      <c r="AO43" s="65" t="s">
        <v>46</v>
      </c>
      <c r="AP43" s="65" t="s">
        <v>24</v>
      </c>
      <c r="AQ43" s="65">
        <v>167.89099999999999</v>
      </c>
      <c r="AR43" s="65">
        <v>53.344999999999999</v>
      </c>
      <c r="AS43" s="65">
        <v>484.69000000000005</v>
      </c>
      <c r="AT43" s="65"/>
      <c r="AU43" s="65"/>
      <c r="AV43" s="65"/>
      <c r="AW43" s="65"/>
      <c r="AX43" s="65"/>
    </row>
    <row r="44" spans="1:52">
      <c r="C44" s="65"/>
      <c r="P44" s="69"/>
      <c r="Q44" s="69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J44" s="65"/>
      <c r="AK44" s="65"/>
      <c r="AL44" s="65"/>
      <c r="AM44" s="65"/>
      <c r="AN44" s="65"/>
      <c r="AO44" s="65" t="s">
        <v>46</v>
      </c>
      <c r="AP44" s="65" t="s">
        <v>262</v>
      </c>
      <c r="AQ44" s="65">
        <v>8.6</v>
      </c>
      <c r="AR44" s="65">
        <v>239.12727272727301</v>
      </c>
      <c r="AS44" s="65">
        <v>14.4</v>
      </c>
      <c r="AT44" s="65"/>
      <c r="AU44" s="65"/>
      <c r="AV44" s="65"/>
      <c r="AW44" s="65"/>
      <c r="AX44" s="65"/>
    </row>
    <row r="45" spans="1:52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J45" s="65"/>
      <c r="AK45" s="65"/>
      <c r="AL45" s="65"/>
      <c r="AM45" s="65"/>
      <c r="AN45" s="65"/>
      <c r="AO45" s="65" t="s">
        <v>46</v>
      </c>
      <c r="AP45" s="65" t="s">
        <v>26</v>
      </c>
      <c r="AQ45" s="65">
        <v>0</v>
      </c>
      <c r="AR45" s="65">
        <v>0</v>
      </c>
      <c r="AS45" s="65">
        <v>0</v>
      </c>
      <c r="AT45" s="65"/>
      <c r="AU45" s="65"/>
      <c r="AV45" s="65"/>
      <c r="AW45" s="65"/>
      <c r="AX45" s="65"/>
    </row>
    <row r="46" spans="1:52"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J46" s="65"/>
      <c r="AK46" s="65"/>
      <c r="AL46" s="65"/>
      <c r="AM46" s="65"/>
      <c r="AN46" s="65"/>
      <c r="AO46" s="65" t="s">
        <v>46</v>
      </c>
      <c r="AP46" s="65" t="s">
        <v>162</v>
      </c>
      <c r="AQ46" s="65">
        <v>176.49099999999999</v>
      </c>
      <c r="AR46" s="65">
        <v>292.47227272727298</v>
      </c>
      <c r="AS46" s="65">
        <v>499.09000000000003</v>
      </c>
      <c r="AT46" s="65"/>
      <c r="AU46" s="65"/>
      <c r="AV46" s="65"/>
      <c r="AW46" s="65"/>
      <c r="AX46" s="65"/>
    </row>
    <row r="47" spans="1:52" s="230" customFormat="1">
      <c r="AO47" s="230" t="s">
        <v>266</v>
      </c>
      <c r="AP47" s="230" t="s">
        <v>260</v>
      </c>
      <c r="AQ47" s="230">
        <v>0</v>
      </c>
      <c r="AR47" s="230">
        <v>0</v>
      </c>
      <c r="AS47" s="230">
        <v>0</v>
      </c>
    </row>
    <row r="48" spans="1:52"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J48" s="65"/>
      <c r="AK48" s="65"/>
      <c r="AL48" s="65"/>
      <c r="AM48" s="65"/>
      <c r="AN48" s="65"/>
      <c r="AO48" s="65" t="s">
        <v>266</v>
      </c>
      <c r="AP48" s="65" t="s">
        <v>24</v>
      </c>
      <c r="AQ48" s="65"/>
      <c r="AR48" s="65"/>
      <c r="AS48" s="65"/>
      <c r="AT48" s="65"/>
      <c r="AU48" s="65"/>
      <c r="AV48" s="65"/>
      <c r="AW48" s="65"/>
      <c r="AX48" s="65"/>
    </row>
    <row r="49" spans="41:45" s="65" customFormat="1">
      <c r="AO49" s="65" t="s">
        <v>266</v>
      </c>
      <c r="AP49" s="65" t="s">
        <v>262</v>
      </c>
    </row>
    <row r="50" spans="41:45" s="65" customFormat="1">
      <c r="AO50" s="65" t="s">
        <v>266</v>
      </c>
      <c r="AP50" s="65" t="s">
        <v>26</v>
      </c>
      <c r="AQ50" s="65">
        <v>0</v>
      </c>
      <c r="AR50" s="65">
        <v>0</v>
      </c>
      <c r="AS50" s="65">
        <v>0</v>
      </c>
    </row>
    <row r="51" spans="41:45" s="65" customFormat="1">
      <c r="AO51" s="65" t="s">
        <v>266</v>
      </c>
      <c r="AP51" s="65" t="s">
        <v>162</v>
      </c>
      <c r="AQ51" s="65">
        <v>0</v>
      </c>
      <c r="AR51" s="65">
        <v>0</v>
      </c>
      <c r="AS51" s="65">
        <v>0</v>
      </c>
    </row>
    <row r="52" spans="41:45" s="65" customFormat="1">
      <c r="AO52" s="65" t="s">
        <v>269</v>
      </c>
      <c r="AP52" s="65" t="s">
        <v>260</v>
      </c>
      <c r="AQ52" s="65">
        <v>4188.08</v>
      </c>
      <c r="AR52" s="65">
        <v>2986.6399999999994</v>
      </c>
      <c r="AS52" s="65">
        <v>3059.1999999999994</v>
      </c>
    </row>
    <row r="53" spans="41:45" s="65" customFormat="1">
      <c r="AO53" s="65" t="s">
        <v>269</v>
      </c>
      <c r="AP53" s="65" t="s">
        <v>24</v>
      </c>
      <c r="AQ53" s="65">
        <v>5176.9226363636344</v>
      </c>
      <c r="AR53" s="65">
        <v>4377.0395454545451</v>
      </c>
      <c r="AS53" s="65">
        <v>5227.6808181818242</v>
      </c>
    </row>
    <row r="54" spans="41:45" s="65" customFormat="1">
      <c r="AO54" s="65" t="s">
        <v>269</v>
      </c>
      <c r="AP54" s="65" t="s">
        <v>262</v>
      </c>
      <c r="AQ54" s="65">
        <v>225.93181818181819</v>
      </c>
      <c r="AR54" s="65">
        <v>255.14090909090874</v>
      </c>
      <c r="AS54" s="65">
        <v>553.79090909090905</v>
      </c>
    </row>
    <row r="55" spans="41:45" s="65" customFormat="1">
      <c r="AO55" s="65" t="s">
        <v>269</v>
      </c>
      <c r="AP55" s="65" t="s">
        <v>26</v>
      </c>
      <c r="AQ55" s="65">
        <v>320.42363636363638</v>
      </c>
      <c r="AR55" s="65">
        <v>296.18727272727273</v>
      </c>
      <c r="AS55" s="65">
        <v>117.33454545454543</v>
      </c>
    </row>
    <row r="56" spans="41:45" s="65" customFormat="1">
      <c r="AO56" s="65" t="s">
        <v>42</v>
      </c>
      <c r="AP56" s="65" t="s">
        <v>162</v>
      </c>
      <c r="AQ56" s="65">
        <v>9911.3580909090888</v>
      </c>
      <c r="AR56" s="65">
        <v>7915.0077272727267</v>
      </c>
      <c r="AS56" s="65">
        <v>8958.006272727278</v>
      </c>
    </row>
    <row r="57" spans="41:45" s="65" customFormat="1">
      <c r="AO57" s="65" t="s">
        <v>273</v>
      </c>
      <c r="AP57" s="65" t="s">
        <v>272</v>
      </c>
      <c r="AQ57" s="65">
        <v>1617.0000000000025</v>
      </c>
      <c r="AR57" s="65">
        <v>5248.1381818181808</v>
      </c>
      <c r="AS57" s="65">
        <v>3729.6272727272681</v>
      </c>
    </row>
    <row r="58" spans="41:45" s="65" customFormat="1">
      <c r="AO58" s="65" t="s">
        <v>276</v>
      </c>
      <c r="AP58" s="65" t="s">
        <v>275</v>
      </c>
      <c r="AQ58" s="65">
        <v>5</v>
      </c>
      <c r="AR58" s="65">
        <v>33</v>
      </c>
      <c r="AS58" s="65">
        <v>27</v>
      </c>
    </row>
    <row r="59" spans="41:45" s="65" customFormat="1">
      <c r="AO59" s="65" t="s">
        <v>278</v>
      </c>
      <c r="AP59" s="65" t="s">
        <v>158</v>
      </c>
      <c r="AQ59" s="65">
        <v>67.5</v>
      </c>
      <c r="AR59" s="65">
        <v>167.5</v>
      </c>
      <c r="AS59" s="65">
        <v>182.5</v>
      </c>
    </row>
    <row r="60" spans="41:45" s="65" customFormat="1">
      <c r="AO60" s="65" t="s">
        <v>280</v>
      </c>
      <c r="AP60" s="65" t="s">
        <v>159</v>
      </c>
      <c r="AQ60" s="65">
        <v>0</v>
      </c>
      <c r="AR60" s="65">
        <v>0</v>
      </c>
      <c r="AS60" s="65">
        <v>0</v>
      </c>
    </row>
    <row r="61" spans="41:45" s="65" customFormat="1">
      <c r="AO61" s="65" t="s">
        <v>282</v>
      </c>
      <c r="AP61" s="65" t="s">
        <v>160</v>
      </c>
      <c r="AQ61" s="65">
        <v>3895.0635454545454</v>
      </c>
      <c r="AR61" s="65">
        <v>1893.9273636363635</v>
      </c>
      <c r="AS61" s="65">
        <v>3375.4586363636358</v>
      </c>
    </row>
    <row r="62" spans="41:45" s="65" customFormat="1">
      <c r="AO62" s="65" t="s">
        <v>38</v>
      </c>
      <c r="AQ62" s="65">
        <v>15672.412636363637</v>
      </c>
      <c r="AR62" s="65">
        <v>15550.045545454544</v>
      </c>
      <c r="AS62" s="65">
        <v>16771.682181818182</v>
      </c>
    </row>
    <row r="63" spans="41:45" s="65" customFormat="1"/>
    <row r="64" spans="41:45" s="65" customFormat="1"/>
    <row r="65" spans="1:50"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</row>
    <row r="66" spans="1:50"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</row>
    <row r="67" spans="1:50">
      <c r="A67" s="188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</row>
    <row r="68" spans="1:50">
      <c r="A68" s="188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</row>
    <row r="69" spans="1:50">
      <c r="A69" s="188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</row>
    <row r="70" spans="1:50">
      <c r="A70" s="188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</row>
    <row r="71" spans="1:50">
      <c r="A71" s="188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</row>
    <row r="72" spans="1:50"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</row>
    <row r="73" spans="1:50"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</row>
    <row r="74" spans="1:50"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</row>
    <row r="75" spans="1:50" s="230" customFormat="1"/>
    <row r="76" spans="1:50"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</row>
    <row r="77" spans="1:50"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</row>
    <row r="78" spans="1:50"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</row>
    <row r="79" spans="1:50"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</row>
    <row r="80" spans="1:50"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</row>
    <row r="81" spans="1:50"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</row>
    <row r="82" spans="1:50"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</row>
    <row r="83" spans="1:50"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</row>
    <row r="84" spans="1:50"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</row>
    <row r="85" spans="1:50"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</row>
    <row r="86" spans="1:50"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</row>
    <row r="87" spans="1:50"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</row>
    <row r="88" spans="1:50"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</row>
    <row r="89" spans="1:50"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</row>
    <row r="90" spans="1:50"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</row>
    <row r="91" spans="1:50"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</row>
    <row r="92" spans="1:50"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</row>
    <row r="93" spans="1:50"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</row>
    <row r="94" spans="1:50"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</row>
    <row r="95" spans="1:50">
      <c r="A95" s="188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</row>
    <row r="96" spans="1:50">
      <c r="A96" s="188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</row>
    <row r="97" spans="1:50">
      <c r="A97" s="188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</row>
    <row r="98" spans="1:50">
      <c r="A98" s="188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</row>
    <row r="99" spans="1:50">
      <c r="A99" s="188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</row>
    <row r="100" spans="1:50"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</row>
    <row r="101" spans="1:50"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</row>
    <row r="102" spans="1:50"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</row>
    <row r="103" spans="1:50" s="231" customFormat="1"/>
    <row r="104" spans="1:50">
      <c r="A104" s="188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</row>
    <row r="105" spans="1:50">
      <c r="A105" s="188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</row>
    <row r="106" spans="1:50">
      <c r="A106" s="188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</row>
    <row r="107" spans="1:50">
      <c r="A107" s="188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</row>
    <row r="108" spans="1:50"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</row>
    <row r="109" spans="1:50">
      <c r="B109" s="69"/>
      <c r="K109" s="65"/>
      <c r="L109" s="65"/>
      <c r="M109" s="65"/>
      <c r="N109" s="65"/>
      <c r="O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</row>
    <row r="110" spans="1:50">
      <c r="B110" s="69"/>
      <c r="K110" s="65"/>
      <c r="L110" s="65"/>
      <c r="M110" s="65"/>
      <c r="N110" s="65"/>
      <c r="O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</row>
    <row r="111" spans="1:50">
      <c r="B111" s="69"/>
      <c r="C111" s="187"/>
      <c r="K111" s="65"/>
      <c r="L111" s="65"/>
      <c r="M111" s="65"/>
      <c r="N111" s="65"/>
      <c r="O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</row>
  </sheetData>
  <mergeCells count="5">
    <mergeCell ref="AH3:AH10"/>
    <mergeCell ref="AH11:AH18"/>
    <mergeCell ref="AH19:AH26"/>
    <mergeCell ref="AH27:AH35"/>
    <mergeCell ref="AH36:AH39"/>
  </mergeCells>
  <phoneticPr fontId="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371B-4537-4109-80EA-3A938A2C360C}">
  <dimension ref="B2:U85"/>
  <sheetViews>
    <sheetView zoomScale="110" zoomScaleNormal="110" workbookViewId="0">
      <selection activeCell="N17" sqref="N17"/>
    </sheetView>
  </sheetViews>
  <sheetFormatPr defaultRowHeight="11.25"/>
  <cols>
    <col min="1" max="1" width="9.140625" style="65"/>
    <col min="2" max="2" width="14.7109375" style="65" customWidth="1"/>
    <col min="3" max="3" width="17.42578125" style="65" customWidth="1"/>
    <col min="4" max="4" width="8.5703125" style="65" customWidth="1"/>
    <col min="5" max="5" width="10.42578125" style="65" bestFit="1" customWidth="1"/>
    <col min="6" max="6" width="10.5703125" style="65" bestFit="1" customWidth="1"/>
    <col min="7" max="8" width="10.7109375" style="65" bestFit="1" customWidth="1"/>
    <col min="9" max="9" width="10.5703125" style="65" bestFit="1" customWidth="1"/>
    <col min="10" max="10" width="10.85546875" style="65" bestFit="1" customWidth="1"/>
    <col min="11" max="14" width="11" style="65" bestFit="1" customWidth="1"/>
    <col min="15" max="15" width="13.28515625" style="65" bestFit="1" customWidth="1"/>
    <col min="16" max="16" width="10.85546875" style="65" bestFit="1" customWidth="1"/>
    <col min="17" max="17" width="11.140625" style="65" bestFit="1" customWidth="1"/>
    <col min="18" max="18" width="11" style="65" customWidth="1"/>
    <col min="19" max="19" width="9.140625" style="65"/>
    <col min="20" max="20" width="36.5703125" style="65" bestFit="1" customWidth="1"/>
    <col min="21" max="21" width="10.28515625" style="65" customWidth="1"/>
    <col min="22" max="29" width="9.140625" style="65"/>
    <col min="30" max="30" width="15.140625" style="65" bestFit="1" customWidth="1"/>
    <col min="31" max="16384" width="9.140625" style="65"/>
  </cols>
  <sheetData>
    <row r="2" spans="2:21">
      <c r="B2" s="65" t="s">
        <v>320</v>
      </c>
      <c r="U2" s="171" t="s">
        <v>321</v>
      </c>
    </row>
    <row r="3" spans="2:21">
      <c r="B3" s="73"/>
      <c r="C3" s="76"/>
      <c r="D3" s="98" t="s">
        <v>285</v>
      </c>
      <c r="E3" s="109" t="s">
        <v>188</v>
      </c>
      <c r="F3" s="75" t="s">
        <v>312</v>
      </c>
      <c r="G3" s="75" t="s">
        <v>191</v>
      </c>
      <c r="H3" s="75" t="s">
        <v>192</v>
      </c>
      <c r="I3" s="75" t="s">
        <v>193</v>
      </c>
      <c r="J3" s="75" t="s">
        <v>194</v>
      </c>
      <c r="K3" s="75" t="s">
        <v>195</v>
      </c>
      <c r="L3" s="75" t="s">
        <v>196</v>
      </c>
      <c r="M3" s="75" t="s">
        <v>197</v>
      </c>
      <c r="N3" s="75" t="s">
        <v>198</v>
      </c>
      <c r="O3" s="75" t="s">
        <v>199</v>
      </c>
      <c r="P3" s="95" t="s">
        <v>200</v>
      </c>
      <c r="Q3" s="125" t="s">
        <v>322</v>
      </c>
      <c r="R3" s="98" t="s">
        <v>323</v>
      </c>
      <c r="S3" s="129" t="s">
        <v>324</v>
      </c>
      <c r="U3" s="171" t="s">
        <v>325</v>
      </c>
    </row>
    <row r="4" spans="2:21">
      <c r="B4" s="700" t="s">
        <v>149</v>
      </c>
      <c r="C4" s="77" t="s">
        <v>21</v>
      </c>
      <c r="D4" s="99">
        <v>110</v>
      </c>
      <c r="E4" s="110">
        <v>0</v>
      </c>
      <c r="F4" s="108">
        <v>0</v>
      </c>
      <c r="G4" s="108">
        <v>0</v>
      </c>
      <c r="H4" s="108">
        <v>0</v>
      </c>
      <c r="I4" s="108">
        <v>0</v>
      </c>
      <c r="J4" s="108">
        <v>0</v>
      </c>
      <c r="K4" s="165">
        <f>930.048*60</f>
        <v>55802.879999999997</v>
      </c>
      <c r="L4" s="165">
        <f>930.048*8</f>
        <v>7440.384</v>
      </c>
      <c r="M4" s="165">
        <f>930.048*10</f>
        <v>9300.48</v>
      </c>
      <c r="N4" s="165">
        <f>930.048*8</f>
        <v>7440.384</v>
      </c>
      <c r="O4" s="165">
        <f>930.048*9</f>
        <v>8370.4320000000007</v>
      </c>
      <c r="P4" s="166">
        <f>930.048*15</f>
        <v>13950.72</v>
      </c>
      <c r="Q4" s="126">
        <f>SUM(K4:P4)</f>
        <v>102305.28</v>
      </c>
      <c r="R4" s="121">
        <v>102305.28</v>
      </c>
      <c r="S4" s="154">
        <f t="shared" ref="S4:S20" si="0">Q4-R4</f>
        <v>0</v>
      </c>
      <c r="U4" s="171" t="s">
        <v>326</v>
      </c>
    </row>
    <row r="5" spans="2:21">
      <c r="B5" s="701"/>
      <c r="C5" s="78" t="s">
        <v>24</v>
      </c>
      <c r="D5" s="100">
        <f>契約数!F35</f>
        <v>0</v>
      </c>
      <c r="E5" s="11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85">
        <v>0</v>
      </c>
      <c r="L5" s="85">
        <v>0</v>
      </c>
      <c r="M5" s="85">
        <v>0</v>
      </c>
      <c r="N5" s="85">
        <v>0</v>
      </c>
      <c r="O5" s="85">
        <v>0</v>
      </c>
      <c r="P5" s="164">
        <v>0</v>
      </c>
      <c r="Q5" s="126">
        <f t="shared" ref="Q5" si="1">SUM(K5:P5)</f>
        <v>0</v>
      </c>
      <c r="R5" s="122">
        <v>0</v>
      </c>
      <c r="S5" s="100">
        <f t="shared" si="0"/>
        <v>0</v>
      </c>
      <c r="U5" s="171" t="s">
        <v>327</v>
      </c>
    </row>
    <row r="6" spans="2:21">
      <c r="B6" s="701"/>
      <c r="C6" s="78" t="s">
        <v>262</v>
      </c>
      <c r="D6" s="101">
        <v>110</v>
      </c>
      <c r="E6" s="111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85">
        <f>430.344*60</f>
        <v>25820.639999999999</v>
      </c>
      <c r="L6" s="85">
        <f>430.344*8</f>
        <v>3442.752</v>
      </c>
      <c r="M6" s="85">
        <f>430.344*10</f>
        <v>4303.4399999999996</v>
      </c>
      <c r="N6" s="85">
        <f>430.344*8</f>
        <v>3442.752</v>
      </c>
      <c r="O6" s="85">
        <f>430.344*9</f>
        <v>3873.096</v>
      </c>
      <c r="P6" s="167">
        <f>430.344*15</f>
        <v>6455.16</v>
      </c>
      <c r="Q6" s="126">
        <f>SUM(K6:P6)</f>
        <v>47337.84</v>
      </c>
      <c r="R6" s="122">
        <v>47337.84</v>
      </c>
      <c r="S6" s="100">
        <f t="shared" si="0"/>
        <v>0</v>
      </c>
    </row>
    <row r="7" spans="2:21">
      <c r="B7" s="701"/>
      <c r="C7" s="79" t="s">
        <v>26</v>
      </c>
      <c r="D7" s="102">
        <v>55</v>
      </c>
      <c r="E7" s="111">
        <v>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85">
        <f>664.716*30</f>
        <v>19941.48</v>
      </c>
      <c r="L7" s="85">
        <f>664.716*4</f>
        <v>2658.864</v>
      </c>
      <c r="M7" s="85">
        <f>664.716*5</f>
        <v>3323.58</v>
      </c>
      <c r="N7" s="85">
        <f>664.716*4</f>
        <v>2658.864</v>
      </c>
      <c r="O7" s="85">
        <f>664.716*5</f>
        <v>3323.58</v>
      </c>
      <c r="P7" s="167">
        <f>664.716*7</f>
        <v>4653.0119999999997</v>
      </c>
      <c r="Q7" s="126">
        <f>SUM(K7:P7)</f>
        <v>36559.380000000005</v>
      </c>
      <c r="R7" s="122">
        <v>36559.380000000005</v>
      </c>
      <c r="S7" s="100">
        <f t="shared" si="0"/>
        <v>0</v>
      </c>
    </row>
    <row r="8" spans="2:21" ht="12" thickBot="1">
      <c r="B8" s="702"/>
      <c r="C8" s="80" t="s">
        <v>162</v>
      </c>
      <c r="D8" s="103"/>
      <c r="E8" s="112">
        <f>SUM(E4:E7)</f>
        <v>0</v>
      </c>
      <c r="F8" s="91">
        <f>SUM(F4:F7)</f>
        <v>0</v>
      </c>
      <c r="G8" s="91">
        <f t="shared" ref="G8:P8" si="2">SUM(G4:G7)</f>
        <v>0</v>
      </c>
      <c r="H8" s="91">
        <f t="shared" si="2"/>
        <v>0</v>
      </c>
      <c r="I8" s="91">
        <f t="shared" si="2"/>
        <v>0</v>
      </c>
      <c r="J8" s="91">
        <f t="shared" si="2"/>
        <v>0</v>
      </c>
      <c r="K8" s="86">
        <f t="shared" si="2"/>
        <v>101564.99999999999</v>
      </c>
      <c r="L8" s="86">
        <f t="shared" si="2"/>
        <v>13542</v>
      </c>
      <c r="M8" s="86">
        <f t="shared" si="2"/>
        <v>16927.5</v>
      </c>
      <c r="N8" s="86">
        <f t="shared" si="2"/>
        <v>13542</v>
      </c>
      <c r="O8" s="86">
        <f t="shared" si="2"/>
        <v>15567.108</v>
      </c>
      <c r="P8" s="168">
        <f t="shared" si="2"/>
        <v>25058.891999999996</v>
      </c>
      <c r="Q8" s="126">
        <f>SUM(K8:P8)</f>
        <v>186202.5</v>
      </c>
      <c r="R8" s="123">
        <v>186202.5</v>
      </c>
      <c r="S8" s="163">
        <f t="shared" si="0"/>
        <v>0</v>
      </c>
    </row>
    <row r="9" spans="2:21">
      <c r="B9" s="700" t="s">
        <v>150</v>
      </c>
      <c r="C9" s="81" t="s">
        <v>260</v>
      </c>
      <c r="D9" s="99">
        <v>10</v>
      </c>
      <c r="E9" s="113">
        <v>0</v>
      </c>
      <c r="F9" s="89">
        <v>0</v>
      </c>
      <c r="G9" s="89">
        <v>0</v>
      </c>
      <c r="H9" s="92">
        <v>0</v>
      </c>
      <c r="I9" s="92">
        <v>0</v>
      </c>
      <c r="J9" s="92">
        <v>0</v>
      </c>
      <c r="K9" s="83">
        <f>2520*2</f>
        <v>5040</v>
      </c>
      <c r="L9" s="83">
        <f t="shared" ref="L9:N9" si="3">2520*2</f>
        <v>5040</v>
      </c>
      <c r="M9" s="83">
        <f t="shared" si="3"/>
        <v>5040</v>
      </c>
      <c r="N9" s="83">
        <f t="shared" si="3"/>
        <v>5040</v>
      </c>
      <c r="O9" s="83">
        <f>2520*1</f>
        <v>2520</v>
      </c>
      <c r="P9" s="83">
        <f>2520*1</f>
        <v>2520</v>
      </c>
      <c r="Q9" s="128">
        <f t="shared" ref="Q9:Q14" si="4">SUM(K9:P9)</f>
        <v>25200</v>
      </c>
      <c r="R9" s="124">
        <v>25200</v>
      </c>
      <c r="S9" s="154">
        <f t="shared" si="0"/>
        <v>0</v>
      </c>
    </row>
    <row r="10" spans="2:21">
      <c r="B10" s="701"/>
      <c r="C10" s="72" t="s">
        <v>24</v>
      </c>
      <c r="D10" s="100">
        <f>契約数!F40</f>
        <v>0</v>
      </c>
      <c r="E10" s="111">
        <v>0</v>
      </c>
      <c r="F10" s="90">
        <v>0</v>
      </c>
      <c r="G10" s="90">
        <v>0</v>
      </c>
      <c r="H10" s="90">
        <v>0</v>
      </c>
      <c r="I10" s="90">
        <v>0</v>
      </c>
      <c r="J10" s="90">
        <v>0</v>
      </c>
      <c r="K10" s="84">
        <v>0</v>
      </c>
      <c r="L10" s="84">
        <v>0</v>
      </c>
      <c r="M10" s="84">
        <v>0</v>
      </c>
      <c r="N10" s="84">
        <v>0</v>
      </c>
      <c r="O10" s="84">
        <v>0</v>
      </c>
      <c r="P10" s="97">
        <v>0</v>
      </c>
      <c r="Q10" s="127">
        <f t="shared" si="4"/>
        <v>0</v>
      </c>
      <c r="R10" s="122">
        <v>0</v>
      </c>
      <c r="S10" s="100">
        <f t="shared" si="0"/>
        <v>0</v>
      </c>
    </row>
    <row r="11" spans="2:21">
      <c r="B11" s="701"/>
      <c r="C11" s="72" t="s">
        <v>262</v>
      </c>
      <c r="D11" s="101">
        <v>10</v>
      </c>
      <c r="E11" s="111">
        <v>0</v>
      </c>
      <c r="F11" s="90">
        <v>0</v>
      </c>
      <c r="G11" s="90">
        <v>0</v>
      </c>
      <c r="H11" s="93">
        <v>0</v>
      </c>
      <c r="I11" s="106">
        <v>0</v>
      </c>
      <c r="J11" s="106">
        <v>0</v>
      </c>
      <c r="K11" s="85">
        <f>215.1204*2</f>
        <v>430.24079999999998</v>
      </c>
      <c r="L11" s="85">
        <f t="shared" ref="L11:N11" si="5">215.1204*2</f>
        <v>430.24079999999998</v>
      </c>
      <c r="M11" s="85">
        <f t="shared" si="5"/>
        <v>430.24079999999998</v>
      </c>
      <c r="N11" s="85">
        <f t="shared" si="5"/>
        <v>430.24079999999998</v>
      </c>
      <c r="O11" s="85">
        <f>215.1204*1</f>
        <v>215.12039999999999</v>
      </c>
      <c r="P11" s="85">
        <f>215.1204*1</f>
        <v>215.12039999999999</v>
      </c>
      <c r="Q11" s="127">
        <f>SUM(K11:P11)</f>
        <v>2151.2039999999997</v>
      </c>
      <c r="R11" s="122">
        <v>2151.2039999999997</v>
      </c>
      <c r="S11" s="100">
        <f>Q11-R11</f>
        <v>0</v>
      </c>
    </row>
    <row r="12" spans="2:21">
      <c r="B12" s="701"/>
      <c r="C12" s="79" t="s">
        <v>26</v>
      </c>
      <c r="D12" s="102">
        <v>3</v>
      </c>
      <c r="E12" s="111">
        <v>0</v>
      </c>
      <c r="F12" s="90">
        <v>0</v>
      </c>
      <c r="G12" s="90">
        <v>0</v>
      </c>
      <c r="H12" s="90">
        <v>0</v>
      </c>
      <c r="I12" s="106">
        <v>0</v>
      </c>
      <c r="J12" s="90">
        <v>0</v>
      </c>
      <c r="K12" s="85">
        <f>332.358*1</f>
        <v>332.358</v>
      </c>
      <c r="L12" s="85">
        <f t="shared" ref="L12:M12" si="6">332.358*1</f>
        <v>332.358</v>
      </c>
      <c r="M12" s="85">
        <f t="shared" si="6"/>
        <v>332.358</v>
      </c>
      <c r="N12" s="85">
        <v>0</v>
      </c>
      <c r="O12" s="85">
        <v>0</v>
      </c>
      <c r="P12" s="164">
        <v>0</v>
      </c>
      <c r="Q12" s="127">
        <f t="shared" si="4"/>
        <v>997.07400000000007</v>
      </c>
      <c r="R12" s="122">
        <v>997.07400000000007</v>
      </c>
      <c r="S12" s="100">
        <f t="shared" si="0"/>
        <v>0</v>
      </c>
    </row>
    <row r="13" spans="2:21" ht="12" thickBot="1">
      <c r="B13" s="702"/>
      <c r="C13" s="80" t="s">
        <v>162</v>
      </c>
      <c r="D13" s="138"/>
      <c r="E13" s="139">
        <f>SUM(E9:E12)</f>
        <v>0</v>
      </c>
      <c r="F13" s="140">
        <f>SUM(F9:F12)</f>
        <v>0</v>
      </c>
      <c r="G13" s="140">
        <f t="shared" ref="G13:P13" si="7">SUM(G9:G12)</f>
        <v>0</v>
      </c>
      <c r="H13" s="140">
        <f t="shared" si="7"/>
        <v>0</v>
      </c>
      <c r="I13" s="140">
        <f t="shared" si="7"/>
        <v>0</v>
      </c>
      <c r="J13" s="140">
        <f t="shared" si="7"/>
        <v>0</v>
      </c>
      <c r="K13" s="141">
        <f>SUM(K9:K12)</f>
        <v>5802.5987999999998</v>
      </c>
      <c r="L13" s="141">
        <f t="shared" si="7"/>
        <v>5802.5987999999998</v>
      </c>
      <c r="M13" s="141">
        <f t="shared" si="7"/>
        <v>5802.5987999999998</v>
      </c>
      <c r="N13" s="141">
        <f t="shared" si="7"/>
        <v>5470.2407999999996</v>
      </c>
      <c r="O13" s="141">
        <f t="shared" si="7"/>
        <v>2735.1203999999998</v>
      </c>
      <c r="P13" s="142">
        <f t="shared" si="7"/>
        <v>2735.1203999999998</v>
      </c>
      <c r="Q13" s="137">
        <f t="shared" si="4"/>
        <v>28348.277999999998</v>
      </c>
      <c r="R13" s="143">
        <v>28348.277999999998</v>
      </c>
      <c r="S13" s="163">
        <f t="shared" si="0"/>
        <v>0</v>
      </c>
    </row>
    <row r="14" spans="2:21">
      <c r="B14" s="700" t="s">
        <v>151</v>
      </c>
      <c r="C14" s="81" t="s">
        <v>260</v>
      </c>
      <c r="D14" s="99">
        <v>41</v>
      </c>
      <c r="E14" s="113">
        <v>0</v>
      </c>
      <c r="F14" s="89">
        <v>0</v>
      </c>
      <c r="G14" s="89">
        <v>0</v>
      </c>
      <c r="H14" s="89">
        <v>0</v>
      </c>
      <c r="I14" s="89">
        <v>0</v>
      </c>
      <c r="J14" s="89">
        <v>0</v>
      </c>
      <c r="K14" s="82">
        <v>300</v>
      </c>
      <c r="L14" s="82">
        <v>360</v>
      </c>
      <c r="M14" s="82">
        <v>360</v>
      </c>
      <c r="N14" s="82">
        <v>480</v>
      </c>
      <c r="O14" s="82">
        <v>480</v>
      </c>
      <c r="P14" s="120">
        <v>480</v>
      </c>
      <c r="Q14" s="83">
        <f t="shared" si="4"/>
        <v>2460</v>
      </c>
      <c r="R14" s="133">
        <v>2460</v>
      </c>
      <c r="S14" s="154">
        <f t="shared" si="0"/>
        <v>0</v>
      </c>
      <c r="T14" s="65" t="s">
        <v>328</v>
      </c>
    </row>
    <row r="15" spans="2:21">
      <c r="B15" s="701"/>
      <c r="C15" s="72" t="s">
        <v>24</v>
      </c>
      <c r="D15" s="100">
        <f>契約数!F45</f>
        <v>0</v>
      </c>
      <c r="E15" s="111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97">
        <v>0</v>
      </c>
      <c r="Q15" s="85">
        <f t="shared" ref="Q15:Q16" si="8">SUM(K15:P15)</f>
        <v>0</v>
      </c>
      <c r="R15" s="134">
        <v>0</v>
      </c>
      <c r="S15" s="100">
        <f t="shared" si="0"/>
        <v>0</v>
      </c>
    </row>
    <row r="16" spans="2:21">
      <c r="B16" s="701"/>
      <c r="C16" s="72" t="s">
        <v>262</v>
      </c>
      <c r="D16" s="101">
        <v>41</v>
      </c>
      <c r="E16" s="111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84">
        <v>500</v>
      </c>
      <c r="L16" s="84">
        <v>611</v>
      </c>
      <c r="M16" s="84">
        <v>660</v>
      </c>
      <c r="N16" s="84">
        <v>880</v>
      </c>
      <c r="O16" s="84">
        <v>880</v>
      </c>
      <c r="P16" s="97">
        <v>880</v>
      </c>
      <c r="Q16" s="85">
        <f t="shared" si="8"/>
        <v>4411</v>
      </c>
      <c r="R16" s="134">
        <v>4411</v>
      </c>
      <c r="S16" s="100">
        <f t="shared" si="0"/>
        <v>0</v>
      </c>
    </row>
    <row r="17" spans="2:20">
      <c r="B17" s="701"/>
      <c r="C17" s="79" t="s">
        <v>26</v>
      </c>
      <c r="D17" s="104">
        <f>契約数!F47</f>
        <v>0</v>
      </c>
      <c r="E17" s="111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97">
        <v>0</v>
      </c>
      <c r="Q17" s="85">
        <f>SUM(K17:P17)</f>
        <v>0</v>
      </c>
      <c r="R17" s="135">
        <v>0</v>
      </c>
      <c r="S17" s="100">
        <f t="shared" si="0"/>
        <v>0</v>
      </c>
    </row>
    <row r="18" spans="2:20">
      <c r="B18" s="702"/>
      <c r="C18" s="80" t="s">
        <v>162</v>
      </c>
      <c r="D18" s="103"/>
      <c r="E18" s="112">
        <f>SUM(E14:E17)</f>
        <v>0</v>
      </c>
      <c r="F18" s="91">
        <f>SUM(F14:F17)</f>
        <v>0</v>
      </c>
      <c r="G18" s="91">
        <f t="shared" ref="G18:P18" si="9">SUM(G14:G17)</f>
        <v>0</v>
      </c>
      <c r="H18" s="91">
        <f t="shared" si="9"/>
        <v>0</v>
      </c>
      <c r="I18" s="91">
        <f t="shared" si="9"/>
        <v>0</v>
      </c>
      <c r="J18" s="91">
        <f t="shared" si="9"/>
        <v>0</v>
      </c>
      <c r="K18" s="87">
        <f t="shared" si="9"/>
        <v>800</v>
      </c>
      <c r="L18" s="87">
        <f t="shared" si="9"/>
        <v>971</v>
      </c>
      <c r="M18" s="87">
        <f t="shared" si="9"/>
        <v>1020</v>
      </c>
      <c r="N18" s="87">
        <f t="shared" si="9"/>
        <v>1360</v>
      </c>
      <c r="O18" s="87">
        <f t="shared" si="9"/>
        <v>1360</v>
      </c>
      <c r="P18" s="119">
        <f t="shared" si="9"/>
        <v>1360</v>
      </c>
      <c r="Q18" s="167">
        <f>SUM(K18:P18)</f>
        <v>6871</v>
      </c>
      <c r="R18" s="136">
        <v>6871</v>
      </c>
      <c r="S18" s="163">
        <f t="shared" si="0"/>
        <v>0</v>
      </c>
    </row>
    <row r="19" spans="2:20" ht="22.5">
      <c r="B19" s="703" t="s">
        <v>153</v>
      </c>
      <c r="C19" s="81" t="s">
        <v>21</v>
      </c>
      <c r="D19" s="99">
        <v>12</v>
      </c>
      <c r="E19" s="209">
        <v>0</v>
      </c>
      <c r="F19" s="210">
        <v>0</v>
      </c>
      <c r="G19" s="210">
        <v>0</v>
      </c>
      <c r="H19" s="210">
        <v>0</v>
      </c>
      <c r="I19" s="210">
        <v>0</v>
      </c>
      <c r="J19" s="204">
        <v>0</v>
      </c>
      <c r="K19" s="203">
        <v>200</v>
      </c>
      <c r="L19" s="203">
        <v>600</v>
      </c>
      <c r="M19" s="203">
        <v>1000</v>
      </c>
      <c r="N19" s="203">
        <v>1800</v>
      </c>
      <c r="O19" s="203">
        <v>2600</v>
      </c>
      <c r="P19" s="203">
        <v>2600</v>
      </c>
      <c r="Q19" s="167">
        <f>SUM(K19:P19)</f>
        <v>8800</v>
      </c>
      <c r="R19" s="202">
        <v>1568.2216481632649</v>
      </c>
      <c r="S19" s="154">
        <f t="shared" si="0"/>
        <v>7231.7783518367351</v>
      </c>
      <c r="T19" s="211" t="s">
        <v>329</v>
      </c>
    </row>
    <row r="20" spans="2:20" ht="12.75" customHeight="1">
      <c r="B20" s="704"/>
      <c r="C20" s="152" t="s">
        <v>207</v>
      </c>
      <c r="D20" s="144"/>
      <c r="E20" s="205">
        <v>1000</v>
      </c>
      <c r="F20" s="206">
        <v>0</v>
      </c>
      <c r="G20" s="206">
        <v>0</v>
      </c>
      <c r="H20" s="206">
        <v>0</v>
      </c>
      <c r="I20" s="206">
        <v>100</v>
      </c>
      <c r="J20" s="207">
        <v>0</v>
      </c>
      <c r="K20" s="207">
        <v>0</v>
      </c>
      <c r="L20" s="207">
        <v>0</v>
      </c>
      <c r="M20" s="207">
        <v>1300</v>
      </c>
      <c r="N20" s="207">
        <v>0</v>
      </c>
      <c r="O20" s="207">
        <v>1300</v>
      </c>
      <c r="P20" s="207">
        <v>0</v>
      </c>
      <c r="Q20" s="167">
        <f>SUM(K20:P20)</f>
        <v>2600</v>
      </c>
      <c r="R20" s="208">
        <v>4600</v>
      </c>
      <c r="S20" s="161">
        <f t="shared" si="0"/>
        <v>-2000</v>
      </c>
      <c r="T20" s="65" t="s">
        <v>330</v>
      </c>
    </row>
    <row r="21" spans="2:20">
      <c r="B21" s="73" t="s">
        <v>49</v>
      </c>
      <c r="C21" s="76" t="s">
        <v>156</v>
      </c>
      <c r="D21" s="105"/>
      <c r="E21" s="114">
        <v>2650</v>
      </c>
      <c r="F21" s="94">
        <v>6224</v>
      </c>
      <c r="G21" s="88">
        <v>3649.8838815584422</v>
      </c>
      <c r="H21" s="88">
        <v>3008.8952451948057</v>
      </c>
      <c r="I21" s="88">
        <v>3265.2906997402602</v>
      </c>
      <c r="J21" s="88">
        <v>3521.686154285715</v>
      </c>
      <c r="K21" s="88">
        <v>3137.0929724675329</v>
      </c>
      <c r="L21" s="88">
        <v>4034.4770633766238</v>
      </c>
      <c r="M21" s="88">
        <v>4675.4656997402608</v>
      </c>
      <c r="N21" s="88">
        <v>4675.4656997402608</v>
      </c>
      <c r="O21" s="88">
        <v>3393.4884270129878</v>
      </c>
      <c r="P21" s="88">
        <v>3265.2906997402602</v>
      </c>
      <c r="Q21" s="167">
        <f>SUM(K21:P21)</f>
        <v>23181.280562077925</v>
      </c>
      <c r="R21" s="151">
        <v>44439.595215064903</v>
      </c>
      <c r="S21" s="163">
        <f>Q21-R21</f>
        <v>-21258.314652986977</v>
      </c>
      <c r="T21" s="70"/>
    </row>
    <row r="22" spans="2:20" ht="12.75" customHeight="1">
      <c r="B22" s="73" t="s">
        <v>331</v>
      </c>
      <c r="C22" s="76" t="s">
        <v>332</v>
      </c>
      <c r="D22" s="105"/>
      <c r="E22" s="114">
        <v>5</v>
      </c>
      <c r="F22" s="94">
        <v>33</v>
      </c>
      <c r="G22" s="88">
        <v>78.083333333333329</v>
      </c>
      <c r="H22" s="88">
        <v>78.083333333333329</v>
      </c>
      <c r="I22" s="88">
        <v>78.083333333333329</v>
      </c>
      <c r="J22" s="88">
        <v>78.083333333333329</v>
      </c>
      <c r="K22" s="88">
        <v>78.083333333333329</v>
      </c>
      <c r="L22" s="88">
        <v>78.083333333333329</v>
      </c>
      <c r="M22" s="88">
        <v>78.083333333333329</v>
      </c>
      <c r="N22" s="88">
        <v>78.083333333333329</v>
      </c>
      <c r="O22" s="88">
        <v>78.083333333333329</v>
      </c>
      <c r="P22" s="88">
        <v>78.083333333333329</v>
      </c>
      <c r="Q22" s="88">
        <f t="shared" ref="Q22:Q25" si="10">SUM(E22:P22)</f>
        <v>818.83333333333337</v>
      </c>
      <c r="R22" s="151">
        <v>937.00000000000011</v>
      </c>
      <c r="S22" s="130">
        <f t="shared" ref="S22:S28" si="11">Q22-R22</f>
        <v>-118.16666666666674</v>
      </c>
      <c r="T22" s="70"/>
    </row>
    <row r="23" spans="2:20" ht="12" thickBot="1">
      <c r="B23" s="131" t="s">
        <v>207</v>
      </c>
      <c r="C23" s="76" t="s">
        <v>159</v>
      </c>
      <c r="D23" s="105"/>
      <c r="E23" s="114">
        <v>0</v>
      </c>
      <c r="F23" s="94">
        <v>0</v>
      </c>
      <c r="G23" s="88">
        <v>28.425999999999998</v>
      </c>
      <c r="H23" s="88">
        <v>4096.1350000000002</v>
      </c>
      <c r="I23" s="88">
        <v>5309.533636363637</v>
      </c>
      <c r="J23" s="88">
        <v>9611.9060000000009</v>
      </c>
      <c r="K23" s="88">
        <v>98.3</v>
      </c>
      <c r="L23" s="88">
        <v>995.01700000000005</v>
      </c>
      <c r="M23" s="88">
        <v>147.184</v>
      </c>
      <c r="N23" s="88">
        <v>189.56299999999999</v>
      </c>
      <c r="O23" s="88">
        <v>188.20099999999999</v>
      </c>
      <c r="P23" s="88">
        <v>186.68899999999999</v>
      </c>
      <c r="Q23" s="88">
        <f t="shared" si="10"/>
        <v>20850.954636363636</v>
      </c>
      <c r="R23" s="151">
        <v>20973.590636363639</v>
      </c>
      <c r="S23" s="130">
        <f t="shared" si="11"/>
        <v>-122.63600000000224</v>
      </c>
      <c r="T23" s="70"/>
    </row>
    <row r="24" spans="2:20" ht="12" thickBot="1">
      <c r="B24" s="132"/>
      <c r="C24" s="76" t="s">
        <v>160</v>
      </c>
      <c r="D24" s="105"/>
      <c r="E24" s="114">
        <v>3900.0635454545454</v>
      </c>
      <c r="F24" s="94">
        <v>1929.8710000000001</v>
      </c>
      <c r="G24" s="88">
        <v>2686.5590909090906</v>
      </c>
      <c r="H24" s="88">
        <v>2581.7972727272727</v>
      </c>
      <c r="I24" s="88">
        <v>10698.764545454545</v>
      </c>
      <c r="J24" s="88">
        <v>5601.7809090909086</v>
      </c>
      <c r="K24" s="88">
        <v>8918.4190909090921</v>
      </c>
      <c r="L24" s="88">
        <v>6961.4327272727269</v>
      </c>
      <c r="M24" s="88">
        <v>4372.8236363636361</v>
      </c>
      <c r="N24" s="88">
        <v>2611.8799999999997</v>
      </c>
      <c r="O24" s="88">
        <v>3777.4863636363625</v>
      </c>
      <c r="P24" s="88">
        <v>9966.4</v>
      </c>
      <c r="Q24" s="88">
        <f t="shared" si="10"/>
        <v>64007.278181818176</v>
      </c>
      <c r="R24" s="151">
        <v>63132.13</v>
      </c>
      <c r="S24" s="130">
        <f t="shared" si="11"/>
        <v>875.14818181817827</v>
      </c>
      <c r="T24" s="70"/>
    </row>
    <row r="25" spans="2:20" ht="12" thickBot="1">
      <c r="B25" s="73" t="s">
        <v>42</v>
      </c>
      <c r="C25" s="76" t="s">
        <v>333</v>
      </c>
      <c r="D25" s="105"/>
      <c r="E25" s="114">
        <v>8566.8071818181816</v>
      </c>
      <c r="F25" s="94">
        <v>6761.0924545454536</v>
      </c>
      <c r="G25" s="88">
        <v>7426.3242</v>
      </c>
      <c r="H25" s="88">
        <v>7426.3242</v>
      </c>
      <c r="I25" s="88">
        <v>7426.3242</v>
      </c>
      <c r="J25" s="88">
        <v>7426.3242</v>
      </c>
      <c r="K25" s="88">
        <v>7426.3242</v>
      </c>
      <c r="L25" s="88">
        <v>7426.3242</v>
      </c>
      <c r="M25" s="88">
        <v>7426.3242</v>
      </c>
      <c r="N25" s="88">
        <v>7426.3242</v>
      </c>
      <c r="O25" s="88">
        <v>7426.3242</v>
      </c>
      <c r="P25" s="107">
        <v>7426.3242</v>
      </c>
      <c r="Q25" s="88">
        <f t="shared" si="10"/>
        <v>89591.141636363653</v>
      </c>
      <c r="R25" s="150">
        <v>89115.890400000018</v>
      </c>
      <c r="S25" s="156">
        <f t="shared" si="11"/>
        <v>475.25123636363423</v>
      </c>
    </row>
    <row r="26" spans="2:20">
      <c r="B26" s="74" t="s">
        <v>334</v>
      </c>
      <c r="C26" s="81"/>
      <c r="D26" s="157"/>
      <c r="E26" s="169">
        <f>SUM(E21,E22,E23,E24,E25)</f>
        <v>15121.870727272726</v>
      </c>
      <c r="F26" s="170">
        <f>SUM(F21,F22,F23,F24,F25)</f>
        <v>14947.963454545454</v>
      </c>
      <c r="G26" s="83">
        <v>13869.276505800866</v>
      </c>
      <c r="H26" s="83">
        <v>17191.235051255411</v>
      </c>
      <c r="I26" s="83">
        <v>26777.996414891775</v>
      </c>
      <c r="J26" s="83">
        <v>26239.780596709956</v>
      </c>
      <c r="K26" s="83">
        <v>19658.219596709958</v>
      </c>
      <c r="L26" s="83">
        <v>19495.334323982683</v>
      </c>
      <c r="M26" s="83">
        <v>16699.880869437231</v>
      </c>
      <c r="N26" s="83">
        <v>14981.316233073594</v>
      </c>
      <c r="O26" s="83">
        <v>14863.583323982684</v>
      </c>
      <c r="P26" s="83">
        <v>20922.787233073592</v>
      </c>
      <c r="Q26" s="160">
        <f>SUM(E26:P26)</f>
        <v>220769.24433073594</v>
      </c>
      <c r="R26" s="96">
        <f>SUM(R21,R22,R23,R24,R25)</f>
        <v>218598.20625142858</v>
      </c>
      <c r="S26" s="154">
        <f>Q26-R26</f>
        <v>2171.0380793073564</v>
      </c>
    </row>
    <row r="27" spans="2:20">
      <c r="B27" s="153" t="s">
        <v>335</v>
      </c>
      <c r="C27" s="72"/>
      <c r="D27" s="158"/>
      <c r="E27" s="162">
        <v>0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85">
        <f>K19</f>
        <v>200</v>
      </c>
      <c r="L27" s="85">
        <f t="shared" ref="L27:P27" si="12">L19</f>
        <v>600</v>
      </c>
      <c r="M27" s="85">
        <f t="shared" si="12"/>
        <v>1000</v>
      </c>
      <c r="N27" s="85">
        <f t="shared" si="12"/>
        <v>1800</v>
      </c>
      <c r="O27" s="85">
        <f t="shared" si="12"/>
        <v>2600</v>
      </c>
      <c r="P27" s="85">
        <f t="shared" si="12"/>
        <v>2600</v>
      </c>
      <c r="Q27" s="85">
        <f>Q19</f>
        <v>8800</v>
      </c>
      <c r="R27" s="85">
        <f>R19+R20</f>
        <v>6168.2216481632649</v>
      </c>
      <c r="S27" s="155">
        <f t="shared" si="11"/>
        <v>2631.7783518367351</v>
      </c>
    </row>
    <row r="28" spans="2:20" ht="12" thickBot="1">
      <c r="B28" s="132" t="s">
        <v>336</v>
      </c>
      <c r="C28" s="152"/>
      <c r="D28" s="159"/>
      <c r="E28" s="145">
        <f t="shared" ref="E28:Q28" si="13">SUM(E8,E13,E18)</f>
        <v>0</v>
      </c>
      <c r="F28" s="146">
        <f t="shared" si="13"/>
        <v>0</v>
      </c>
      <c r="G28" s="146">
        <f t="shared" si="13"/>
        <v>0</v>
      </c>
      <c r="H28" s="146">
        <f t="shared" si="13"/>
        <v>0</v>
      </c>
      <c r="I28" s="146">
        <f t="shared" si="13"/>
        <v>0</v>
      </c>
      <c r="J28" s="146">
        <f t="shared" si="13"/>
        <v>0</v>
      </c>
      <c r="K28" s="147">
        <f t="shared" si="13"/>
        <v>108167.59879999998</v>
      </c>
      <c r="L28" s="147">
        <f t="shared" si="13"/>
        <v>20315.5988</v>
      </c>
      <c r="M28" s="147">
        <f t="shared" si="13"/>
        <v>23750.0988</v>
      </c>
      <c r="N28" s="147">
        <f t="shared" si="13"/>
        <v>20372.2408</v>
      </c>
      <c r="O28" s="147">
        <f t="shared" si="13"/>
        <v>19662.2284</v>
      </c>
      <c r="P28" s="147">
        <f t="shared" si="13"/>
        <v>29154.012399999996</v>
      </c>
      <c r="Q28" s="147">
        <f t="shared" si="13"/>
        <v>221421.77799999999</v>
      </c>
      <c r="R28" s="149">
        <f>SUM(R8,R13,R18)</f>
        <v>221421.77799999999</v>
      </c>
      <c r="S28" s="161">
        <f t="shared" si="11"/>
        <v>0</v>
      </c>
    </row>
    <row r="29" spans="2:20">
      <c r="B29" s="65" t="s">
        <v>337</v>
      </c>
      <c r="R29" s="70">
        <f>SUM(R26:R28)</f>
        <v>446188.20589959185</v>
      </c>
      <c r="S29" s="69" t="s">
        <v>338</v>
      </c>
    </row>
    <row r="30" spans="2:20">
      <c r="B30" s="65" t="s">
        <v>339</v>
      </c>
      <c r="E30" s="70"/>
      <c r="H30" s="70"/>
      <c r="I30" s="69"/>
      <c r="J30" s="69"/>
      <c r="K30" s="70"/>
      <c r="L30" s="70"/>
      <c r="M30" s="70"/>
      <c r="N30" s="70"/>
      <c r="O30" s="70"/>
      <c r="P30" s="70"/>
      <c r="R30" s="69">
        <v>314539.272444239</v>
      </c>
      <c r="S30" s="70" t="s">
        <v>340</v>
      </c>
    </row>
    <row r="31" spans="2:20">
      <c r="I31" s="69"/>
      <c r="J31" s="69"/>
    </row>
    <row r="32" spans="2:20">
      <c r="E32" s="70"/>
      <c r="F32" s="70"/>
      <c r="I32" s="70"/>
      <c r="J32" s="70"/>
      <c r="R32" s="65" t="s">
        <v>341</v>
      </c>
    </row>
    <row r="33" spans="2:18">
      <c r="B33" s="65" t="s">
        <v>342</v>
      </c>
      <c r="I33" s="70"/>
      <c r="J33" s="70"/>
      <c r="R33" s="65" t="s">
        <v>343</v>
      </c>
    </row>
    <row r="34" spans="2:18">
      <c r="B34" s="117" t="s">
        <v>42</v>
      </c>
      <c r="C34" s="118" t="s">
        <v>323</v>
      </c>
      <c r="D34" s="118" t="s">
        <v>344</v>
      </c>
      <c r="F34" s="65" t="s">
        <v>345</v>
      </c>
      <c r="R34" s="65" t="s">
        <v>346</v>
      </c>
    </row>
    <row r="35" spans="2:18">
      <c r="B35" s="66" t="s">
        <v>260</v>
      </c>
      <c r="C35" s="68">
        <v>30215.700000000004</v>
      </c>
      <c r="D35" s="68">
        <f>C35/12</f>
        <v>2517.9750000000004</v>
      </c>
      <c r="F35" s="65" t="s">
        <v>347</v>
      </c>
    </row>
    <row r="36" spans="2:18">
      <c r="B36" s="66" t="s">
        <v>24</v>
      </c>
      <c r="C36" s="68">
        <v>52260.975359999997</v>
      </c>
      <c r="D36" s="68">
        <f>C36/12</f>
        <v>4355.0812799999994</v>
      </c>
      <c r="F36" s="65" t="s">
        <v>348</v>
      </c>
    </row>
    <row r="37" spans="2:18">
      <c r="B37" s="66" t="s">
        <v>262</v>
      </c>
      <c r="C37" s="68">
        <v>2650.9190400000002</v>
      </c>
      <c r="D37" s="68">
        <f>C37/12</f>
        <v>220.90992000000003</v>
      </c>
    </row>
    <row r="38" spans="2:18">
      <c r="B38" s="66" t="s">
        <v>26</v>
      </c>
      <c r="C38" s="68">
        <v>3988.2960000000003</v>
      </c>
      <c r="D38" s="68">
        <f>C38/12</f>
        <v>332.358</v>
      </c>
    </row>
    <row r="39" spans="2:18">
      <c r="B39" s="66"/>
      <c r="C39" s="71">
        <f>SUM(C35:C38)</f>
        <v>89115.890399999989</v>
      </c>
      <c r="D39" s="68">
        <f>SUM(D35:D38)</f>
        <v>7426.3242</v>
      </c>
    </row>
    <row r="41" spans="2:18">
      <c r="B41" s="115" t="s">
        <v>46</v>
      </c>
      <c r="C41" s="116" t="s">
        <v>1</v>
      </c>
      <c r="D41" s="116" t="s">
        <v>2</v>
      </c>
      <c r="F41" s="65" t="s">
        <v>349</v>
      </c>
    </row>
    <row r="42" spans="2:18">
      <c r="B42" s="66" t="s">
        <v>23</v>
      </c>
      <c r="C42" s="68">
        <v>17118.455999999998</v>
      </c>
      <c r="D42" s="68">
        <v>169690.14600000001</v>
      </c>
      <c r="F42" s="65" t="s">
        <v>350</v>
      </c>
    </row>
    <row r="43" spans="2:18">
      <c r="B43" s="66" t="s">
        <v>260</v>
      </c>
      <c r="C43" s="68">
        <v>3720.192</v>
      </c>
      <c r="D43" s="68">
        <v>117365.28</v>
      </c>
      <c r="F43" s="65" t="s">
        <v>351</v>
      </c>
    </row>
    <row r="44" spans="2:18">
      <c r="B44" s="66" t="s">
        <v>24</v>
      </c>
      <c r="C44" s="68">
        <v>9897.9120000000003</v>
      </c>
      <c r="D44" s="68">
        <v>0</v>
      </c>
    </row>
    <row r="45" spans="2:18">
      <c r="B45" s="66" t="s">
        <v>262</v>
      </c>
      <c r="C45" s="68">
        <v>1506.204</v>
      </c>
      <c r="D45" s="68">
        <v>32383.385999999999</v>
      </c>
    </row>
    <row r="46" spans="2:18">
      <c r="B46" s="66" t="s">
        <v>26</v>
      </c>
      <c r="C46" s="68">
        <v>1994.1480000000001</v>
      </c>
      <c r="D46" s="68">
        <v>19941.48</v>
      </c>
    </row>
    <row r="47" spans="2:18">
      <c r="B47" s="66" t="s">
        <v>27</v>
      </c>
      <c r="C47" s="68">
        <v>0</v>
      </c>
      <c r="D47" s="68">
        <v>0</v>
      </c>
    </row>
    <row r="50" spans="2:17">
      <c r="B50" s="65" t="s">
        <v>352</v>
      </c>
    </row>
    <row r="51" spans="2:17">
      <c r="B51" s="66"/>
      <c r="C51" s="148" t="s">
        <v>188</v>
      </c>
      <c r="D51" s="148" t="s">
        <v>312</v>
      </c>
      <c r="E51" s="148" t="s">
        <v>191</v>
      </c>
      <c r="F51" s="148" t="s">
        <v>192</v>
      </c>
      <c r="G51" s="148" t="s">
        <v>193</v>
      </c>
      <c r="H51" s="148" t="s">
        <v>194</v>
      </c>
      <c r="I51" s="148" t="s">
        <v>195</v>
      </c>
      <c r="J51" s="148" t="s">
        <v>196</v>
      </c>
      <c r="K51" s="148" t="s">
        <v>197</v>
      </c>
      <c r="L51" s="148" t="s">
        <v>198</v>
      </c>
      <c r="M51" s="148" t="s">
        <v>199</v>
      </c>
      <c r="N51" s="148" t="s">
        <v>200</v>
      </c>
      <c r="O51" s="148" t="s">
        <v>162</v>
      </c>
    </row>
    <row r="52" spans="2:17">
      <c r="B52" s="66" t="s">
        <v>353</v>
      </c>
      <c r="C52" s="68">
        <v>78.083333333333329</v>
      </c>
      <c r="D52" s="68">
        <v>78.083333333333329</v>
      </c>
      <c r="E52" s="68">
        <v>78.083333333333329</v>
      </c>
      <c r="F52" s="68">
        <v>78.083333333333329</v>
      </c>
      <c r="G52" s="68">
        <v>78.083333333333329</v>
      </c>
      <c r="H52" s="68">
        <v>78.083333333333329</v>
      </c>
      <c r="I52" s="68">
        <v>78.083333333333329</v>
      </c>
      <c r="J52" s="68">
        <v>78.083333333333329</v>
      </c>
      <c r="K52" s="68">
        <v>78.083333333333329</v>
      </c>
      <c r="L52" s="68">
        <v>78.083333333333329</v>
      </c>
      <c r="M52" s="68">
        <v>78.083333333333329</v>
      </c>
      <c r="N52" s="68">
        <v>78.083333333333329</v>
      </c>
      <c r="O52" s="68">
        <f>SUM(C52:N52)</f>
        <v>937.00000000000011</v>
      </c>
      <c r="P52" s="65" t="s">
        <v>354</v>
      </c>
    </row>
    <row r="53" spans="2:17">
      <c r="B53" s="66" t="s">
        <v>159</v>
      </c>
      <c r="C53" s="68">
        <v>75.563999999999993</v>
      </c>
      <c r="D53" s="68">
        <v>47.072000000000003</v>
      </c>
      <c r="E53" s="68">
        <v>28.425999999999998</v>
      </c>
      <c r="F53" s="68">
        <v>4096.1350000000002</v>
      </c>
      <c r="G53" s="68">
        <v>5309.533636363637</v>
      </c>
      <c r="H53" s="68">
        <v>9611.9060000000009</v>
      </c>
      <c r="I53" s="68">
        <v>98.3</v>
      </c>
      <c r="J53" s="68">
        <v>995.01700000000005</v>
      </c>
      <c r="K53" s="68">
        <v>147.184</v>
      </c>
      <c r="L53" s="68">
        <v>189.56299999999999</v>
      </c>
      <c r="M53" s="68">
        <v>188.20099999999999</v>
      </c>
      <c r="N53" s="68">
        <v>186.68899999999999</v>
      </c>
      <c r="O53" s="68">
        <f t="shared" ref="O53:O55" si="14">SUM(C53:N53)</f>
        <v>20973.590636363639</v>
      </c>
      <c r="P53" s="65" t="s">
        <v>354</v>
      </c>
    </row>
    <row r="54" spans="2:17">
      <c r="B54" s="66" t="s">
        <v>355</v>
      </c>
      <c r="C54" s="68">
        <v>2245.5781818181817</v>
      </c>
      <c r="D54" s="68">
        <v>1969.5890909090908</v>
      </c>
      <c r="E54" s="68">
        <v>2460.8909090909087</v>
      </c>
      <c r="F54" s="68">
        <v>2226.1745454545453</v>
      </c>
      <c r="G54" s="68">
        <v>3881.4836363636364</v>
      </c>
      <c r="H54" s="68">
        <v>2055.3381818181815</v>
      </c>
      <c r="I54" s="68">
        <v>1973.1290909090908</v>
      </c>
      <c r="J54" s="68">
        <v>1393.9554545454546</v>
      </c>
      <c r="K54" s="68">
        <v>977.30181818181813</v>
      </c>
      <c r="L54" s="68">
        <v>1716.4318181818178</v>
      </c>
      <c r="M54" s="68">
        <v>1921.6145454545449</v>
      </c>
      <c r="N54" s="68">
        <v>6709.6354545454542</v>
      </c>
      <c r="O54" s="68">
        <f t="shared" si="14"/>
        <v>29531.122727272726</v>
      </c>
      <c r="P54" s="65" t="s">
        <v>354</v>
      </c>
    </row>
    <row r="55" spans="2:17">
      <c r="B55" s="66" t="s">
        <v>356</v>
      </c>
      <c r="C55" s="68">
        <v>286.44181818181812</v>
      </c>
      <c r="D55" s="68">
        <v>453.17727272727268</v>
      </c>
      <c r="E55" s="68">
        <v>225.66818181818184</v>
      </c>
      <c r="F55" s="68">
        <v>355.62272727272722</v>
      </c>
      <c r="G55" s="68">
        <v>6817.2809090909086</v>
      </c>
      <c r="H55" s="68">
        <v>3546.4427272727271</v>
      </c>
      <c r="I55" s="68">
        <v>6945.2900000000009</v>
      </c>
      <c r="J55" s="68">
        <v>5567.4772727272721</v>
      </c>
      <c r="K55" s="68">
        <v>3395.5218181818182</v>
      </c>
      <c r="L55" s="68">
        <v>895.44818181818175</v>
      </c>
      <c r="M55" s="68">
        <v>1855.8718181818178</v>
      </c>
      <c r="N55" s="68">
        <v>3256.7645454545459</v>
      </c>
      <c r="O55" s="68">
        <f t="shared" si="14"/>
        <v>33601.007272727278</v>
      </c>
      <c r="P55" s="65" t="s">
        <v>354</v>
      </c>
    </row>
    <row r="56" spans="2:17">
      <c r="B56" s="66" t="s">
        <v>162</v>
      </c>
      <c r="C56" s="68">
        <f>SUM(C52:C55)</f>
        <v>2685.6673333333333</v>
      </c>
      <c r="D56" s="68">
        <f t="shared" ref="D56:O56" si="15">SUM(D52:D55)</f>
        <v>2547.9216969696968</v>
      </c>
      <c r="E56" s="68">
        <f t="shared" si="15"/>
        <v>2793.068424242424</v>
      </c>
      <c r="F56" s="68">
        <f t="shared" si="15"/>
        <v>6756.0156060606059</v>
      </c>
      <c r="G56" s="68">
        <f t="shared" si="15"/>
        <v>16086.381515151515</v>
      </c>
      <c r="H56" s="68">
        <f t="shared" si="15"/>
        <v>15291.770242424242</v>
      </c>
      <c r="I56" s="68">
        <f t="shared" si="15"/>
        <v>9094.8024242424253</v>
      </c>
      <c r="J56" s="68">
        <f t="shared" si="15"/>
        <v>8034.5330606060597</v>
      </c>
      <c r="K56" s="68">
        <f t="shared" si="15"/>
        <v>4598.0909696969702</v>
      </c>
      <c r="L56" s="68">
        <f t="shared" si="15"/>
        <v>2879.5263333333328</v>
      </c>
      <c r="M56" s="68">
        <f t="shared" si="15"/>
        <v>4043.7706969696965</v>
      </c>
      <c r="N56" s="68">
        <f t="shared" si="15"/>
        <v>10231.172333333334</v>
      </c>
      <c r="O56" s="68">
        <f t="shared" si="15"/>
        <v>85042.720636363636</v>
      </c>
    </row>
    <row r="57" spans="2:17">
      <c r="B57" s="66" t="s">
        <v>357</v>
      </c>
      <c r="C57" s="71">
        <f>SUM(C54:C55)</f>
        <v>2532.02</v>
      </c>
      <c r="D57" s="71">
        <f t="shared" ref="D57:O57" si="16">SUM(D54:D55)</f>
        <v>2422.7663636363636</v>
      </c>
      <c r="E57" s="71">
        <f t="shared" si="16"/>
        <v>2686.5590909090906</v>
      </c>
      <c r="F57" s="71">
        <f t="shared" si="16"/>
        <v>2581.7972727272727</v>
      </c>
      <c r="G57" s="71">
        <f t="shared" si="16"/>
        <v>10698.764545454545</v>
      </c>
      <c r="H57" s="71">
        <f t="shared" si="16"/>
        <v>5601.7809090909086</v>
      </c>
      <c r="I57" s="71">
        <f t="shared" si="16"/>
        <v>8918.4190909090921</v>
      </c>
      <c r="J57" s="71">
        <f t="shared" si="16"/>
        <v>6961.4327272727269</v>
      </c>
      <c r="K57" s="71">
        <f t="shared" si="16"/>
        <v>4372.8236363636361</v>
      </c>
      <c r="L57" s="71">
        <f t="shared" si="16"/>
        <v>2611.8799999999997</v>
      </c>
      <c r="M57" s="71">
        <f t="shared" si="16"/>
        <v>3777.4863636363625</v>
      </c>
      <c r="N57" s="71">
        <f t="shared" si="16"/>
        <v>9966.4</v>
      </c>
      <c r="O57" s="71">
        <f t="shared" si="16"/>
        <v>63132.130000000005</v>
      </c>
    </row>
    <row r="58" spans="2:17"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</row>
    <row r="59" spans="2:17">
      <c r="B59" s="65" t="s">
        <v>358</v>
      </c>
    </row>
    <row r="60" spans="2:17">
      <c r="B60" s="66"/>
      <c r="C60" s="148" t="s">
        <v>188</v>
      </c>
      <c r="D60" s="148" t="s">
        <v>312</v>
      </c>
      <c r="E60" s="148" t="s">
        <v>191</v>
      </c>
      <c r="F60" s="148" t="s">
        <v>192</v>
      </c>
      <c r="G60" s="148" t="s">
        <v>193</v>
      </c>
      <c r="H60" s="148" t="s">
        <v>194</v>
      </c>
      <c r="I60" s="148" t="s">
        <v>195</v>
      </c>
      <c r="J60" s="148" t="s">
        <v>196</v>
      </c>
      <c r="K60" s="148" t="s">
        <v>197</v>
      </c>
      <c r="L60" s="148" t="s">
        <v>198</v>
      </c>
      <c r="M60" s="148" t="s">
        <v>199</v>
      </c>
      <c r="N60" s="148" t="s">
        <v>200</v>
      </c>
      <c r="O60" s="148" t="s">
        <v>162</v>
      </c>
    </row>
    <row r="61" spans="2:17">
      <c r="B61" s="66" t="s">
        <v>359</v>
      </c>
      <c r="C61" s="68">
        <v>502.75</v>
      </c>
      <c r="D61" s="68">
        <v>502.75</v>
      </c>
      <c r="E61" s="68">
        <v>502.75</v>
      </c>
      <c r="F61" s="68">
        <v>502.75</v>
      </c>
      <c r="G61" s="68">
        <v>502.75</v>
      </c>
      <c r="H61" s="68">
        <v>502.75</v>
      </c>
      <c r="I61" s="68">
        <v>502.75</v>
      </c>
      <c r="J61" s="68">
        <v>502.75</v>
      </c>
      <c r="K61" s="68">
        <v>502.75</v>
      </c>
      <c r="L61" s="68">
        <v>502.75</v>
      </c>
      <c r="M61" s="68">
        <v>502.75</v>
      </c>
      <c r="N61" s="68">
        <v>502.75</v>
      </c>
      <c r="O61" s="68">
        <f>SUM(C61:N61)</f>
        <v>6033</v>
      </c>
    </row>
    <row r="62" spans="2:17">
      <c r="B62" s="66" t="s">
        <v>360</v>
      </c>
      <c r="C62" s="68">
        <v>2762.5406997402602</v>
      </c>
      <c r="D62" s="68">
        <v>4044.5179724675336</v>
      </c>
      <c r="E62" s="68">
        <v>3147.1338815584422</v>
      </c>
      <c r="F62" s="68">
        <v>2506.1452451948057</v>
      </c>
      <c r="G62" s="68">
        <v>2762.5406997402602</v>
      </c>
      <c r="H62" s="68">
        <v>3018.936154285715</v>
      </c>
      <c r="I62" s="68">
        <v>2634.3429724675329</v>
      </c>
      <c r="J62" s="68">
        <v>3531.7270633766238</v>
      </c>
      <c r="K62" s="68">
        <v>4172.7156997402608</v>
      </c>
      <c r="L62" s="68">
        <v>4172.7156997402608</v>
      </c>
      <c r="M62" s="68">
        <v>2890.7384270129878</v>
      </c>
      <c r="N62" s="68">
        <v>2762.5406997402602</v>
      </c>
      <c r="O62" s="68">
        <f>SUM(C62:N62)</f>
        <v>38406.595215064939</v>
      </c>
    </row>
    <row r="63" spans="2:17">
      <c r="B63" s="66" t="s">
        <v>162</v>
      </c>
      <c r="C63" s="71">
        <f>SUM(C61:C62)</f>
        <v>3265.2906997402602</v>
      </c>
      <c r="D63" s="71">
        <f t="shared" ref="D63:O63" si="17">SUM(D61:D62)</f>
        <v>4547.2679724675336</v>
      </c>
      <c r="E63" s="71">
        <f t="shared" si="17"/>
        <v>3649.8838815584422</v>
      </c>
      <c r="F63" s="71">
        <f t="shared" si="17"/>
        <v>3008.8952451948057</v>
      </c>
      <c r="G63" s="71">
        <f t="shared" si="17"/>
        <v>3265.2906997402602</v>
      </c>
      <c r="H63" s="71">
        <f t="shared" si="17"/>
        <v>3521.686154285715</v>
      </c>
      <c r="I63" s="71">
        <f t="shared" si="17"/>
        <v>3137.0929724675329</v>
      </c>
      <c r="J63" s="71">
        <f t="shared" si="17"/>
        <v>4034.4770633766238</v>
      </c>
      <c r="K63" s="71">
        <f t="shared" si="17"/>
        <v>4675.4656997402608</v>
      </c>
      <c r="L63" s="71">
        <f t="shared" si="17"/>
        <v>4675.4656997402608</v>
      </c>
      <c r="M63" s="71">
        <f t="shared" si="17"/>
        <v>3393.4884270129878</v>
      </c>
      <c r="N63" s="71">
        <f t="shared" si="17"/>
        <v>3265.2906997402602</v>
      </c>
      <c r="O63" s="71">
        <f t="shared" si="17"/>
        <v>44439.595215064939</v>
      </c>
    </row>
    <row r="65" spans="2:16">
      <c r="B65" s="65" t="s">
        <v>361</v>
      </c>
    </row>
    <row r="66" spans="2:16">
      <c r="B66" s="66"/>
      <c r="C66" s="148" t="s">
        <v>188</v>
      </c>
      <c r="D66" s="148" t="s">
        <v>312</v>
      </c>
      <c r="E66" s="148" t="s">
        <v>191</v>
      </c>
      <c r="F66" s="148" t="s">
        <v>192</v>
      </c>
      <c r="G66" s="148" t="s">
        <v>193</v>
      </c>
      <c r="H66" s="148" t="s">
        <v>194</v>
      </c>
      <c r="I66" s="148" t="s">
        <v>195</v>
      </c>
      <c r="J66" s="148" t="s">
        <v>196</v>
      </c>
      <c r="K66" s="148" t="s">
        <v>197</v>
      </c>
      <c r="L66" s="148" t="s">
        <v>198</v>
      </c>
      <c r="M66" s="148" t="s">
        <v>199</v>
      </c>
      <c r="N66" s="148" t="s">
        <v>200</v>
      </c>
      <c r="O66" s="148" t="s">
        <v>162</v>
      </c>
    </row>
    <row r="67" spans="2:16">
      <c r="B67" s="66" t="s">
        <v>260</v>
      </c>
      <c r="C67" s="68">
        <v>2517.9750000000004</v>
      </c>
      <c r="D67" s="68">
        <v>2517.9750000000004</v>
      </c>
      <c r="E67" s="68">
        <v>2517.9750000000004</v>
      </c>
      <c r="F67" s="68">
        <v>2517.9750000000004</v>
      </c>
      <c r="G67" s="68">
        <v>2517.9750000000004</v>
      </c>
      <c r="H67" s="68">
        <v>2517.9750000000004</v>
      </c>
      <c r="I67" s="68">
        <v>2517.9750000000004</v>
      </c>
      <c r="J67" s="68">
        <v>2517.9750000000004</v>
      </c>
      <c r="K67" s="68">
        <v>2517.9750000000004</v>
      </c>
      <c r="L67" s="68">
        <v>2517.9750000000004</v>
      </c>
      <c r="M67" s="68">
        <v>2517.9750000000004</v>
      </c>
      <c r="N67" s="68">
        <v>2517.9750000000004</v>
      </c>
      <c r="O67" s="71">
        <f>SUM(C67:N67)</f>
        <v>30215.699999999997</v>
      </c>
      <c r="P67" s="65" t="s">
        <v>362</v>
      </c>
    </row>
    <row r="68" spans="2:16">
      <c r="B68" s="66" t="s">
        <v>24</v>
      </c>
      <c r="C68" s="68">
        <v>4355.0812799999994</v>
      </c>
      <c r="D68" s="68">
        <v>4355.0812799999994</v>
      </c>
      <c r="E68" s="68">
        <v>4355.0812799999994</v>
      </c>
      <c r="F68" s="68">
        <v>4355.0812799999994</v>
      </c>
      <c r="G68" s="68">
        <v>4355.0812799999994</v>
      </c>
      <c r="H68" s="68">
        <v>4355.0812799999994</v>
      </c>
      <c r="I68" s="68">
        <v>4355.0812799999994</v>
      </c>
      <c r="J68" s="68">
        <v>4355.0812799999994</v>
      </c>
      <c r="K68" s="68">
        <v>4355.0812799999994</v>
      </c>
      <c r="L68" s="68">
        <v>4355.0812799999994</v>
      </c>
      <c r="M68" s="68">
        <v>4355.0812799999994</v>
      </c>
      <c r="N68" s="68">
        <v>4355.0812799999994</v>
      </c>
      <c r="O68" s="71">
        <f t="shared" ref="O68:O70" si="18">SUM(C68:N68)</f>
        <v>52260.975359999989</v>
      </c>
    </row>
    <row r="69" spans="2:16">
      <c r="B69" s="66" t="s">
        <v>262</v>
      </c>
      <c r="C69" s="68">
        <v>220.90992000000003</v>
      </c>
      <c r="D69" s="68">
        <v>220.90992000000003</v>
      </c>
      <c r="E69" s="68">
        <v>220.90992000000003</v>
      </c>
      <c r="F69" s="68">
        <v>220.90992000000003</v>
      </c>
      <c r="G69" s="68">
        <v>220.90992000000003</v>
      </c>
      <c r="H69" s="68">
        <v>220.90992000000003</v>
      </c>
      <c r="I69" s="68">
        <v>220.90992000000003</v>
      </c>
      <c r="J69" s="68">
        <v>220.90992000000003</v>
      </c>
      <c r="K69" s="68">
        <v>220.90992000000003</v>
      </c>
      <c r="L69" s="68">
        <v>220.90992000000003</v>
      </c>
      <c r="M69" s="68">
        <v>220.90992000000003</v>
      </c>
      <c r="N69" s="68">
        <v>220.90992000000003</v>
      </c>
      <c r="O69" s="71">
        <f t="shared" si="18"/>
        <v>2650.9190400000002</v>
      </c>
    </row>
    <row r="70" spans="2:16">
      <c r="B70" s="66" t="s">
        <v>26</v>
      </c>
      <c r="C70" s="68">
        <v>332.358</v>
      </c>
      <c r="D70" s="68">
        <v>332.358</v>
      </c>
      <c r="E70" s="68">
        <v>332.358</v>
      </c>
      <c r="F70" s="68">
        <v>332.358</v>
      </c>
      <c r="G70" s="68">
        <v>332.358</v>
      </c>
      <c r="H70" s="68">
        <v>332.358</v>
      </c>
      <c r="I70" s="68">
        <v>332.358</v>
      </c>
      <c r="J70" s="68">
        <v>332.358</v>
      </c>
      <c r="K70" s="68">
        <v>332.358</v>
      </c>
      <c r="L70" s="68">
        <v>332.358</v>
      </c>
      <c r="M70" s="68">
        <v>332.358</v>
      </c>
      <c r="N70" s="68">
        <v>332.358</v>
      </c>
      <c r="O70" s="71">
        <f t="shared" si="18"/>
        <v>3988.2960000000007</v>
      </c>
    </row>
    <row r="71" spans="2:16">
      <c r="B71" s="66" t="s">
        <v>162</v>
      </c>
      <c r="C71" s="71">
        <f>SUM(C67:C70)</f>
        <v>7426.3242</v>
      </c>
      <c r="D71" s="71">
        <f t="shared" ref="D71:O71" si="19">SUM(D67:D70)</f>
        <v>7426.3242</v>
      </c>
      <c r="E71" s="71">
        <f t="shared" si="19"/>
        <v>7426.3242</v>
      </c>
      <c r="F71" s="71">
        <f t="shared" si="19"/>
        <v>7426.3242</v>
      </c>
      <c r="G71" s="71">
        <f t="shared" si="19"/>
        <v>7426.3242</v>
      </c>
      <c r="H71" s="71">
        <f t="shared" si="19"/>
        <v>7426.3242</v>
      </c>
      <c r="I71" s="71">
        <f t="shared" si="19"/>
        <v>7426.3242</v>
      </c>
      <c r="J71" s="71">
        <f t="shared" si="19"/>
        <v>7426.3242</v>
      </c>
      <c r="K71" s="71">
        <f t="shared" si="19"/>
        <v>7426.3242</v>
      </c>
      <c r="L71" s="71">
        <f t="shared" si="19"/>
        <v>7426.3242</v>
      </c>
      <c r="M71" s="71">
        <f t="shared" si="19"/>
        <v>7426.3242</v>
      </c>
      <c r="N71" s="71">
        <f t="shared" si="19"/>
        <v>7426.3242</v>
      </c>
      <c r="O71" s="71">
        <f t="shared" si="19"/>
        <v>89115.890399999989</v>
      </c>
    </row>
    <row r="73" spans="2:16">
      <c r="B73" s="65" t="s">
        <v>363</v>
      </c>
    </row>
    <row r="74" spans="2:16">
      <c r="B74" s="66" t="s">
        <v>162</v>
      </c>
      <c r="C74" s="148" t="s">
        <v>188</v>
      </c>
      <c r="D74" s="148" t="s">
        <v>312</v>
      </c>
      <c r="E74" s="148" t="s">
        <v>191</v>
      </c>
      <c r="F74" s="148" t="s">
        <v>192</v>
      </c>
      <c r="G74" s="148" t="s">
        <v>193</v>
      </c>
      <c r="H74" s="148" t="s">
        <v>194</v>
      </c>
      <c r="I74" s="148" t="s">
        <v>195</v>
      </c>
      <c r="J74" s="148" t="s">
        <v>196</v>
      </c>
      <c r="K74" s="148" t="s">
        <v>197</v>
      </c>
      <c r="L74" s="148" t="s">
        <v>198</v>
      </c>
      <c r="M74" s="148" t="s">
        <v>199</v>
      </c>
      <c r="N74" s="148" t="s">
        <v>200</v>
      </c>
      <c r="O74" s="148" t="s">
        <v>162</v>
      </c>
    </row>
    <row r="75" spans="2:16">
      <c r="B75" s="66"/>
      <c r="C75" s="71">
        <f>SUM(C52,C53,C54,C55,C61,C62,C67,C68,C69,C70)</f>
        <v>13377.282233073593</v>
      </c>
      <c r="D75" s="71">
        <f t="shared" ref="D75:N75" si="20">SUM(D52,D53,D54,D55,D61,D62,D67,D68,D69,D70)</f>
        <v>14521.513869437231</v>
      </c>
      <c r="E75" s="71">
        <f t="shared" si="20"/>
        <v>13869.276505800864</v>
      </c>
      <c r="F75" s="71">
        <f t="shared" si="20"/>
        <v>17191.235051255411</v>
      </c>
      <c r="G75" s="71">
        <f t="shared" si="20"/>
        <v>26777.996414891772</v>
      </c>
      <c r="H75" s="71">
        <f t="shared" si="20"/>
        <v>26239.780596709956</v>
      </c>
      <c r="I75" s="71">
        <f t="shared" si="20"/>
        <v>19658.219596709958</v>
      </c>
      <c r="J75" s="71">
        <f t="shared" si="20"/>
        <v>19495.334323982683</v>
      </c>
      <c r="K75" s="71">
        <f t="shared" si="20"/>
        <v>16699.880869437231</v>
      </c>
      <c r="L75" s="71">
        <f t="shared" si="20"/>
        <v>14981.316233073592</v>
      </c>
      <c r="M75" s="71">
        <f t="shared" si="20"/>
        <v>14863.583323982684</v>
      </c>
      <c r="N75" s="71">
        <f t="shared" si="20"/>
        <v>20922.787233073592</v>
      </c>
      <c r="O75" s="71">
        <f>SUM(C75:N75)</f>
        <v>218598.20625142858</v>
      </c>
    </row>
    <row r="78" spans="2:16">
      <c r="B78" s="65" t="s">
        <v>364</v>
      </c>
    </row>
    <row r="79" spans="2:16">
      <c r="B79" s="66" t="s">
        <v>1</v>
      </c>
      <c r="C79" s="67" t="s">
        <v>188</v>
      </c>
      <c r="D79" s="67" t="s">
        <v>312</v>
      </c>
      <c r="E79" s="67" t="s">
        <v>191</v>
      </c>
      <c r="F79" s="67" t="s">
        <v>192</v>
      </c>
      <c r="G79" s="67" t="s">
        <v>193</v>
      </c>
      <c r="H79" s="67" t="s">
        <v>194</v>
      </c>
      <c r="I79" s="67" t="s">
        <v>195</v>
      </c>
      <c r="J79" s="67" t="s">
        <v>196</v>
      </c>
      <c r="K79" s="67" t="s">
        <v>197</v>
      </c>
      <c r="L79" s="67" t="s">
        <v>198</v>
      </c>
      <c r="M79" s="67" t="s">
        <v>199</v>
      </c>
      <c r="N79" s="67" t="s">
        <v>200</v>
      </c>
      <c r="O79" s="67" t="s">
        <v>162</v>
      </c>
    </row>
    <row r="80" spans="2:16">
      <c r="B80" s="66" t="s">
        <v>260</v>
      </c>
      <c r="C80" s="68">
        <v>1653.0799999999997</v>
      </c>
      <c r="D80" s="68">
        <v>1795.6399999999999</v>
      </c>
      <c r="E80" s="68">
        <v>1701.5599999999997</v>
      </c>
      <c r="F80" s="68">
        <v>1663.1599999999999</v>
      </c>
      <c r="G80" s="68">
        <v>4662.6799999999994</v>
      </c>
      <c r="H80" s="68">
        <v>1664.1199999999997</v>
      </c>
      <c r="I80" s="68">
        <v>3253.08</v>
      </c>
      <c r="J80" s="68">
        <v>1702.9999999999998</v>
      </c>
      <c r="K80" s="68">
        <v>3089.0799999999995</v>
      </c>
      <c r="L80" s="68">
        <v>2426.4</v>
      </c>
      <c r="M80" s="68">
        <v>2845.5199999999995</v>
      </c>
      <c r="N80" s="68">
        <v>3149.2799999999997</v>
      </c>
      <c r="O80" s="68">
        <f>SUM(C80:N80)</f>
        <v>29606.6</v>
      </c>
    </row>
    <row r="81" spans="2:15">
      <c r="B81" s="66" t="s">
        <v>24</v>
      </c>
      <c r="C81" s="68">
        <v>5630.5127272727268</v>
      </c>
      <c r="D81" s="68">
        <v>5810.2745454545448</v>
      </c>
      <c r="E81" s="68">
        <v>5366.2954545454531</v>
      </c>
      <c r="F81" s="68">
        <v>6105.2990909090877</v>
      </c>
      <c r="G81" s="68">
        <v>5597.0090909090886</v>
      </c>
      <c r="H81" s="68">
        <v>5704.6654545454521</v>
      </c>
      <c r="I81" s="68">
        <v>5996.0981818181781</v>
      </c>
      <c r="J81" s="68">
        <v>5574.5254545454527</v>
      </c>
      <c r="K81" s="68">
        <v>5981.2945454545415</v>
      </c>
      <c r="L81" s="68">
        <v>5464.79727272727</v>
      </c>
      <c r="M81" s="68">
        <v>5158.0690909090908</v>
      </c>
      <c r="N81" s="68">
        <v>5049.54</v>
      </c>
      <c r="O81" s="68">
        <f t="shared" ref="O81:O85" si="21">SUM(C81:N81)</f>
        <v>67438.380909090876</v>
      </c>
    </row>
    <row r="82" spans="2:15">
      <c r="B82" s="66" t="s">
        <v>262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24.9</v>
      </c>
      <c r="J82" s="68">
        <v>108</v>
      </c>
      <c r="K82" s="68">
        <v>213.1</v>
      </c>
      <c r="L82" s="68">
        <v>264.43636363636364</v>
      </c>
      <c r="M82" s="68">
        <v>330.35909090909087</v>
      </c>
      <c r="N82" s="68">
        <v>250.6</v>
      </c>
      <c r="O82" s="68">
        <f t="shared" si="21"/>
        <v>1191.3954545454544</v>
      </c>
    </row>
    <row r="83" spans="2:15">
      <c r="B83" s="66" t="s">
        <v>26</v>
      </c>
      <c r="C83" s="68">
        <v>0</v>
      </c>
      <c r="D83" s="68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f t="shared" si="21"/>
        <v>0</v>
      </c>
    </row>
    <row r="84" spans="2:15">
      <c r="B84" s="66" t="s">
        <v>365</v>
      </c>
      <c r="C84" s="68">
        <f>C85-C80-C81-C82-C83</f>
        <v>5016.2603636363719</v>
      </c>
      <c r="D84" s="68">
        <f t="shared" ref="D84:N84" si="22">D85-D80-D81-D82-D83</f>
        <v>6951.6274545454553</v>
      </c>
      <c r="E84" s="68">
        <f t="shared" si="22"/>
        <v>7859.4196363636374</v>
      </c>
      <c r="F84" s="68">
        <f t="shared" si="22"/>
        <v>9978.0395454545469</v>
      </c>
      <c r="G84" s="68">
        <f t="shared" si="22"/>
        <v>18453.709090909084</v>
      </c>
      <c r="H84" s="68">
        <f t="shared" si="22"/>
        <v>17717.752363636362</v>
      </c>
      <c r="I84" s="68">
        <f t="shared" si="22"/>
        <v>11453.026363636358</v>
      </c>
      <c r="J84" s="68">
        <f t="shared" si="22"/>
        <v>12633.553363636365</v>
      </c>
      <c r="K84" s="68">
        <f t="shared" si="22"/>
        <v>8386.7549090909069</v>
      </c>
      <c r="L84" s="68">
        <f t="shared" si="22"/>
        <v>8439.6575454545455</v>
      </c>
      <c r="M84" s="68">
        <f t="shared" si="22"/>
        <v>11394.256454545453</v>
      </c>
      <c r="N84" s="68">
        <f t="shared" si="22"/>
        <v>20868.192636363601</v>
      </c>
      <c r="O84" s="68">
        <f>SUM(C84:N84)</f>
        <v>139152.24972727266</v>
      </c>
    </row>
    <row r="85" spans="2:15">
      <c r="B85" s="66" t="s">
        <v>162</v>
      </c>
      <c r="C85" s="68">
        <v>12299.853090909099</v>
      </c>
      <c r="D85" s="68">
        <v>14557.541999999999</v>
      </c>
      <c r="E85" s="68">
        <v>14927.27509090909</v>
      </c>
      <c r="F85" s="68">
        <v>17746.498636363634</v>
      </c>
      <c r="G85" s="68">
        <v>28713.398181818175</v>
      </c>
      <c r="H85" s="68">
        <v>25086.537818181812</v>
      </c>
      <c r="I85" s="68">
        <v>20727.104545454538</v>
      </c>
      <c r="J85" s="68">
        <v>20019.078818181817</v>
      </c>
      <c r="K85" s="68">
        <v>17670.22945454545</v>
      </c>
      <c r="L85" s="68">
        <v>16595.291181818178</v>
      </c>
      <c r="M85" s="68">
        <v>19728.204636363636</v>
      </c>
      <c r="N85" s="68">
        <v>29317.612636363599</v>
      </c>
      <c r="O85" s="68">
        <f t="shared" si="21"/>
        <v>237388.62609090901</v>
      </c>
    </row>
  </sheetData>
  <mergeCells count="4">
    <mergeCell ref="B4:B8"/>
    <mergeCell ref="B9:B13"/>
    <mergeCell ref="B14:B18"/>
    <mergeCell ref="B19:B20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3ab1fe-09a5-4c55-af05-971cec87a293" xsi:nil="true"/>
    <lcf76f155ced4ddcb4097134ff3c332f xmlns="836ba91e-394a-4b70-b24f-b948c5478f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DFA565734542949A5DAE3B294D0367E" ma:contentTypeVersion="16" ma:contentTypeDescription="新しいドキュメントを作成します。" ma:contentTypeScope="" ma:versionID="08f51bf431cb057db5de7325cbf36b0a">
  <xsd:schema xmlns:xsd="http://www.w3.org/2001/XMLSchema" xmlns:xs="http://www.w3.org/2001/XMLSchema" xmlns:p="http://schemas.microsoft.com/office/2006/metadata/properties" xmlns:ns2="443ab1fe-09a5-4c55-af05-971cec87a293" xmlns:ns3="836ba91e-394a-4b70-b24f-b948c5478f63" targetNamespace="http://schemas.microsoft.com/office/2006/metadata/properties" ma:root="true" ma:fieldsID="63603f8fc9f95a9df1558c3414aef609" ns2:_="" ns3:_="">
    <xsd:import namespace="443ab1fe-09a5-4c55-af05-971cec87a293"/>
    <xsd:import namespace="836ba91e-394a-4b70-b24f-b948c5478f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ab1fe-09a5-4c55-af05-971cec87a2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6d97fd-282a-4396-af9f-738d588830a4}" ma:internalName="TaxCatchAll" ma:showField="CatchAllData" ma:web="443ab1fe-09a5-4c55-af05-971cec87a2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ba91e-394a-4b70-b24f-b948c5478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caaa23c5-14aa-4f5d-aafd-ceaf5728a5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815C2-CD0E-4F3B-8AF7-EE6F84B2DE3B}"/>
</file>

<file path=customXml/itemProps2.xml><?xml version="1.0" encoding="utf-8"?>
<ds:datastoreItem xmlns:ds="http://schemas.openxmlformats.org/officeDocument/2006/customXml" ds:itemID="{38A66275-23F0-4149-A48C-7CA4EC2A9B79}"/>
</file>

<file path=customXml/itemProps3.xml><?xml version="1.0" encoding="utf-8"?>
<ds:datastoreItem xmlns:ds="http://schemas.openxmlformats.org/officeDocument/2006/customXml" ds:itemID="{DEE5535E-9698-457F-86A5-C0C9EB550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善田　英樹</dc:creator>
  <cp:keywords/>
  <dc:description/>
  <cp:lastModifiedBy/>
  <cp:revision/>
  <dcterms:created xsi:type="dcterms:W3CDTF">2025-02-25T01:17:28Z</dcterms:created>
  <dcterms:modified xsi:type="dcterms:W3CDTF">2025-08-22T04:39:37Z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0x010100FDFA565734542949A5DAE3B294D0367E</vt:lpwstr>
  </property>
  <property fmtid="{D5CDD505-2E9C-101B-9397-08002B2CF9AE}" pid="3" name="MediaServiceImageTags">
    <vt:lpwstr/>
  </property>
</Properties>
</file>